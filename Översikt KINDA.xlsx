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46012</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46012</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46012</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46012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46012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46012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46012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46012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46012</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46012</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46012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46012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46012</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46012</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46012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46012</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46012</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46012</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46012</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46012</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46012</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46012</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46012</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46012</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46012</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46012</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46012</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31824-2025</t>
        </is>
      </c>
      <c r="B35" s="1" t="n">
        <v>45834.58208333333</v>
      </c>
      <c r="C35" s="1" t="n">
        <v>46012</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60958-2022</t>
        </is>
      </c>
      <c r="B36" s="1" t="n">
        <v>44914.64768518518</v>
      </c>
      <c r="C36" s="1" t="n">
        <v>46012</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46012</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46012</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57522-2024</t>
        </is>
      </c>
      <c r="B39" s="1" t="n">
        <v>45630.41168981481</v>
      </c>
      <c r="C39" s="1" t="n">
        <v>46012</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Vedskivlav</t>
        </is>
      </c>
      <c r="S39">
        <f>HYPERLINK("https://klasma.github.io/Logging_0513/artfynd/A 57522-2024 artfynd.xlsx", "A 57522-2024")</f>
        <v/>
      </c>
      <c r="T39">
        <f>HYPERLINK("https://klasma.github.io/Logging_0513/kartor/A 57522-2024 karta.png", "A 57522-2024")</f>
        <v/>
      </c>
      <c r="V39">
        <f>HYPERLINK("https://klasma.github.io/Logging_0513/klagomål/A 57522-2024 FSC-klagomål.docx", "A 57522-2024")</f>
        <v/>
      </c>
      <c r="W39">
        <f>HYPERLINK("https://klasma.github.io/Logging_0513/klagomålsmail/A 57522-2024 FSC-klagomål mail.docx", "A 57522-2024")</f>
        <v/>
      </c>
      <c r="X39">
        <f>HYPERLINK("https://klasma.github.io/Logging_0513/tillsyn/A 57522-2024 tillsynsbegäran.docx", "A 57522-2024")</f>
        <v/>
      </c>
      <c r="Y39">
        <f>HYPERLINK("https://klasma.github.io/Logging_0513/tillsynsmail/A 57522-2024 tillsynsbegäran mail.docx", "A 57522-2024")</f>
        <v/>
      </c>
    </row>
    <row r="40" ht="15" customHeight="1">
      <c r="A40" t="inlineStr">
        <is>
          <t>A 35863-2025</t>
        </is>
      </c>
      <c r="B40" s="1" t="n">
        <v>45861</v>
      </c>
      <c r="C40" s="1" t="n">
        <v>46012</v>
      </c>
      <c r="D40" t="inlineStr">
        <is>
          <t>ÖSTERGÖTLANDS LÄN</t>
        </is>
      </c>
      <c r="E40" t="inlineStr">
        <is>
          <t>KINDA</t>
        </is>
      </c>
      <c r="G40" t="n">
        <v>2.8</v>
      </c>
      <c r="H40" t="n">
        <v>0</v>
      </c>
      <c r="I40" t="n">
        <v>1</v>
      </c>
      <c r="J40" t="n">
        <v>0</v>
      </c>
      <c r="K40" t="n">
        <v>0</v>
      </c>
      <c r="L40" t="n">
        <v>0</v>
      </c>
      <c r="M40" t="n">
        <v>0</v>
      </c>
      <c r="N40" t="n">
        <v>0</v>
      </c>
      <c r="O40" t="n">
        <v>0</v>
      </c>
      <c r="P40" t="n">
        <v>0</v>
      </c>
      <c r="Q40" t="n">
        <v>1</v>
      </c>
      <c r="R40" s="2" t="inlineStr">
        <is>
          <t>Tibast</t>
        </is>
      </c>
      <c r="S40">
        <f>HYPERLINK("https://klasma.github.io/Logging_0513/artfynd/A 35863-2025 artfynd.xlsx", "A 35863-2025")</f>
        <v/>
      </c>
      <c r="T40">
        <f>HYPERLINK("https://klasma.github.io/Logging_0513/kartor/A 35863-2025 karta.png", "A 35863-2025")</f>
        <v/>
      </c>
      <c r="V40">
        <f>HYPERLINK("https://klasma.github.io/Logging_0513/klagomål/A 35863-2025 FSC-klagomål.docx", "A 35863-2025")</f>
        <v/>
      </c>
      <c r="W40">
        <f>HYPERLINK("https://klasma.github.io/Logging_0513/klagomålsmail/A 35863-2025 FSC-klagomål mail.docx", "A 35863-2025")</f>
        <v/>
      </c>
      <c r="X40">
        <f>HYPERLINK("https://klasma.github.io/Logging_0513/tillsyn/A 35863-2025 tillsynsbegäran.docx", "A 35863-2025")</f>
        <v/>
      </c>
      <c r="Y40">
        <f>HYPERLINK("https://klasma.github.io/Logging_0513/tillsynsmail/A 35863-2025 tillsynsbegäran mail.docx", "A 35863-2025")</f>
        <v/>
      </c>
    </row>
    <row r="41" ht="15" customHeight="1">
      <c r="A41" t="inlineStr">
        <is>
          <t>A 3417-2025</t>
        </is>
      </c>
      <c r="B41" s="1" t="n">
        <v>45680.41096064815</v>
      </c>
      <c r="C41" s="1" t="n">
        <v>46012</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37058-2025</t>
        </is>
      </c>
      <c r="B42" s="1" t="n">
        <v>45875</v>
      </c>
      <c r="C42" s="1" t="n">
        <v>46012</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58113-2025</t>
        </is>
      </c>
      <c r="B43" s="1" t="n">
        <v>45982.6</v>
      </c>
      <c r="C43" s="1" t="n">
        <v>46012</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10020-2025</t>
        </is>
      </c>
      <c r="B44" s="1" t="n">
        <v>45719.48104166667</v>
      </c>
      <c r="C44" s="1" t="n">
        <v>46012</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46012</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40463-2021</t>
        </is>
      </c>
      <c r="B46" s="1" t="n">
        <v>44419</v>
      </c>
      <c r="C46" s="1" t="n">
        <v>46012</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52899-2025</t>
        </is>
      </c>
      <c r="B47" s="1" t="n">
        <v>45957.58908564815</v>
      </c>
      <c r="C47" s="1" t="n">
        <v>46012</v>
      </c>
      <c r="D47" t="inlineStr">
        <is>
          <t>ÖSTERGÖTLANDS LÄN</t>
        </is>
      </c>
      <c r="E47" t="inlineStr">
        <is>
          <t>KINDA</t>
        </is>
      </c>
      <c r="G47" t="n">
        <v>1.1</v>
      </c>
      <c r="H47" t="n">
        <v>0</v>
      </c>
      <c r="I47" t="n">
        <v>0</v>
      </c>
      <c r="J47" t="n">
        <v>0</v>
      </c>
      <c r="K47" t="n">
        <v>0</v>
      </c>
      <c r="L47" t="n">
        <v>1</v>
      </c>
      <c r="M47" t="n">
        <v>0</v>
      </c>
      <c r="N47" t="n">
        <v>0</v>
      </c>
      <c r="O47" t="n">
        <v>1</v>
      </c>
      <c r="P47" t="n">
        <v>1</v>
      </c>
      <c r="Q47" t="n">
        <v>1</v>
      </c>
      <c r="R47" s="2" t="inlineStr">
        <is>
          <t>Ask</t>
        </is>
      </c>
      <c r="S47">
        <f>HYPERLINK("https://klasma.github.io/Logging_0513/artfynd/A 52899-2025 artfynd.xlsx", "A 52899-2025")</f>
        <v/>
      </c>
      <c r="T47">
        <f>HYPERLINK("https://klasma.github.io/Logging_0513/kartor/A 52899-2025 karta.png", "A 52899-2025")</f>
        <v/>
      </c>
      <c r="V47">
        <f>HYPERLINK("https://klasma.github.io/Logging_0513/klagomål/A 52899-2025 FSC-klagomål.docx", "A 52899-2025")</f>
        <v/>
      </c>
      <c r="W47">
        <f>HYPERLINK("https://klasma.github.io/Logging_0513/klagomålsmail/A 52899-2025 FSC-klagomål mail.docx", "A 52899-2025")</f>
        <v/>
      </c>
      <c r="X47">
        <f>HYPERLINK("https://klasma.github.io/Logging_0513/tillsyn/A 52899-2025 tillsynsbegäran.docx", "A 52899-2025")</f>
        <v/>
      </c>
      <c r="Y47">
        <f>HYPERLINK("https://klasma.github.io/Logging_0513/tillsynsmail/A 52899-2025 tillsynsbegäran mail.docx", "A 52899-2025")</f>
        <v/>
      </c>
    </row>
    <row r="48" ht="15" customHeight="1">
      <c r="A48" t="inlineStr">
        <is>
          <t>A 44552-2021</t>
        </is>
      </c>
      <c r="B48" s="1" t="n">
        <v>44435</v>
      </c>
      <c r="C48" s="1" t="n">
        <v>46012</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61704-2025</t>
        </is>
      </c>
      <c r="B49" s="1" t="n">
        <v>46002.5483912037</v>
      </c>
      <c r="C49" s="1" t="n">
        <v>46012</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57456-2021</t>
        </is>
      </c>
      <c r="B50" s="1" t="n">
        <v>44483</v>
      </c>
      <c r="C50" s="1" t="n">
        <v>46012</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52631-2025</t>
        </is>
      </c>
      <c r="B51" s="1" t="n">
        <v>45954.71739583334</v>
      </c>
      <c r="C51" s="1" t="n">
        <v>46012</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46012</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46012</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46012</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46012</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46012</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46012</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46012</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46012</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46012</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46012</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46012</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46012</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46012</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46012</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46012</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46012</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46012</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46012</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40051-2021</t>
        </is>
      </c>
      <c r="B70" s="1" t="n">
        <v>44418</v>
      </c>
      <c r="C70" s="1" t="n">
        <v>46012</v>
      </c>
      <c r="D70" t="inlineStr">
        <is>
          <t>ÖSTERGÖTLANDS LÄN</t>
        </is>
      </c>
      <c r="E70" t="inlineStr">
        <is>
          <t>KINDA</t>
        </is>
      </c>
      <c r="G70" t="n">
        <v>1.2</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46012</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46012</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46012</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46012</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46012</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46012</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46012</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46012</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46012</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46012</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46012</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46012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46012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46012</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46012</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46012</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46012</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46012</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46012</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46012</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46012</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46012</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46012</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46012</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46012</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46012</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46012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46012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46012</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46012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46012</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46012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46012</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46012</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46012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46012</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46012</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46012</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46012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46012</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46012</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46012</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46012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46012</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46012</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46012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46012</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46012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46012</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46012</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46012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46012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46012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46012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46012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46012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46012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46012</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46012</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46012</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46012</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46012</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46012</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46012</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46012</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46012</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34139-2021</t>
        </is>
      </c>
      <c r="B146" s="1" t="n">
        <v>44379</v>
      </c>
      <c r="C146" s="1" t="n">
        <v>46012</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46012</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46012</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46012</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46012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46012</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46012</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46012</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46012</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10935-2023</t>
        </is>
      </c>
      <c r="B155" s="1" t="n">
        <v>44991.5281712963</v>
      </c>
      <c r="C155" s="1" t="n">
        <v>46012</v>
      </c>
      <c r="D155" t="inlineStr">
        <is>
          <t>ÖSTERGÖTLANDS LÄN</t>
        </is>
      </c>
      <c r="E155" t="inlineStr">
        <is>
          <t>KINDA</t>
        </is>
      </c>
      <c r="G155" t="n">
        <v>3.2</v>
      </c>
      <c r="H155" t="n">
        <v>0</v>
      </c>
      <c r="I155" t="n">
        <v>0</v>
      </c>
      <c r="J155" t="n">
        <v>0</v>
      </c>
      <c r="K155" t="n">
        <v>0</v>
      </c>
      <c r="L155" t="n">
        <v>0</v>
      </c>
      <c r="M155" t="n">
        <v>0</v>
      </c>
      <c r="N155" t="n">
        <v>0</v>
      </c>
      <c r="O155" t="n">
        <v>0</v>
      </c>
      <c r="P155" t="n">
        <v>0</v>
      </c>
      <c r="Q155" t="n">
        <v>0</v>
      </c>
      <c r="R155" s="2" t="inlineStr"/>
    </row>
    <row r="156" ht="15" customHeight="1">
      <c r="A156" t="inlineStr">
        <is>
          <t>A 29445-2024</t>
        </is>
      </c>
      <c r="B156" s="1" t="n">
        <v>45483.86824074074</v>
      </c>
      <c r="C156" s="1" t="n">
        <v>46012</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46012</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46012</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46012</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23248-2022</t>
        </is>
      </c>
      <c r="B160" s="1" t="n">
        <v>44720</v>
      </c>
      <c r="C160" s="1" t="n">
        <v>46012</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46012</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46012</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37880-2022</t>
        </is>
      </c>
      <c r="B163" s="1" t="n">
        <v>44811.38229166667</v>
      </c>
      <c r="C163" s="1" t="n">
        <v>46012</v>
      </c>
      <c r="D163" t="inlineStr">
        <is>
          <t>ÖSTERGÖTLANDS LÄN</t>
        </is>
      </c>
      <c r="E163" t="inlineStr">
        <is>
          <t>KINDA</t>
        </is>
      </c>
      <c r="G163" t="n">
        <v>4.1</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46012</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46012</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46012</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46012</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46012</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12461-2024</t>
        </is>
      </c>
      <c r="B169" s="1" t="n">
        <v>45379</v>
      </c>
      <c r="C169" s="1" t="n">
        <v>46012</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44278-2022</t>
        </is>
      </c>
      <c r="B170" s="1" t="n">
        <v>44839.58741898148</v>
      </c>
      <c r="C170" s="1" t="n">
        <v>46012</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46012</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46012</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46012</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46012</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46012</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46012</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2967-2024</t>
        </is>
      </c>
      <c r="B177" s="1" t="n">
        <v>45315.66689814815</v>
      </c>
      <c r="C177" s="1" t="n">
        <v>46012</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9577-2024</t>
        </is>
      </c>
      <c r="B178" s="1" t="n">
        <v>45360.4172337963</v>
      </c>
      <c r="C178" s="1" t="n">
        <v>46012</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46012</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46012</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46012</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46012</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45457-2024</t>
        </is>
      </c>
      <c r="B183" s="1" t="n">
        <v>45576.67208333333</v>
      </c>
      <c r="C183" s="1" t="n">
        <v>46012</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24130-2025</t>
        </is>
      </c>
      <c r="B184" s="1" t="n">
        <v>45796.63424768519</v>
      </c>
      <c r="C184" s="1" t="n">
        <v>46012</v>
      </c>
      <c r="D184" t="inlineStr">
        <is>
          <t>ÖSTERGÖTLANDS LÄN</t>
        </is>
      </c>
      <c r="E184" t="inlineStr">
        <is>
          <t>KINDA</t>
        </is>
      </c>
      <c r="G184" t="n">
        <v>1.6</v>
      </c>
      <c r="H184" t="n">
        <v>0</v>
      </c>
      <c r="I184" t="n">
        <v>0</v>
      </c>
      <c r="J184" t="n">
        <v>0</v>
      </c>
      <c r="K184" t="n">
        <v>0</v>
      </c>
      <c r="L184" t="n">
        <v>0</v>
      </c>
      <c r="M184" t="n">
        <v>0</v>
      </c>
      <c r="N184" t="n">
        <v>0</v>
      </c>
      <c r="O184" t="n">
        <v>0</v>
      </c>
      <c r="P184" t="n">
        <v>0</v>
      </c>
      <c r="Q184" t="n">
        <v>0</v>
      </c>
      <c r="R184" s="2" t="inlineStr"/>
    </row>
    <row r="185" ht="15" customHeight="1">
      <c r="A185" t="inlineStr">
        <is>
          <t>A 1760-2024</t>
        </is>
      </c>
      <c r="B185" s="1" t="n">
        <v>45307.48108796297</v>
      </c>
      <c r="C185" s="1" t="n">
        <v>46012</v>
      </c>
      <c r="D185" t="inlineStr">
        <is>
          <t>ÖSTERGÖTLANDS LÄN</t>
        </is>
      </c>
      <c r="E185" t="inlineStr">
        <is>
          <t>KINDA</t>
        </is>
      </c>
      <c r="G185" t="n">
        <v>1.4</v>
      </c>
      <c r="H185" t="n">
        <v>0</v>
      </c>
      <c r="I185" t="n">
        <v>0</v>
      </c>
      <c r="J185" t="n">
        <v>0</v>
      </c>
      <c r="K185" t="n">
        <v>0</v>
      </c>
      <c r="L185" t="n">
        <v>0</v>
      </c>
      <c r="M185" t="n">
        <v>0</v>
      </c>
      <c r="N185" t="n">
        <v>0</v>
      </c>
      <c r="O185" t="n">
        <v>0</v>
      </c>
      <c r="P185" t="n">
        <v>0</v>
      </c>
      <c r="Q185" t="n">
        <v>0</v>
      </c>
      <c r="R185" s="2" t="inlineStr"/>
    </row>
    <row r="186" ht="15" customHeight="1">
      <c r="A186" t="inlineStr">
        <is>
          <t>A 2638-2024</t>
        </is>
      </c>
      <c r="B186" s="1" t="n">
        <v>45314.33872685185</v>
      </c>
      <c r="C186" s="1" t="n">
        <v>46012</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26146-2024</t>
        </is>
      </c>
      <c r="B187" s="1" t="n">
        <v>45468.49909722222</v>
      </c>
      <c r="C187" s="1" t="n">
        <v>46012</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51294-2022</t>
        </is>
      </c>
      <c r="B188" s="1" t="n">
        <v>44868</v>
      </c>
      <c r="C188" s="1" t="n">
        <v>46012</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38019-2024</t>
        </is>
      </c>
      <c r="B189" s="1" t="n">
        <v>45544.6372337963</v>
      </c>
      <c r="C189" s="1" t="n">
        <v>46012</v>
      </c>
      <c r="D189" t="inlineStr">
        <is>
          <t>ÖSTERGÖTLANDS LÄN</t>
        </is>
      </c>
      <c r="E189" t="inlineStr">
        <is>
          <t>KINDA</t>
        </is>
      </c>
      <c r="G189" t="n">
        <v>6.3</v>
      </c>
      <c r="H189" t="n">
        <v>0</v>
      </c>
      <c r="I189" t="n">
        <v>0</v>
      </c>
      <c r="J189" t="n">
        <v>0</v>
      </c>
      <c r="K189" t="n">
        <v>0</v>
      </c>
      <c r="L189" t="n">
        <v>0</v>
      </c>
      <c r="M189" t="n">
        <v>0</v>
      </c>
      <c r="N189" t="n">
        <v>0</v>
      </c>
      <c r="O189" t="n">
        <v>0</v>
      </c>
      <c r="P189" t="n">
        <v>0</v>
      </c>
      <c r="Q189" t="n">
        <v>0</v>
      </c>
      <c r="R189" s="2" t="inlineStr"/>
      <c r="U189">
        <f>HYPERLINK("https://klasma.github.io/Logging_0513/knärot/A 38019-2024 karta knärot.png", "A 38019-2024")</f>
        <v/>
      </c>
      <c r="V189">
        <f>HYPERLINK("https://klasma.github.io/Logging_0513/klagomål/A 38019-2024 FSC-klagomål.docx", "A 38019-2024")</f>
        <v/>
      </c>
      <c r="W189">
        <f>HYPERLINK("https://klasma.github.io/Logging_0513/klagomålsmail/A 38019-2024 FSC-klagomål mail.docx", "A 38019-2024")</f>
        <v/>
      </c>
      <c r="X189">
        <f>HYPERLINK("https://klasma.github.io/Logging_0513/tillsyn/A 38019-2024 tillsynsbegäran.docx", "A 38019-2024")</f>
        <v/>
      </c>
      <c r="Y189">
        <f>HYPERLINK("https://klasma.github.io/Logging_0513/tillsynsmail/A 38019-2024 tillsynsbegäran mail.docx", "A 38019-2024")</f>
        <v/>
      </c>
    </row>
    <row r="190" ht="15" customHeight="1">
      <c r="A190" t="inlineStr">
        <is>
          <t>A 44139-2024</t>
        </is>
      </c>
      <c r="B190" s="1" t="n">
        <v>45572.6625</v>
      </c>
      <c r="C190" s="1" t="n">
        <v>46012</v>
      </c>
      <c r="D190" t="inlineStr">
        <is>
          <t>ÖSTERGÖTLANDS LÄN</t>
        </is>
      </c>
      <c r="E190" t="inlineStr">
        <is>
          <t>KINDA</t>
        </is>
      </c>
      <c r="G190" t="n">
        <v>3.6</v>
      </c>
      <c r="H190" t="n">
        <v>0</v>
      </c>
      <c r="I190" t="n">
        <v>0</v>
      </c>
      <c r="J190" t="n">
        <v>0</v>
      </c>
      <c r="K190" t="n">
        <v>0</v>
      </c>
      <c r="L190" t="n">
        <v>0</v>
      </c>
      <c r="M190" t="n">
        <v>0</v>
      </c>
      <c r="N190" t="n">
        <v>0</v>
      </c>
      <c r="O190" t="n">
        <v>0</v>
      </c>
      <c r="P190" t="n">
        <v>0</v>
      </c>
      <c r="Q190" t="n">
        <v>0</v>
      </c>
      <c r="R190" s="2" t="inlineStr"/>
    </row>
    <row r="191" ht="15" customHeight="1">
      <c r="A191" t="inlineStr">
        <is>
          <t>A 24133-2025</t>
        </is>
      </c>
      <c r="B191" s="1" t="n">
        <v>45796.63584490741</v>
      </c>
      <c r="C191" s="1" t="n">
        <v>46012</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38261-2025</t>
        </is>
      </c>
      <c r="B192" s="1" t="n">
        <v>45883.39684027778</v>
      </c>
      <c r="C192" s="1" t="n">
        <v>46012</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133-2024</t>
        </is>
      </c>
      <c r="B193" s="1" t="n">
        <v>45294.43197916666</v>
      </c>
      <c r="C193" s="1" t="n">
        <v>46012</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24128-2025</t>
        </is>
      </c>
      <c r="B194" s="1" t="n">
        <v>45796.63180555555</v>
      </c>
      <c r="C194" s="1" t="n">
        <v>46012</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24448-2025</t>
        </is>
      </c>
      <c r="B195" s="1" t="n">
        <v>45798.33824074074</v>
      </c>
      <c r="C195" s="1" t="n">
        <v>46012</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24446-2025</t>
        </is>
      </c>
      <c r="B196" s="1" t="n">
        <v>45798.33460648148</v>
      </c>
      <c r="C196" s="1" t="n">
        <v>46012</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29794-2024</t>
        </is>
      </c>
      <c r="B197" s="1" t="n">
        <v>45485.4796875</v>
      </c>
      <c r="C197" s="1" t="n">
        <v>46012</v>
      </c>
      <c r="D197" t="inlineStr">
        <is>
          <t>ÖSTERGÖTLANDS LÄN</t>
        </is>
      </c>
      <c r="E197" t="inlineStr">
        <is>
          <t>KINDA</t>
        </is>
      </c>
      <c r="G197" t="n">
        <v>2.1</v>
      </c>
      <c r="H197" t="n">
        <v>0</v>
      </c>
      <c r="I197" t="n">
        <v>0</v>
      </c>
      <c r="J197" t="n">
        <v>0</v>
      </c>
      <c r="K197" t="n">
        <v>0</v>
      </c>
      <c r="L197" t="n">
        <v>0</v>
      </c>
      <c r="M197" t="n">
        <v>0</v>
      </c>
      <c r="N197" t="n">
        <v>0</v>
      </c>
      <c r="O197" t="n">
        <v>0</v>
      </c>
      <c r="P197" t="n">
        <v>0</v>
      </c>
      <c r="Q197" t="n">
        <v>0</v>
      </c>
      <c r="R197" s="2" t="inlineStr"/>
    </row>
    <row r="198" ht="15" customHeight="1">
      <c r="A198" t="inlineStr">
        <is>
          <t>A 27959-2024</t>
        </is>
      </c>
      <c r="B198" s="1" t="n">
        <v>45476.34908564815</v>
      </c>
      <c r="C198" s="1" t="n">
        <v>46012</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32285-2023</t>
        </is>
      </c>
      <c r="B199" s="1" t="n">
        <v>45120</v>
      </c>
      <c r="C199" s="1" t="n">
        <v>46012</v>
      </c>
      <c r="D199" t="inlineStr">
        <is>
          <t>ÖSTERGÖTLANDS LÄN</t>
        </is>
      </c>
      <c r="E199" t="inlineStr">
        <is>
          <t>KINDA</t>
        </is>
      </c>
      <c r="G199" t="n">
        <v>0.2</v>
      </c>
      <c r="H199" t="n">
        <v>0</v>
      </c>
      <c r="I199" t="n">
        <v>0</v>
      </c>
      <c r="J199" t="n">
        <v>0</v>
      </c>
      <c r="K199" t="n">
        <v>0</v>
      </c>
      <c r="L199" t="n">
        <v>0</v>
      </c>
      <c r="M199" t="n">
        <v>0</v>
      </c>
      <c r="N199" t="n">
        <v>0</v>
      </c>
      <c r="O199" t="n">
        <v>0</v>
      </c>
      <c r="P199" t="n">
        <v>0</v>
      </c>
      <c r="Q199" t="n">
        <v>0</v>
      </c>
      <c r="R199" s="2" t="inlineStr"/>
    </row>
    <row r="200" ht="15" customHeight="1">
      <c r="A200" t="inlineStr">
        <is>
          <t>A 38130-2023</t>
        </is>
      </c>
      <c r="B200" s="1" t="n">
        <v>45161</v>
      </c>
      <c r="C200" s="1" t="n">
        <v>46012</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38132-2023</t>
        </is>
      </c>
      <c r="B201" s="1" t="n">
        <v>45161.36759259259</v>
      </c>
      <c r="C201" s="1" t="n">
        <v>46012</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38133-2023</t>
        </is>
      </c>
      <c r="B202" s="1" t="n">
        <v>45161.36928240741</v>
      </c>
      <c r="C202" s="1" t="n">
        <v>46012</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24774-2025</t>
        </is>
      </c>
      <c r="B203" s="1" t="n">
        <v>45799</v>
      </c>
      <c r="C203" s="1" t="n">
        <v>46012</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24754-2025</t>
        </is>
      </c>
      <c r="B204" s="1" t="n">
        <v>45799.36881944445</v>
      </c>
      <c r="C204" s="1" t="n">
        <v>46012</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39097-2025</t>
        </is>
      </c>
      <c r="B205" s="1" t="n">
        <v>45888</v>
      </c>
      <c r="C205" s="1" t="n">
        <v>46012</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62286-2022</t>
        </is>
      </c>
      <c r="B206" s="1" t="n">
        <v>44923.40631944445</v>
      </c>
      <c r="C206" s="1" t="n">
        <v>46012</v>
      </c>
      <c r="D206" t="inlineStr">
        <is>
          <t>ÖSTERGÖTLANDS LÄN</t>
        </is>
      </c>
      <c r="E206" t="inlineStr">
        <is>
          <t>KINDA</t>
        </is>
      </c>
      <c r="F206" t="inlineStr">
        <is>
          <t>Allmännings- och besparingsskogar</t>
        </is>
      </c>
      <c r="G206" t="n">
        <v>4.7</v>
      </c>
      <c r="H206" t="n">
        <v>0</v>
      </c>
      <c r="I206" t="n">
        <v>0</v>
      </c>
      <c r="J206" t="n">
        <v>0</v>
      </c>
      <c r="K206" t="n">
        <v>0</v>
      </c>
      <c r="L206" t="n">
        <v>0</v>
      </c>
      <c r="M206" t="n">
        <v>0</v>
      </c>
      <c r="N206" t="n">
        <v>0</v>
      </c>
      <c r="O206" t="n">
        <v>0</v>
      </c>
      <c r="P206" t="n">
        <v>0</v>
      </c>
      <c r="Q206" t="n">
        <v>0</v>
      </c>
      <c r="R206" s="2" t="inlineStr"/>
    </row>
    <row r="207" ht="15" customHeight="1">
      <c r="A207" t="inlineStr">
        <is>
          <t>A 39101-2025</t>
        </is>
      </c>
      <c r="B207" s="1" t="n">
        <v>45888</v>
      </c>
      <c r="C207" s="1" t="n">
        <v>46012</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27841-2024</t>
        </is>
      </c>
      <c r="B208" s="1" t="n">
        <v>45475.62894675926</v>
      </c>
      <c r="C208" s="1" t="n">
        <v>46012</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39099-2025</t>
        </is>
      </c>
      <c r="B209" s="1" t="n">
        <v>45888</v>
      </c>
      <c r="C209" s="1" t="n">
        <v>46012</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31147-2025</t>
        </is>
      </c>
      <c r="B210" s="1" t="n">
        <v>45832.6390625</v>
      </c>
      <c r="C210" s="1" t="n">
        <v>46012</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46012</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39090-2025</t>
        </is>
      </c>
      <c r="B212" s="1" t="n">
        <v>45888.49229166667</v>
      </c>
      <c r="C212" s="1" t="n">
        <v>46012</v>
      </c>
      <c r="D212" t="inlineStr">
        <is>
          <t>ÖSTERGÖTLANDS LÄN</t>
        </is>
      </c>
      <c r="E212" t="inlineStr">
        <is>
          <t>KINDA</t>
        </is>
      </c>
      <c r="G212" t="n">
        <v>5.4</v>
      </c>
      <c r="H212" t="n">
        <v>0</v>
      </c>
      <c r="I212" t="n">
        <v>0</v>
      </c>
      <c r="J212" t="n">
        <v>0</v>
      </c>
      <c r="K212" t="n">
        <v>0</v>
      </c>
      <c r="L212" t="n">
        <v>0</v>
      </c>
      <c r="M212" t="n">
        <v>0</v>
      </c>
      <c r="N212" t="n">
        <v>0</v>
      </c>
      <c r="O212" t="n">
        <v>0</v>
      </c>
      <c r="P212" t="n">
        <v>0</v>
      </c>
      <c r="Q212" t="n">
        <v>0</v>
      </c>
      <c r="R212" s="2" t="inlineStr"/>
    </row>
    <row r="213" ht="15" customHeight="1">
      <c r="A213" t="inlineStr">
        <is>
          <t>A 45693-2023</t>
        </is>
      </c>
      <c r="B213" s="1" t="n">
        <v>45195</v>
      </c>
      <c r="C213" s="1" t="n">
        <v>46012</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61957-2022</t>
        </is>
      </c>
      <c r="B214" s="1" t="n">
        <v>44918.34216435185</v>
      </c>
      <c r="C214" s="1" t="n">
        <v>46012</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4433-2024</t>
        </is>
      </c>
      <c r="B215" s="1" t="n">
        <v>45327.4684375</v>
      </c>
      <c r="C215" s="1" t="n">
        <v>46012</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39246-2025</t>
        </is>
      </c>
      <c r="B216" s="1" t="n">
        <v>45889.35399305556</v>
      </c>
      <c r="C216" s="1" t="n">
        <v>46012</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25490-2023</t>
        </is>
      </c>
      <c r="B217" s="1" t="n">
        <v>45082</v>
      </c>
      <c r="C217" s="1" t="n">
        <v>46012</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48520-2024</t>
        </is>
      </c>
      <c r="B218" s="1" t="n">
        <v>45593.32488425926</v>
      </c>
      <c r="C218" s="1" t="n">
        <v>46012</v>
      </c>
      <c r="D218" t="inlineStr">
        <is>
          <t>ÖSTERGÖTLANDS LÄN</t>
        </is>
      </c>
      <c r="E218" t="inlineStr">
        <is>
          <t>KINDA</t>
        </is>
      </c>
      <c r="G218" t="n">
        <v>4.6</v>
      </c>
      <c r="H218" t="n">
        <v>0</v>
      </c>
      <c r="I218" t="n">
        <v>0</v>
      </c>
      <c r="J218" t="n">
        <v>0</v>
      </c>
      <c r="K218" t="n">
        <v>0</v>
      </c>
      <c r="L218" t="n">
        <v>0</v>
      </c>
      <c r="M218" t="n">
        <v>0</v>
      </c>
      <c r="N218" t="n">
        <v>0</v>
      </c>
      <c r="O218" t="n">
        <v>0</v>
      </c>
      <c r="P218" t="n">
        <v>0</v>
      </c>
      <c r="Q218" t="n">
        <v>0</v>
      </c>
      <c r="R218" s="2" t="inlineStr"/>
    </row>
    <row r="219" ht="15" customHeight="1">
      <c r="A219" t="inlineStr">
        <is>
          <t>A 22813-2024</t>
        </is>
      </c>
      <c r="B219" s="1" t="n">
        <v>45448.52539351852</v>
      </c>
      <c r="C219" s="1" t="n">
        <v>46012</v>
      </c>
      <c r="D219" t="inlineStr">
        <is>
          <t>ÖSTERGÖTLANDS LÄN</t>
        </is>
      </c>
      <c r="E219" t="inlineStr">
        <is>
          <t>KINDA</t>
        </is>
      </c>
      <c r="F219" t="inlineStr">
        <is>
          <t>Allmännings- och besparingsskogar</t>
        </is>
      </c>
      <c r="G219" t="n">
        <v>6.8</v>
      </c>
      <c r="H219" t="n">
        <v>0</v>
      </c>
      <c r="I219" t="n">
        <v>0</v>
      </c>
      <c r="J219" t="n">
        <v>0</v>
      </c>
      <c r="K219" t="n">
        <v>0</v>
      </c>
      <c r="L219" t="n">
        <v>0</v>
      </c>
      <c r="M219" t="n">
        <v>0</v>
      </c>
      <c r="N219" t="n">
        <v>0</v>
      </c>
      <c r="O219" t="n">
        <v>0</v>
      </c>
      <c r="P219" t="n">
        <v>0</v>
      </c>
      <c r="Q219" t="n">
        <v>0</v>
      </c>
      <c r="R219" s="2" t="inlineStr"/>
    </row>
    <row r="220" ht="15" customHeight="1">
      <c r="A220" t="inlineStr">
        <is>
          <t>A 6411-2025</t>
        </is>
      </c>
      <c r="B220" s="1" t="n">
        <v>45699.45978009259</v>
      </c>
      <c r="C220" s="1" t="n">
        <v>46012</v>
      </c>
      <c r="D220" t="inlineStr">
        <is>
          <t>ÖSTERGÖTLANDS LÄN</t>
        </is>
      </c>
      <c r="E220" t="inlineStr">
        <is>
          <t>KINDA</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24023-2024</t>
        </is>
      </c>
      <c r="B221" s="1" t="n">
        <v>45456.44684027778</v>
      </c>
      <c r="C221" s="1" t="n">
        <v>46012</v>
      </c>
      <c r="D221" t="inlineStr">
        <is>
          <t>ÖSTERGÖTLANDS LÄN</t>
        </is>
      </c>
      <c r="E221" t="inlineStr">
        <is>
          <t>KINDA</t>
        </is>
      </c>
      <c r="G221" t="n">
        <v>7.1</v>
      </c>
      <c r="H221" t="n">
        <v>0</v>
      </c>
      <c r="I221" t="n">
        <v>0</v>
      </c>
      <c r="J221" t="n">
        <v>0</v>
      </c>
      <c r="K221" t="n">
        <v>0</v>
      </c>
      <c r="L221" t="n">
        <v>0</v>
      </c>
      <c r="M221" t="n">
        <v>0</v>
      </c>
      <c r="N221" t="n">
        <v>0</v>
      </c>
      <c r="O221" t="n">
        <v>0</v>
      </c>
      <c r="P221" t="n">
        <v>0</v>
      </c>
      <c r="Q221" t="n">
        <v>0</v>
      </c>
      <c r="R221" s="2" t="inlineStr"/>
    </row>
    <row r="222" ht="15" customHeight="1">
      <c r="A222" t="inlineStr">
        <is>
          <t>A 61946-2022</t>
        </is>
      </c>
      <c r="B222" s="1" t="n">
        <v>44918.32740740741</v>
      </c>
      <c r="C222" s="1" t="n">
        <v>46012</v>
      </c>
      <c r="D222" t="inlineStr">
        <is>
          <t>ÖSTERGÖTLANDS LÄN</t>
        </is>
      </c>
      <c r="E222" t="inlineStr">
        <is>
          <t>KINDA</t>
        </is>
      </c>
      <c r="G222" t="n">
        <v>11.6</v>
      </c>
      <c r="H222" t="n">
        <v>0</v>
      </c>
      <c r="I222" t="n">
        <v>0</v>
      </c>
      <c r="J222" t="n">
        <v>0</v>
      </c>
      <c r="K222" t="n">
        <v>0</v>
      </c>
      <c r="L222" t="n">
        <v>0</v>
      </c>
      <c r="M222" t="n">
        <v>0</v>
      </c>
      <c r="N222" t="n">
        <v>0</v>
      </c>
      <c r="O222" t="n">
        <v>0</v>
      </c>
      <c r="P222" t="n">
        <v>0</v>
      </c>
      <c r="Q222" t="n">
        <v>0</v>
      </c>
      <c r="R222" s="2" t="inlineStr"/>
    </row>
    <row r="223" ht="15" customHeight="1">
      <c r="A223" t="inlineStr">
        <is>
          <t>A 61949-2022</t>
        </is>
      </c>
      <c r="B223" s="1" t="n">
        <v>44918.33414351852</v>
      </c>
      <c r="C223" s="1" t="n">
        <v>46012</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61962-2022</t>
        </is>
      </c>
      <c r="B224" s="1" t="n">
        <v>44918</v>
      </c>
      <c r="C224" s="1" t="n">
        <v>46012</v>
      </c>
      <c r="D224" t="inlineStr">
        <is>
          <t>ÖSTERGÖTLANDS LÄN</t>
        </is>
      </c>
      <c r="E224" t="inlineStr">
        <is>
          <t>KINDA</t>
        </is>
      </c>
      <c r="G224" t="n">
        <v>2.5</v>
      </c>
      <c r="H224" t="n">
        <v>0</v>
      </c>
      <c r="I224" t="n">
        <v>0</v>
      </c>
      <c r="J224" t="n">
        <v>0</v>
      </c>
      <c r="K224" t="n">
        <v>0</v>
      </c>
      <c r="L224" t="n">
        <v>0</v>
      </c>
      <c r="M224" t="n">
        <v>0</v>
      </c>
      <c r="N224" t="n">
        <v>0</v>
      </c>
      <c r="O224" t="n">
        <v>0</v>
      </c>
      <c r="P224" t="n">
        <v>0</v>
      </c>
      <c r="Q224" t="n">
        <v>0</v>
      </c>
      <c r="R224" s="2" t="inlineStr"/>
    </row>
    <row r="225" ht="15" customHeight="1">
      <c r="A225" t="inlineStr">
        <is>
          <t>A 26567-2025</t>
        </is>
      </c>
      <c r="B225" s="1" t="n">
        <v>45807.66878472222</v>
      </c>
      <c r="C225" s="1" t="n">
        <v>46012</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37068-2024</t>
        </is>
      </c>
      <c r="B226" s="1" t="n">
        <v>45539.46399305556</v>
      </c>
      <c r="C226" s="1" t="n">
        <v>46012</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13976-2022</t>
        </is>
      </c>
      <c r="B227" s="1" t="n">
        <v>44650.56546296296</v>
      </c>
      <c r="C227" s="1" t="n">
        <v>46012</v>
      </c>
      <c r="D227" t="inlineStr">
        <is>
          <t>ÖSTERGÖTLANDS LÄN</t>
        </is>
      </c>
      <c r="E227" t="inlineStr">
        <is>
          <t>KINDA</t>
        </is>
      </c>
      <c r="F227" t="inlineStr">
        <is>
          <t>Övriga Aktiebolag</t>
        </is>
      </c>
      <c r="G227" t="n">
        <v>7.4</v>
      </c>
      <c r="H227" t="n">
        <v>0</v>
      </c>
      <c r="I227" t="n">
        <v>0</v>
      </c>
      <c r="J227" t="n">
        <v>0</v>
      </c>
      <c r="K227" t="n">
        <v>0</v>
      </c>
      <c r="L227" t="n">
        <v>0</v>
      </c>
      <c r="M227" t="n">
        <v>0</v>
      </c>
      <c r="N227" t="n">
        <v>0</v>
      </c>
      <c r="O227" t="n">
        <v>0</v>
      </c>
      <c r="P227" t="n">
        <v>0</v>
      </c>
      <c r="Q227" t="n">
        <v>0</v>
      </c>
      <c r="R227" s="2" t="inlineStr"/>
    </row>
    <row r="228" ht="15" customHeight="1">
      <c r="A228" t="inlineStr">
        <is>
          <t>A 27105-2025</t>
        </is>
      </c>
      <c r="B228" s="1" t="n">
        <v>45811</v>
      </c>
      <c r="C228" s="1" t="n">
        <v>46012</v>
      </c>
      <c r="D228" t="inlineStr">
        <is>
          <t>ÖSTERGÖTLANDS LÄN</t>
        </is>
      </c>
      <c r="E228" t="inlineStr">
        <is>
          <t>KINDA</t>
        </is>
      </c>
      <c r="G228" t="n">
        <v>1.7</v>
      </c>
      <c r="H228" t="n">
        <v>0</v>
      </c>
      <c r="I228" t="n">
        <v>0</v>
      </c>
      <c r="J228" t="n">
        <v>0</v>
      </c>
      <c r="K228" t="n">
        <v>0</v>
      </c>
      <c r="L228" t="n">
        <v>0</v>
      </c>
      <c r="M228" t="n">
        <v>0</v>
      </c>
      <c r="N228" t="n">
        <v>0</v>
      </c>
      <c r="O228" t="n">
        <v>0</v>
      </c>
      <c r="P228" t="n">
        <v>0</v>
      </c>
      <c r="Q228" t="n">
        <v>0</v>
      </c>
      <c r="R228" s="2" t="inlineStr"/>
    </row>
    <row r="229" ht="15" customHeight="1">
      <c r="A229" t="inlineStr">
        <is>
          <t>A 28068-2024</t>
        </is>
      </c>
      <c r="B229" s="1" t="n">
        <v>45476.57782407408</v>
      </c>
      <c r="C229" s="1" t="n">
        <v>46012</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40847-2025</t>
        </is>
      </c>
      <c r="B230" s="1" t="n">
        <v>45897.54641203704</v>
      </c>
      <c r="C230" s="1" t="n">
        <v>46012</v>
      </c>
      <c r="D230" t="inlineStr">
        <is>
          <t>ÖSTERGÖTLANDS LÄN</t>
        </is>
      </c>
      <c r="E230" t="inlineStr">
        <is>
          <t>KINDA</t>
        </is>
      </c>
      <c r="G230" t="n">
        <v>3.1</v>
      </c>
      <c r="H230" t="n">
        <v>0</v>
      </c>
      <c r="I230" t="n">
        <v>0</v>
      </c>
      <c r="J230" t="n">
        <v>0</v>
      </c>
      <c r="K230" t="n">
        <v>0</v>
      </c>
      <c r="L230" t="n">
        <v>0</v>
      </c>
      <c r="M230" t="n">
        <v>0</v>
      </c>
      <c r="N230" t="n">
        <v>0</v>
      </c>
      <c r="O230" t="n">
        <v>0</v>
      </c>
      <c r="P230" t="n">
        <v>0</v>
      </c>
      <c r="Q230" t="n">
        <v>0</v>
      </c>
      <c r="R230" s="2" t="inlineStr"/>
    </row>
    <row r="231" ht="15" customHeight="1">
      <c r="A231" t="inlineStr">
        <is>
          <t>A 40845-2025</t>
        </is>
      </c>
      <c r="B231" s="1" t="n">
        <v>45897.54273148148</v>
      </c>
      <c r="C231" s="1" t="n">
        <v>46012</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9182-2024</t>
        </is>
      </c>
      <c r="B232" s="1" t="n">
        <v>45358.44520833333</v>
      </c>
      <c r="C232" s="1" t="n">
        <v>46012</v>
      </c>
      <c r="D232" t="inlineStr">
        <is>
          <t>ÖSTERGÖTLANDS LÄN</t>
        </is>
      </c>
      <c r="E232" t="inlineStr">
        <is>
          <t>KINDA</t>
        </is>
      </c>
      <c r="G232" t="n">
        <v>3.7</v>
      </c>
      <c r="H232" t="n">
        <v>0</v>
      </c>
      <c r="I232" t="n">
        <v>0</v>
      </c>
      <c r="J232" t="n">
        <v>0</v>
      </c>
      <c r="K232" t="n">
        <v>0</v>
      </c>
      <c r="L232" t="n">
        <v>0</v>
      </c>
      <c r="M232" t="n">
        <v>0</v>
      </c>
      <c r="N232" t="n">
        <v>0</v>
      </c>
      <c r="O232" t="n">
        <v>0</v>
      </c>
      <c r="P232" t="n">
        <v>0</v>
      </c>
      <c r="Q232" t="n">
        <v>0</v>
      </c>
      <c r="R232" s="2" t="inlineStr"/>
    </row>
    <row r="233" ht="15" customHeight="1">
      <c r="A233" t="inlineStr">
        <is>
          <t>A 40987-2025</t>
        </is>
      </c>
      <c r="B233" s="1" t="n">
        <v>45898.30667824074</v>
      </c>
      <c r="C233" s="1" t="n">
        <v>46012</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27608-2025</t>
        </is>
      </c>
      <c r="B234" s="1" t="n">
        <v>45813.53402777778</v>
      </c>
      <c r="C234" s="1" t="n">
        <v>46012</v>
      </c>
      <c r="D234" t="inlineStr">
        <is>
          <t>ÖSTERGÖTLANDS LÄN</t>
        </is>
      </c>
      <c r="E234" t="inlineStr">
        <is>
          <t>KINDA</t>
        </is>
      </c>
      <c r="F234" t="inlineStr">
        <is>
          <t>Övriga Aktiebolag</t>
        </is>
      </c>
      <c r="G234" t="n">
        <v>2.4</v>
      </c>
      <c r="H234" t="n">
        <v>0</v>
      </c>
      <c r="I234" t="n">
        <v>0</v>
      </c>
      <c r="J234" t="n">
        <v>0</v>
      </c>
      <c r="K234" t="n">
        <v>0</v>
      </c>
      <c r="L234" t="n">
        <v>0</v>
      </c>
      <c r="M234" t="n">
        <v>0</v>
      </c>
      <c r="N234" t="n">
        <v>0</v>
      </c>
      <c r="O234" t="n">
        <v>0</v>
      </c>
      <c r="P234" t="n">
        <v>0</v>
      </c>
      <c r="Q234" t="n">
        <v>0</v>
      </c>
      <c r="R234" s="2" t="inlineStr"/>
    </row>
    <row r="235" ht="15" customHeight="1">
      <c r="A235" t="inlineStr">
        <is>
          <t>A 3908-2023</t>
        </is>
      </c>
      <c r="B235" s="1" t="n">
        <v>44952</v>
      </c>
      <c r="C235" s="1" t="n">
        <v>46012</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34860-2024</t>
        </is>
      </c>
      <c r="B236" s="1" t="n">
        <v>45527.33670138889</v>
      </c>
      <c r="C236" s="1" t="n">
        <v>46012</v>
      </c>
      <c r="D236" t="inlineStr">
        <is>
          <t>ÖSTERGÖTLANDS LÄN</t>
        </is>
      </c>
      <c r="E236" t="inlineStr">
        <is>
          <t>KINDA</t>
        </is>
      </c>
      <c r="G236" t="n">
        <v>0.8</v>
      </c>
      <c r="H236" t="n">
        <v>0</v>
      </c>
      <c r="I236" t="n">
        <v>0</v>
      </c>
      <c r="J236" t="n">
        <v>0</v>
      </c>
      <c r="K236" t="n">
        <v>0</v>
      </c>
      <c r="L236" t="n">
        <v>0</v>
      </c>
      <c r="M236" t="n">
        <v>0</v>
      </c>
      <c r="N236" t="n">
        <v>0</v>
      </c>
      <c r="O236" t="n">
        <v>0</v>
      </c>
      <c r="P236" t="n">
        <v>0</v>
      </c>
      <c r="Q236" t="n">
        <v>0</v>
      </c>
      <c r="R236" s="2" t="inlineStr"/>
    </row>
    <row r="237" ht="15" customHeight="1">
      <c r="A237" t="inlineStr">
        <is>
          <t>A 34871-2024</t>
        </is>
      </c>
      <c r="B237" s="1" t="n">
        <v>45527.3469212963</v>
      </c>
      <c r="C237" s="1" t="n">
        <v>46012</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27587-2025</t>
        </is>
      </c>
      <c r="B238" s="1" t="n">
        <v>45813.50763888889</v>
      </c>
      <c r="C238" s="1" t="n">
        <v>46012</v>
      </c>
      <c r="D238" t="inlineStr">
        <is>
          <t>ÖSTERGÖTLANDS LÄN</t>
        </is>
      </c>
      <c r="E238" t="inlineStr">
        <is>
          <t>KINDA</t>
        </is>
      </c>
      <c r="F238" t="inlineStr">
        <is>
          <t>Övriga Aktiebolag</t>
        </is>
      </c>
      <c r="G238" t="n">
        <v>13.6</v>
      </c>
      <c r="H238" t="n">
        <v>0</v>
      </c>
      <c r="I238" t="n">
        <v>0</v>
      </c>
      <c r="J238" t="n">
        <v>0</v>
      </c>
      <c r="K238" t="n">
        <v>0</v>
      </c>
      <c r="L238" t="n">
        <v>0</v>
      </c>
      <c r="M238" t="n">
        <v>0</v>
      </c>
      <c r="N238" t="n">
        <v>0</v>
      </c>
      <c r="O238" t="n">
        <v>0</v>
      </c>
      <c r="P238" t="n">
        <v>0</v>
      </c>
      <c r="Q238" t="n">
        <v>0</v>
      </c>
      <c r="R238" s="2" t="inlineStr"/>
    </row>
    <row r="239" ht="15" customHeight="1">
      <c r="A239" t="inlineStr">
        <is>
          <t>A 27600-2025</t>
        </is>
      </c>
      <c r="B239" s="1" t="n">
        <v>45813.52677083333</v>
      </c>
      <c r="C239" s="1" t="n">
        <v>46012</v>
      </c>
      <c r="D239" t="inlineStr">
        <is>
          <t>ÖSTERGÖTLANDS LÄN</t>
        </is>
      </c>
      <c r="E239" t="inlineStr">
        <is>
          <t>KINDA</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46012</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40853-2025</t>
        </is>
      </c>
      <c r="B241" s="1" t="n">
        <v>45897.55340277778</v>
      </c>
      <c r="C241" s="1" t="n">
        <v>46012</v>
      </c>
      <c r="D241" t="inlineStr">
        <is>
          <t>ÖSTERGÖTLANDS LÄN</t>
        </is>
      </c>
      <c r="E241" t="inlineStr">
        <is>
          <t>KINDA</t>
        </is>
      </c>
      <c r="G241" t="n">
        <v>2.2</v>
      </c>
      <c r="H241" t="n">
        <v>0</v>
      </c>
      <c r="I241" t="n">
        <v>0</v>
      </c>
      <c r="J241" t="n">
        <v>0</v>
      </c>
      <c r="K241" t="n">
        <v>0</v>
      </c>
      <c r="L241" t="n">
        <v>0</v>
      </c>
      <c r="M241" t="n">
        <v>0</v>
      </c>
      <c r="N241" t="n">
        <v>0</v>
      </c>
      <c r="O241" t="n">
        <v>0</v>
      </c>
      <c r="P241" t="n">
        <v>0</v>
      </c>
      <c r="Q241" t="n">
        <v>0</v>
      </c>
      <c r="R241" s="2" t="inlineStr"/>
    </row>
    <row r="242" ht="15" customHeight="1">
      <c r="A242" t="inlineStr">
        <is>
          <t>A 40850-2025</t>
        </is>
      </c>
      <c r="B242" s="1" t="n">
        <v>45897.55149305556</v>
      </c>
      <c r="C242" s="1" t="n">
        <v>46012</v>
      </c>
      <c r="D242" t="inlineStr">
        <is>
          <t>ÖSTERGÖTLANDS LÄN</t>
        </is>
      </c>
      <c r="E242" t="inlineStr">
        <is>
          <t>KINDA</t>
        </is>
      </c>
      <c r="G242" t="n">
        <v>3</v>
      </c>
      <c r="H242" t="n">
        <v>0</v>
      </c>
      <c r="I242" t="n">
        <v>0</v>
      </c>
      <c r="J242" t="n">
        <v>0</v>
      </c>
      <c r="K242" t="n">
        <v>0</v>
      </c>
      <c r="L242" t="n">
        <v>0</v>
      </c>
      <c r="M242" t="n">
        <v>0</v>
      </c>
      <c r="N242" t="n">
        <v>0</v>
      </c>
      <c r="O242" t="n">
        <v>0</v>
      </c>
      <c r="P242" t="n">
        <v>0</v>
      </c>
      <c r="Q242" t="n">
        <v>0</v>
      </c>
      <c r="R242" s="2" t="inlineStr"/>
    </row>
    <row r="243" ht="15" customHeight="1">
      <c r="A243" t="inlineStr">
        <is>
          <t>A 33043-2024</t>
        </is>
      </c>
      <c r="B243" s="1" t="n">
        <v>45517.61326388889</v>
      </c>
      <c r="C243" s="1" t="n">
        <v>46012</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13769-2023</t>
        </is>
      </c>
      <c r="B244" s="1" t="n">
        <v>45007.45686342593</v>
      </c>
      <c r="C244" s="1" t="n">
        <v>46012</v>
      </c>
      <c r="D244" t="inlineStr">
        <is>
          <t>ÖSTERGÖTLANDS LÄN</t>
        </is>
      </c>
      <c r="E244" t="inlineStr">
        <is>
          <t>KINDA</t>
        </is>
      </c>
      <c r="G244" t="n">
        <v>3.8</v>
      </c>
      <c r="H244" t="n">
        <v>0</v>
      </c>
      <c r="I244" t="n">
        <v>0</v>
      </c>
      <c r="J244" t="n">
        <v>0</v>
      </c>
      <c r="K244" t="n">
        <v>0</v>
      </c>
      <c r="L244" t="n">
        <v>0</v>
      </c>
      <c r="M244" t="n">
        <v>0</v>
      </c>
      <c r="N244" t="n">
        <v>0</v>
      </c>
      <c r="O244" t="n">
        <v>0</v>
      </c>
      <c r="P244" t="n">
        <v>0</v>
      </c>
      <c r="Q244" t="n">
        <v>0</v>
      </c>
      <c r="R244" s="2" t="inlineStr"/>
    </row>
    <row r="245" ht="15" customHeight="1">
      <c r="A245" t="inlineStr">
        <is>
          <t>A 27966-2025</t>
        </is>
      </c>
      <c r="B245" s="1" t="n">
        <v>45817.55668981482</v>
      </c>
      <c r="C245" s="1" t="n">
        <v>46012</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13673-2024</t>
        </is>
      </c>
      <c r="B246" s="1" t="n">
        <v>45390.53634259259</v>
      </c>
      <c r="C246" s="1" t="n">
        <v>46012</v>
      </c>
      <c r="D246" t="inlineStr">
        <is>
          <t>ÖSTERGÖTLANDS LÄN</t>
        </is>
      </c>
      <c r="E246" t="inlineStr">
        <is>
          <t>KINDA</t>
        </is>
      </c>
      <c r="F246" t="inlineStr">
        <is>
          <t>Övriga Aktiebolag</t>
        </is>
      </c>
      <c r="G246" t="n">
        <v>0.9</v>
      </c>
      <c r="H246" t="n">
        <v>0</v>
      </c>
      <c r="I246" t="n">
        <v>0</v>
      </c>
      <c r="J246" t="n">
        <v>0</v>
      </c>
      <c r="K246" t="n">
        <v>0</v>
      </c>
      <c r="L246" t="n">
        <v>0</v>
      </c>
      <c r="M246" t="n">
        <v>0</v>
      </c>
      <c r="N246" t="n">
        <v>0</v>
      </c>
      <c r="O246" t="n">
        <v>0</v>
      </c>
      <c r="P246" t="n">
        <v>0</v>
      </c>
      <c r="Q246" t="n">
        <v>0</v>
      </c>
      <c r="R246" s="2" t="inlineStr"/>
    </row>
    <row r="247" ht="15" customHeight="1">
      <c r="A247" t="inlineStr">
        <is>
          <t>A 27969-2025</t>
        </is>
      </c>
      <c r="B247" s="1" t="n">
        <v>45817.55887731481</v>
      </c>
      <c r="C247" s="1" t="n">
        <v>46012</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5086-2023</t>
        </is>
      </c>
      <c r="B248" s="1" t="n">
        <v>44953</v>
      </c>
      <c r="C248" s="1" t="n">
        <v>46012</v>
      </c>
      <c r="D248" t="inlineStr">
        <is>
          <t>ÖSTERGÖTLANDS LÄN</t>
        </is>
      </c>
      <c r="E248" t="inlineStr">
        <is>
          <t>KINDA</t>
        </is>
      </c>
      <c r="G248" t="n">
        <v>4.2</v>
      </c>
      <c r="H248" t="n">
        <v>0</v>
      </c>
      <c r="I248" t="n">
        <v>0</v>
      </c>
      <c r="J248" t="n">
        <v>0</v>
      </c>
      <c r="K248" t="n">
        <v>0</v>
      </c>
      <c r="L248" t="n">
        <v>0</v>
      </c>
      <c r="M248" t="n">
        <v>0</v>
      </c>
      <c r="N248" t="n">
        <v>0</v>
      </c>
      <c r="O248" t="n">
        <v>0</v>
      </c>
      <c r="P248" t="n">
        <v>0</v>
      </c>
      <c r="Q248" t="n">
        <v>0</v>
      </c>
      <c r="R248" s="2" t="inlineStr"/>
    </row>
    <row r="249" ht="15" customHeight="1">
      <c r="A249" t="inlineStr">
        <is>
          <t>A 60824-2023</t>
        </is>
      </c>
      <c r="B249" s="1" t="n">
        <v>45260.80365740741</v>
      </c>
      <c r="C249" s="1" t="n">
        <v>46012</v>
      </c>
      <c r="D249" t="inlineStr">
        <is>
          <t>ÖSTERGÖTLANDS LÄN</t>
        </is>
      </c>
      <c r="E249" t="inlineStr">
        <is>
          <t>KINDA</t>
        </is>
      </c>
      <c r="G249" t="n">
        <v>3.1</v>
      </c>
      <c r="H249" t="n">
        <v>0</v>
      </c>
      <c r="I249" t="n">
        <v>0</v>
      </c>
      <c r="J249" t="n">
        <v>0</v>
      </c>
      <c r="K249" t="n">
        <v>0</v>
      </c>
      <c r="L249" t="n">
        <v>0</v>
      </c>
      <c r="M249" t="n">
        <v>0</v>
      </c>
      <c r="N249" t="n">
        <v>0</v>
      </c>
      <c r="O249" t="n">
        <v>0</v>
      </c>
      <c r="P249" t="n">
        <v>0</v>
      </c>
      <c r="Q249" t="n">
        <v>0</v>
      </c>
      <c r="R249" s="2" t="inlineStr"/>
    </row>
    <row r="250" ht="15" customHeight="1">
      <c r="A250" t="inlineStr">
        <is>
          <t>A 28256-2025</t>
        </is>
      </c>
      <c r="B250" s="1" t="n">
        <v>45818</v>
      </c>
      <c r="C250" s="1" t="n">
        <v>46012</v>
      </c>
      <c r="D250" t="inlineStr">
        <is>
          <t>ÖSTERGÖTLANDS LÄN</t>
        </is>
      </c>
      <c r="E250" t="inlineStr">
        <is>
          <t>KINDA</t>
        </is>
      </c>
      <c r="G250" t="n">
        <v>1.9</v>
      </c>
      <c r="H250" t="n">
        <v>0</v>
      </c>
      <c r="I250" t="n">
        <v>0</v>
      </c>
      <c r="J250" t="n">
        <v>0</v>
      </c>
      <c r="K250" t="n">
        <v>0</v>
      </c>
      <c r="L250" t="n">
        <v>0</v>
      </c>
      <c r="M250" t="n">
        <v>0</v>
      </c>
      <c r="N250" t="n">
        <v>0</v>
      </c>
      <c r="O250" t="n">
        <v>0</v>
      </c>
      <c r="P250" t="n">
        <v>0</v>
      </c>
      <c r="Q250" t="n">
        <v>0</v>
      </c>
      <c r="R250" s="2" t="inlineStr"/>
    </row>
    <row r="251" ht="15" customHeight="1">
      <c r="A251" t="inlineStr">
        <is>
          <t>A 28258-2025</t>
        </is>
      </c>
      <c r="B251" s="1" t="n">
        <v>45818</v>
      </c>
      <c r="C251" s="1" t="n">
        <v>46012</v>
      </c>
      <c r="D251" t="inlineStr">
        <is>
          <t>ÖSTERGÖTLANDS LÄN</t>
        </is>
      </c>
      <c r="E251" t="inlineStr">
        <is>
          <t>KINDA</t>
        </is>
      </c>
      <c r="G251" t="n">
        <v>3.4</v>
      </c>
      <c r="H251" t="n">
        <v>0</v>
      </c>
      <c r="I251" t="n">
        <v>0</v>
      </c>
      <c r="J251" t="n">
        <v>0</v>
      </c>
      <c r="K251" t="n">
        <v>0</v>
      </c>
      <c r="L251" t="n">
        <v>0</v>
      </c>
      <c r="M251" t="n">
        <v>0</v>
      </c>
      <c r="N251" t="n">
        <v>0</v>
      </c>
      <c r="O251" t="n">
        <v>0</v>
      </c>
      <c r="P251" t="n">
        <v>0</v>
      </c>
      <c r="Q251" t="n">
        <v>0</v>
      </c>
      <c r="R251" s="2" t="inlineStr"/>
    </row>
    <row r="252" ht="15" customHeight="1">
      <c r="A252" t="inlineStr">
        <is>
          <t>A 41396-2025</t>
        </is>
      </c>
      <c r="B252" s="1" t="n">
        <v>45901.32078703704</v>
      </c>
      <c r="C252" s="1" t="n">
        <v>46012</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8501-2024</t>
        </is>
      </c>
      <c r="B253" s="1" t="n">
        <v>45355.45898148148</v>
      </c>
      <c r="C253" s="1" t="n">
        <v>46012</v>
      </c>
      <c r="D253" t="inlineStr">
        <is>
          <t>ÖSTERGÖTLANDS LÄN</t>
        </is>
      </c>
      <c r="E253" t="inlineStr">
        <is>
          <t>KINDA</t>
        </is>
      </c>
      <c r="F253" t="inlineStr">
        <is>
          <t>Övriga Aktiebolag</t>
        </is>
      </c>
      <c r="G253" t="n">
        <v>10.3</v>
      </c>
      <c r="H253" t="n">
        <v>0</v>
      </c>
      <c r="I253" t="n">
        <v>0</v>
      </c>
      <c r="J253" t="n">
        <v>0</v>
      </c>
      <c r="K253" t="n">
        <v>0</v>
      </c>
      <c r="L253" t="n">
        <v>0</v>
      </c>
      <c r="M253" t="n">
        <v>0</v>
      </c>
      <c r="N253" t="n">
        <v>0</v>
      </c>
      <c r="O253" t="n">
        <v>0</v>
      </c>
      <c r="P253" t="n">
        <v>0</v>
      </c>
      <c r="Q253" t="n">
        <v>0</v>
      </c>
      <c r="R253" s="2" t="inlineStr"/>
    </row>
    <row r="254" ht="15" customHeight="1">
      <c r="A254" t="inlineStr">
        <is>
          <t>A 28519-2025</t>
        </is>
      </c>
      <c r="B254" s="1" t="n">
        <v>45819.4893287037</v>
      </c>
      <c r="C254" s="1" t="n">
        <v>46012</v>
      </c>
      <c r="D254" t="inlineStr">
        <is>
          <t>ÖSTERGÖTLANDS LÄN</t>
        </is>
      </c>
      <c r="E254" t="inlineStr">
        <is>
          <t>KINDA</t>
        </is>
      </c>
      <c r="F254" t="inlineStr">
        <is>
          <t>Övriga Aktiebolag</t>
        </is>
      </c>
      <c r="G254" t="n">
        <v>2.9</v>
      </c>
      <c r="H254" t="n">
        <v>0</v>
      </c>
      <c r="I254" t="n">
        <v>0</v>
      </c>
      <c r="J254" t="n">
        <v>0</v>
      </c>
      <c r="K254" t="n">
        <v>0</v>
      </c>
      <c r="L254" t="n">
        <v>0</v>
      </c>
      <c r="M254" t="n">
        <v>0</v>
      </c>
      <c r="N254" t="n">
        <v>0</v>
      </c>
      <c r="O254" t="n">
        <v>0</v>
      </c>
      <c r="P254" t="n">
        <v>0</v>
      </c>
      <c r="Q254" t="n">
        <v>0</v>
      </c>
      <c r="R254" s="2" t="inlineStr"/>
    </row>
    <row r="255" ht="15" customHeight="1">
      <c r="A255" t="inlineStr">
        <is>
          <t>A 28552-2025</t>
        </is>
      </c>
      <c r="B255" s="1" t="n">
        <v>45819.53686342593</v>
      </c>
      <c r="C255" s="1" t="n">
        <v>46012</v>
      </c>
      <c r="D255" t="inlineStr">
        <is>
          <t>ÖSTERGÖTLANDS LÄN</t>
        </is>
      </c>
      <c r="E255" t="inlineStr">
        <is>
          <t>KINDA</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28568-2025</t>
        </is>
      </c>
      <c r="B256" s="1" t="n">
        <v>45819.55849537037</v>
      </c>
      <c r="C256" s="1" t="n">
        <v>46012</v>
      </c>
      <c r="D256" t="inlineStr">
        <is>
          <t>ÖSTERGÖTLANDS LÄN</t>
        </is>
      </c>
      <c r="E256" t="inlineStr">
        <is>
          <t>KINDA</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28479-2025</t>
        </is>
      </c>
      <c r="B257" s="1" t="n">
        <v>45819.4475</v>
      </c>
      <c r="C257" s="1" t="n">
        <v>46012</v>
      </c>
      <c r="D257" t="inlineStr">
        <is>
          <t>ÖSTERGÖTLANDS LÄN</t>
        </is>
      </c>
      <c r="E257" t="inlineStr">
        <is>
          <t>KINDA</t>
        </is>
      </c>
      <c r="F257" t="inlineStr">
        <is>
          <t>Övriga Aktiebolag</t>
        </is>
      </c>
      <c r="G257" t="n">
        <v>15.2</v>
      </c>
      <c r="H257" t="n">
        <v>0</v>
      </c>
      <c r="I257" t="n">
        <v>0</v>
      </c>
      <c r="J257" t="n">
        <v>0</v>
      </c>
      <c r="K257" t="n">
        <v>0</v>
      </c>
      <c r="L257" t="n">
        <v>0</v>
      </c>
      <c r="M257" t="n">
        <v>0</v>
      </c>
      <c r="N257" t="n">
        <v>0</v>
      </c>
      <c r="O257" t="n">
        <v>0</v>
      </c>
      <c r="P257" t="n">
        <v>0</v>
      </c>
      <c r="Q257" t="n">
        <v>0</v>
      </c>
      <c r="R257" s="2" t="inlineStr"/>
    </row>
    <row r="258" ht="15" customHeight="1">
      <c r="A258" t="inlineStr">
        <is>
          <t>A 1880-2025</t>
        </is>
      </c>
      <c r="B258" s="1" t="n">
        <v>45671.62322916667</v>
      </c>
      <c r="C258" s="1" t="n">
        <v>46012</v>
      </c>
      <c r="D258" t="inlineStr">
        <is>
          <t>ÖSTERGÖTLANDS LÄN</t>
        </is>
      </c>
      <c r="E258" t="inlineStr">
        <is>
          <t>KINDA</t>
        </is>
      </c>
      <c r="G258" t="n">
        <v>1.5</v>
      </c>
      <c r="H258" t="n">
        <v>0</v>
      </c>
      <c r="I258" t="n">
        <v>0</v>
      </c>
      <c r="J258" t="n">
        <v>0</v>
      </c>
      <c r="K258" t="n">
        <v>0</v>
      </c>
      <c r="L258" t="n">
        <v>0</v>
      </c>
      <c r="M258" t="n">
        <v>0</v>
      </c>
      <c r="N258" t="n">
        <v>0</v>
      </c>
      <c r="O258" t="n">
        <v>0</v>
      </c>
      <c r="P258" t="n">
        <v>0</v>
      </c>
      <c r="Q258" t="n">
        <v>0</v>
      </c>
      <c r="R258" s="2" t="inlineStr"/>
    </row>
    <row r="259" ht="15" customHeight="1">
      <c r="A259" t="inlineStr">
        <is>
          <t>A 28611-2025</t>
        </is>
      </c>
      <c r="B259" s="1" t="n">
        <v>45819.60376157407</v>
      </c>
      <c r="C259" s="1" t="n">
        <v>46012</v>
      </c>
      <c r="D259" t="inlineStr">
        <is>
          <t>ÖSTERGÖTLANDS LÄN</t>
        </is>
      </c>
      <c r="E259" t="inlineStr">
        <is>
          <t>KINDA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14817-2023</t>
        </is>
      </c>
      <c r="B260" s="1" t="n">
        <v>45014.65841435185</v>
      </c>
      <c r="C260" s="1" t="n">
        <v>46012</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29210-2025</t>
        </is>
      </c>
      <c r="B261" s="1" t="n">
        <v>45823.95060185185</v>
      </c>
      <c r="C261" s="1" t="n">
        <v>46012</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29079-2025</t>
        </is>
      </c>
      <c r="B262" s="1" t="n">
        <v>45821</v>
      </c>
      <c r="C262" s="1" t="n">
        <v>46012</v>
      </c>
      <c r="D262" t="inlineStr">
        <is>
          <t>ÖSTERGÖTLANDS LÄN</t>
        </is>
      </c>
      <c r="E262" t="inlineStr">
        <is>
          <t>KINDA</t>
        </is>
      </c>
      <c r="G262" t="n">
        <v>5.7</v>
      </c>
      <c r="H262" t="n">
        <v>0</v>
      </c>
      <c r="I262" t="n">
        <v>0</v>
      </c>
      <c r="J262" t="n">
        <v>0</v>
      </c>
      <c r="K262" t="n">
        <v>0</v>
      </c>
      <c r="L262" t="n">
        <v>0</v>
      </c>
      <c r="M262" t="n">
        <v>0</v>
      </c>
      <c r="N262" t="n">
        <v>0</v>
      </c>
      <c r="O262" t="n">
        <v>0</v>
      </c>
      <c r="P262" t="n">
        <v>0</v>
      </c>
      <c r="Q262" t="n">
        <v>0</v>
      </c>
      <c r="R262" s="2" t="inlineStr"/>
    </row>
    <row r="263" ht="15" customHeight="1">
      <c r="A263" t="inlineStr">
        <is>
          <t>A 29086-2025</t>
        </is>
      </c>
      <c r="B263" s="1" t="n">
        <v>45821</v>
      </c>
      <c r="C263" s="1" t="n">
        <v>46012</v>
      </c>
      <c r="D263" t="inlineStr">
        <is>
          <t>ÖSTERGÖTLANDS LÄN</t>
        </is>
      </c>
      <c r="E263" t="inlineStr">
        <is>
          <t>KINDA</t>
        </is>
      </c>
      <c r="G263" t="n">
        <v>2</v>
      </c>
      <c r="H263" t="n">
        <v>0</v>
      </c>
      <c r="I263" t="n">
        <v>0</v>
      </c>
      <c r="J263" t="n">
        <v>0</v>
      </c>
      <c r="K263" t="n">
        <v>0</v>
      </c>
      <c r="L263" t="n">
        <v>0</v>
      </c>
      <c r="M263" t="n">
        <v>0</v>
      </c>
      <c r="N263" t="n">
        <v>0</v>
      </c>
      <c r="O263" t="n">
        <v>0</v>
      </c>
      <c r="P263" t="n">
        <v>0</v>
      </c>
      <c r="Q263" t="n">
        <v>0</v>
      </c>
      <c r="R263" s="2" t="inlineStr"/>
    </row>
    <row r="264" ht="15" customHeight="1">
      <c r="A264" t="inlineStr">
        <is>
          <t>A 42512-2025</t>
        </is>
      </c>
      <c r="B264" s="1" t="n">
        <v>45904</v>
      </c>
      <c r="C264" s="1" t="n">
        <v>46012</v>
      </c>
      <c r="D264" t="inlineStr">
        <is>
          <t>ÖSTERGÖTLANDS LÄN</t>
        </is>
      </c>
      <c r="E264" t="inlineStr">
        <is>
          <t>KINDA</t>
        </is>
      </c>
      <c r="G264" t="n">
        <v>2.2</v>
      </c>
      <c r="H264" t="n">
        <v>0</v>
      </c>
      <c r="I264" t="n">
        <v>0</v>
      </c>
      <c r="J264" t="n">
        <v>0</v>
      </c>
      <c r="K264" t="n">
        <v>0</v>
      </c>
      <c r="L264" t="n">
        <v>0</v>
      </c>
      <c r="M264" t="n">
        <v>0</v>
      </c>
      <c r="N264" t="n">
        <v>0</v>
      </c>
      <c r="O264" t="n">
        <v>0</v>
      </c>
      <c r="P264" t="n">
        <v>0</v>
      </c>
      <c r="Q264" t="n">
        <v>0</v>
      </c>
      <c r="R264" s="2" t="inlineStr"/>
    </row>
    <row r="265" ht="15" customHeight="1">
      <c r="A265" t="inlineStr">
        <is>
          <t>A 29078-2025</t>
        </is>
      </c>
      <c r="B265" s="1" t="n">
        <v>45821</v>
      </c>
      <c r="C265" s="1" t="n">
        <v>46012</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42509-2025</t>
        </is>
      </c>
      <c r="B266" s="1" t="n">
        <v>45904</v>
      </c>
      <c r="C266" s="1" t="n">
        <v>46012</v>
      </c>
      <c r="D266" t="inlineStr">
        <is>
          <t>ÖSTERGÖTLANDS LÄN</t>
        </is>
      </c>
      <c r="E266" t="inlineStr">
        <is>
          <t>KINDA</t>
        </is>
      </c>
      <c r="G266" t="n">
        <v>3.5</v>
      </c>
      <c r="H266" t="n">
        <v>0</v>
      </c>
      <c r="I266" t="n">
        <v>0</v>
      </c>
      <c r="J266" t="n">
        <v>0</v>
      </c>
      <c r="K266" t="n">
        <v>0</v>
      </c>
      <c r="L266" t="n">
        <v>0</v>
      </c>
      <c r="M266" t="n">
        <v>0</v>
      </c>
      <c r="N266" t="n">
        <v>0</v>
      </c>
      <c r="O266" t="n">
        <v>0</v>
      </c>
      <c r="P266" t="n">
        <v>0</v>
      </c>
      <c r="Q266" t="n">
        <v>0</v>
      </c>
      <c r="R266" s="2" t="inlineStr"/>
    </row>
    <row r="267" ht="15" customHeight="1">
      <c r="A267" t="inlineStr">
        <is>
          <t>A 42511-2025</t>
        </is>
      </c>
      <c r="B267" s="1" t="n">
        <v>45904</v>
      </c>
      <c r="C267" s="1" t="n">
        <v>46012</v>
      </c>
      <c r="D267" t="inlineStr">
        <is>
          <t>ÖSTERGÖTLANDS LÄN</t>
        </is>
      </c>
      <c r="E267" t="inlineStr">
        <is>
          <t>KINDA</t>
        </is>
      </c>
      <c r="G267" t="n">
        <v>2.3</v>
      </c>
      <c r="H267" t="n">
        <v>0</v>
      </c>
      <c r="I267" t="n">
        <v>0</v>
      </c>
      <c r="J267" t="n">
        <v>0</v>
      </c>
      <c r="K267" t="n">
        <v>0</v>
      </c>
      <c r="L267" t="n">
        <v>0</v>
      </c>
      <c r="M267" t="n">
        <v>0</v>
      </c>
      <c r="N267" t="n">
        <v>0</v>
      </c>
      <c r="O267" t="n">
        <v>0</v>
      </c>
      <c r="P267" t="n">
        <v>0</v>
      </c>
      <c r="Q267" t="n">
        <v>0</v>
      </c>
      <c r="R267" s="2" t="inlineStr"/>
    </row>
    <row r="268" ht="15" customHeight="1">
      <c r="A268" t="inlineStr">
        <is>
          <t>A 29211-2025</t>
        </is>
      </c>
      <c r="B268" s="1" t="n">
        <v>45823.95393518519</v>
      </c>
      <c r="C268" s="1" t="n">
        <v>46012</v>
      </c>
      <c r="D268" t="inlineStr">
        <is>
          <t>ÖSTERGÖTLANDS LÄN</t>
        </is>
      </c>
      <c r="E268" t="inlineStr">
        <is>
          <t>KINDA</t>
        </is>
      </c>
      <c r="G268" t="n">
        <v>2.4</v>
      </c>
      <c r="H268" t="n">
        <v>0</v>
      </c>
      <c r="I268" t="n">
        <v>0</v>
      </c>
      <c r="J268" t="n">
        <v>0</v>
      </c>
      <c r="K268" t="n">
        <v>0</v>
      </c>
      <c r="L268" t="n">
        <v>0</v>
      </c>
      <c r="M268" t="n">
        <v>0</v>
      </c>
      <c r="N268" t="n">
        <v>0</v>
      </c>
      <c r="O268" t="n">
        <v>0</v>
      </c>
      <c r="P268" t="n">
        <v>0</v>
      </c>
      <c r="Q268" t="n">
        <v>0</v>
      </c>
      <c r="R268" s="2" t="inlineStr"/>
    </row>
    <row r="269" ht="15" customHeight="1">
      <c r="A269" t="inlineStr">
        <is>
          <t>A 29061-2025</t>
        </is>
      </c>
      <c r="B269" s="1" t="n">
        <v>45821</v>
      </c>
      <c r="C269" s="1" t="n">
        <v>46012</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29092-2025</t>
        </is>
      </c>
      <c r="B270" s="1" t="n">
        <v>45821</v>
      </c>
      <c r="C270" s="1" t="n">
        <v>46012</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49443-2021</t>
        </is>
      </c>
      <c r="B271" s="1" t="n">
        <v>44454.66972222222</v>
      </c>
      <c r="C271" s="1" t="n">
        <v>46012</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27966-2023</t>
        </is>
      </c>
      <c r="B272" s="1" t="n">
        <v>45098.70277777778</v>
      </c>
      <c r="C272" s="1" t="n">
        <v>46012</v>
      </c>
      <c r="D272" t="inlineStr">
        <is>
          <t>ÖSTERGÖTLANDS LÄN</t>
        </is>
      </c>
      <c r="E272" t="inlineStr">
        <is>
          <t>KINDA</t>
        </is>
      </c>
      <c r="G272" t="n">
        <v>2.9</v>
      </c>
      <c r="H272" t="n">
        <v>0</v>
      </c>
      <c r="I272" t="n">
        <v>0</v>
      </c>
      <c r="J272" t="n">
        <v>0</v>
      </c>
      <c r="K272" t="n">
        <v>0</v>
      </c>
      <c r="L272" t="n">
        <v>0</v>
      </c>
      <c r="M272" t="n">
        <v>0</v>
      </c>
      <c r="N272" t="n">
        <v>0</v>
      </c>
      <c r="O272" t="n">
        <v>0</v>
      </c>
      <c r="P272" t="n">
        <v>0</v>
      </c>
      <c r="Q272" t="n">
        <v>0</v>
      </c>
      <c r="R272" s="2" t="inlineStr"/>
    </row>
    <row r="273" ht="15" customHeight="1">
      <c r="A273" t="inlineStr">
        <is>
          <t>A 34627-2023</t>
        </is>
      </c>
      <c r="B273" s="1" t="n">
        <v>45139</v>
      </c>
      <c r="C273" s="1" t="n">
        <v>46012</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10806-2024</t>
        </is>
      </c>
      <c r="B274" s="1" t="n">
        <v>45369.62628472222</v>
      </c>
      <c r="C274" s="1" t="n">
        <v>46012</v>
      </c>
      <c r="D274" t="inlineStr">
        <is>
          <t>ÖSTERGÖTLANDS LÄN</t>
        </is>
      </c>
      <c r="E274" t="inlineStr">
        <is>
          <t>KINDA</t>
        </is>
      </c>
      <c r="G274" t="n">
        <v>4.2</v>
      </c>
      <c r="H274" t="n">
        <v>0</v>
      </c>
      <c r="I274" t="n">
        <v>0</v>
      </c>
      <c r="J274" t="n">
        <v>0</v>
      </c>
      <c r="K274" t="n">
        <v>0</v>
      </c>
      <c r="L274" t="n">
        <v>0</v>
      </c>
      <c r="M274" t="n">
        <v>0</v>
      </c>
      <c r="N274" t="n">
        <v>0</v>
      </c>
      <c r="O274" t="n">
        <v>0</v>
      </c>
      <c r="P274" t="n">
        <v>0</v>
      </c>
      <c r="Q274" t="n">
        <v>0</v>
      </c>
      <c r="R274" s="2" t="inlineStr"/>
    </row>
    <row r="275" ht="15" customHeight="1">
      <c r="A275" t="inlineStr">
        <is>
          <t>A 29471-2025</t>
        </is>
      </c>
      <c r="B275" s="1" t="n">
        <v>45824</v>
      </c>
      <c r="C275" s="1" t="n">
        <v>46012</v>
      </c>
      <c r="D275" t="inlineStr">
        <is>
          <t>ÖSTERGÖTLANDS LÄN</t>
        </is>
      </c>
      <c r="E275" t="inlineStr">
        <is>
          <t>KINDA</t>
        </is>
      </c>
      <c r="G275" t="n">
        <v>5.4</v>
      </c>
      <c r="H275" t="n">
        <v>0</v>
      </c>
      <c r="I275" t="n">
        <v>0</v>
      </c>
      <c r="J275" t="n">
        <v>0</v>
      </c>
      <c r="K275" t="n">
        <v>0</v>
      </c>
      <c r="L275" t="n">
        <v>0</v>
      </c>
      <c r="M275" t="n">
        <v>0</v>
      </c>
      <c r="N275" t="n">
        <v>0</v>
      </c>
      <c r="O275" t="n">
        <v>0</v>
      </c>
      <c r="P275" t="n">
        <v>0</v>
      </c>
      <c r="Q275" t="n">
        <v>0</v>
      </c>
      <c r="R275" s="2" t="inlineStr"/>
    </row>
    <row r="276" ht="15" customHeight="1">
      <c r="A276" t="inlineStr">
        <is>
          <t>A 42375-2025</t>
        </is>
      </c>
      <c r="B276" s="1" t="n">
        <v>45905.33846064815</v>
      </c>
      <c r="C276" s="1" t="n">
        <v>46012</v>
      </c>
      <c r="D276" t="inlineStr">
        <is>
          <t>ÖSTERGÖTLANDS LÄN</t>
        </is>
      </c>
      <c r="E276" t="inlineStr">
        <is>
          <t>KINDA</t>
        </is>
      </c>
      <c r="G276" t="n">
        <v>1.4</v>
      </c>
      <c r="H276" t="n">
        <v>0</v>
      </c>
      <c r="I276" t="n">
        <v>0</v>
      </c>
      <c r="J276" t="n">
        <v>0</v>
      </c>
      <c r="K276" t="n">
        <v>0</v>
      </c>
      <c r="L276" t="n">
        <v>0</v>
      </c>
      <c r="M276" t="n">
        <v>0</v>
      </c>
      <c r="N276" t="n">
        <v>0</v>
      </c>
      <c r="O276" t="n">
        <v>0</v>
      </c>
      <c r="P276" t="n">
        <v>0</v>
      </c>
      <c r="Q276" t="n">
        <v>0</v>
      </c>
      <c r="R276" s="2" t="inlineStr"/>
    </row>
    <row r="277" ht="15" customHeight="1">
      <c r="A277" t="inlineStr">
        <is>
          <t>A 43069-2024</t>
        </is>
      </c>
      <c r="B277" s="1" t="n">
        <v>45567.47780092592</v>
      </c>
      <c r="C277" s="1" t="n">
        <v>46012</v>
      </c>
      <c r="D277" t="inlineStr">
        <is>
          <t>ÖSTERGÖTLANDS LÄN</t>
        </is>
      </c>
      <c r="E277" t="inlineStr">
        <is>
          <t>KINDA</t>
        </is>
      </c>
      <c r="G277" t="n">
        <v>4.1</v>
      </c>
      <c r="H277" t="n">
        <v>0</v>
      </c>
      <c r="I277" t="n">
        <v>0</v>
      </c>
      <c r="J277" t="n">
        <v>0</v>
      </c>
      <c r="K277" t="n">
        <v>0</v>
      </c>
      <c r="L277" t="n">
        <v>0</v>
      </c>
      <c r="M277" t="n">
        <v>0</v>
      </c>
      <c r="N277" t="n">
        <v>0</v>
      </c>
      <c r="O277" t="n">
        <v>0</v>
      </c>
      <c r="P277" t="n">
        <v>0</v>
      </c>
      <c r="Q277" t="n">
        <v>0</v>
      </c>
      <c r="R277" s="2" t="inlineStr"/>
    </row>
    <row r="278" ht="15" customHeight="1">
      <c r="A278" t="inlineStr">
        <is>
          <t>A 51836-2021</t>
        </is>
      </c>
      <c r="B278" s="1" t="n">
        <v>44462</v>
      </c>
      <c r="C278" s="1" t="n">
        <v>46012</v>
      </c>
      <c r="D278" t="inlineStr">
        <is>
          <t>ÖSTERGÖTLANDS LÄN</t>
        </is>
      </c>
      <c r="E278" t="inlineStr">
        <is>
          <t>KINDA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1161-2021</t>
        </is>
      </c>
      <c r="B279" s="1" t="n">
        <v>44207</v>
      </c>
      <c r="C279" s="1" t="n">
        <v>46012</v>
      </c>
      <c r="D279" t="inlineStr">
        <is>
          <t>ÖSTERGÖTLANDS LÄN</t>
        </is>
      </c>
      <c r="E279" t="inlineStr">
        <is>
          <t>KINDA</t>
        </is>
      </c>
      <c r="G279" t="n">
        <v>3.7</v>
      </c>
      <c r="H279" t="n">
        <v>0</v>
      </c>
      <c r="I279" t="n">
        <v>0</v>
      </c>
      <c r="J279" t="n">
        <v>0</v>
      </c>
      <c r="K279" t="n">
        <v>0</v>
      </c>
      <c r="L279" t="n">
        <v>0</v>
      </c>
      <c r="M279" t="n">
        <v>0</v>
      </c>
      <c r="N279" t="n">
        <v>0</v>
      </c>
      <c r="O279" t="n">
        <v>0</v>
      </c>
      <c r="P279" t="n">
        <v>0</v>
      </c>
      <c r="Q279" t="n">
        <v>0</v>
      </c>
      <c r="R279" s="2" t="inlineStr"/>
    </row>
    <row r="280" ht="15" customHeight="1">
      <c r="A280" t="inlineStr">
        <is>
          <t>A 42977-2025</t>
        </is>
      </c>
      <c r="B280" s="1" t="n">
        <v>45909.42916666667</v>
      </c>
      <c r="C280" s="1" t="n">
        <v>46012</v>
      </c>
      <c r="D280" t="inlineStr">
        <is>
          <t>ÖSTERGÖTLANDS LÄN</t>
        </is>
      </c>
      <c r="E280" t="inlineStr">
        <is>
          <t>KINDA</t>
        </is>
      </c>
      <c r="G280" t="n">
        <v>4.3</v>
      </c>
      <c r="H280" t="n">
        <v>0</v>
      </c>
      <c r="I280" t="n">
        <v>0</v>
      </c>
      <c r="J280" t="n">
        <v>0</v>
      </c>
      <c r="K280" t="n">
        <v>0</v>
      </c>
      <c r="L280" t="n">
        <v>0</v>
      </c>
      <c r="M280" t="n">
        <v>0</v>
      </c>
      <c r="N280" t="n">
        <v>0</v>
      </c>
      <c r="O280" t="n">
        <v>0</v>
      </c>
      <c r="P280" t="n">
        <v>0</v>
      </c>
      <c r="Q280" t="n">
        <v>0</v>
      </c>
      <c r="R280" s="2" t="inlineStr"/>
    </row>
    <row r="281" ht="15" customHeight="1">
      <c r="A281" t="inlineStr">
        <is>
          <t>A 42993-2025</t>
        </is>
      </c>
      <c r="B281" s="1" t="n">
        <v>45909.45248842592</v>
      </c>
      <c r="C281" s="1" t="n">
        <v>46012</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43005-2025</t>
        </is>
      </c>
      <c r="B282" s="1" t="n">
        <v>45909.47525462963</v>
      </c>
      <c r="C282" s="1" t="n">
        <v>46012</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43007-2025</t>
        </is>
      </c>
      <c r="B283" s="1" t="n">
        <v>45909.48123842593</v>
      </c>
      <c r="C283" s="1" t="n">
        <v>46012</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35104-2023</t>
        </is>
      </c>
      <c r="B284" s="1" t="n">
        <v>45145</v>
      </c>
      <c r="C284" s="1" t="n">
        <v>46012</v>
      </c>
      <c r="D284" t="inlineStr">
        <is>
          <t>ÖSTERGÖTLANDS LÄN</t>
        </is>
      </c>
      <c r="E284" t="inlineStr">
        <is>
          <t>KINDA</t>
        </is>
      </c>
      <c r="G284" t="n">
        <v>2.6</v>
      </c>
      <c r="H284" t="n">
        <v>0</v>
      </c>
      <c r="I284" t="n">
        <v>0</v>
      </c>
      <c r="J284" t="n">
        <v>0</v>
      </c>
      <c r="K284" t="n">
        <v>0</v>
      </c>
      <c r="L284" t="n">
        <v>0</v>
      </c>
      <c r="M284" t="n">
        <v>0</v>
      </c>
      <c r="N284" t="n">
        <v>0</v>
      </c>
      <c r="O284" t="n">
        <v>0</v>
      </c>
      <c r="P284" t="n">
        <v>0</v>
      </c>
      <c r="Q284" t="n">
        <v>0</v>
      </c>
      <c r="R284" s="2" t="inlineStr"/>
    </row>
    <row r="285" ht="15" customHeight="1">
      <c r="A285" t="inlineStr">
        <is>
          <t>A 42981-2025</t>
        </is>
      </c>
      <c r="B285" s="1" t="n">
        <v>45909.43236111111</v>
      </c>
      <c r="C285" s="1" t="n">
        <v>46012</v>
      </c>
      <c r="D285" t="inlineStr">
        <is>
          <t>ÖSTERGÖTLANDS LÄN</t>
        </is>
      </c>
      <c r="E285" t="inlineStr">
        <is>
          <t>KINDA</t>
        </is>
      </c>
      <c r="G285" t="n">
        <v>2.6</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46012</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45450-2024</t>
        </is>
      </c>
      <c r="B287" s="1" t="n">
        <v>45576.65969907407</v>
      </c>
      <c r="C287" s="1" t="n">
        <v>46012</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31054-2025</t>
        </is>
      </c>
      <c r="B288" s="1" t="n">
        <v>45832.56275462963</v>
      </c>
      <c r="C288" s="1" t="n">
        <v>46012</v>
      </c>
      <c r="D288" t="inlineStr">
        <is>
          <t>ÖSTERGÖTLANDS LÄN</t>
        </is>
      </c>
      <c r="E288" t="inlineStr">
        <is>
          <t>KINDA</t>
        </is>
      </c>
      <c r="G288" t="n">
        <v>2.3</v>
      </c>
      <c r="H288" t="n">
        <v>0</v>
      </c>
      <c r="I288" t="n">
        <v>0</v>
      </c>
      <c r="J288" t="n">
        <v>0</v>
      </c>
      <c r="K288" t="n">
        <v>0</v>
      </c>
      <c r="L288" t="n">
        <v>0</v>
      </c>
      <c r="M288" t="n">
        <v>0</v>
      </c>
      <c r="N288" t="n">
        <v>0</v>
      </c>
      <c r="O288" t="n">
        <v>0</v>
      </c>
      <c r="P288" t="n">
        <v>0</v>
      </c>
      <c r="Q288" t="n">
        <v>0</v>
      </c>
      <c r="R288" s="2" t="inlineStr"/>
    </row>
    <row r="289" ht="15" customHeight="1">
      <c r="A289" t="inlineStr">
        <is>
          <t>A 21795-2024</t>
        </is>
      </c>
      <c r="B289" s="1" t="n">
        <v>45442.6459837963</v>
      </c>
      <c r="C289" s="1" t="n">
        <v>46012</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31048-2025</t>
        </is>
      </c>
      <c r="B290" s="1" t="n">
        <v>45832.55696759259</v>
      </c>
      <c r="C290" s="1" t="n">
        <v>46012</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30631-2025</t>
        </is>
      </c>
      <c r="B291" s="1" t="n">
        <v>45831.47709490741</v>
      </c>
      <c r="C291" s="1" t="n">
        <v>46012</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43760-2025</t>
        </is>
      </c>
      <c r="B292" s="1" t="n">
        <v>45912.47875</v>
      </c>
      <c r="C292" s="1" t="n">
        <v>46012</v>
      </c>
      <c r="D292" t="inlineStr">
        <is>
          <t>ÖSTERGÖTLANDS LÄN</t>
        </is>
      </c>
      <c r="E292" t="inlineStr">
        <is>
          <t>KINDA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30613-2025</t>
        </is>
      </c>
      <c r="B293" s="1" t="n">
        <v>45831.46635416667</v>
      </c>
      <c r="C293" s="1" t="n">
        <v>46012</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5197-2022</t>
        </is>
      </c>
      <c r="B294" s="1" t="n">
        <v>44594</v>
      </c>
      <c r="C294" s="1" t="n">
        <v>46012</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41657-2024</t>
        </is>
      </c>
      <c r="B295" s="1" t="n">
        <v>45560.64243055556</v>
      </c>
      <c r="C295" s="1" t="n">
        <v>46012</v>
      </c>
      <c r="D295" t="inlineStr">
        <is>
          <t>ÖSTERGÖTLANDS LÄN</t>
        </is>
      </c>
      <c r="E295" t="inlineStr">
        <is>
          <t>KINDA</t>
        </is>
      </c>
      <c r="G295" t="n">
        <v>0.4</v>
      </c>
      <c r="H295" t="n">
        <v>0</v>
      </c>
      <c r="I295" t="n">
        <v>0</v>
      </c>
      <c r="J295" t="n">
        <v>0</v>
      </c>
      <c r="K295" t="n">
        <v>0</v>
      </c>
      <c r="L295" t="n">
        <v>0</v>
      </c>
      <c r="M295" t="n">
        <v>0</v>
      </c>
      <c r="N295" t="n">
        <v>0</v>
      </c>
      <c r="O295" t="n">
        <v>0</v>
      </c>
      <c r="P295" t="n">
        <v>0</v>
      </c>
      <c r="Q295" t="n">
        <v>0</v>
      </c>
      <c r="R295" s="2" t="inlineStr"/>
    </row>
    <row r="296" ht="15" customHeight="1">
      <c r="A296" t="inlineStr">
        <is>
          <t>A 8233-2023</t>
        </is>
      </c>
      <c r="B296" s="1" t="n">
        <v>44974.57886574074</v>
      </c>
      <c r="C296" s="1" t="n">
        <v>46012</v>
      </c>
      <c r="D296" t="inlineStr">
        <is>
          <t>ÖSTERGÖTLANDS LÄN</t>
        </is>
      </c>
      <c r="E296" t="inlineStr">
        <is>
          <t>KINDA</t>
        </is>
      </c>
      <c r="G296" t="n">
        <v>1.5</v>
      </c>
      <c r="H296" t="n">
        <v>0</v>
      </c>
      <c r="I296" t="n">
        <v>0</v>
      </c>
      <c r="J296" t="n">
        <v>0</v>
      </c>
      <c r="K296" t="n">
        <v>0</v>
      </c>
      <c r="L296" t="n">
        <v>0</v>
      </c>
      <c r="M296" t="n">
        <v>0</v>
      </c>
      <c r="N296" t="n">
        <v>0</v>
      </c>
      <c r="O296" t="n">
        <v>0</v>
      </c>
      <c r="P296" t="n">
        <v>0</v>
      </c>
      <c r="Q296" t="n">
        <v>0</v>
      </c>
      <c r="R296" s="2" t="inlineStr"/>
    </row>
    <row r="297" ht="15" customHeight="1">
      <c r="A297" t="inlineStr">
        <is>
          <t>A 6098-2023</t>
        </is>
      </c>
      <c r="B297" s="1" t="n">
        <v>44964</v>
      </c>
      <c r="C297" s="1" t="n">
        <v>46012</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53239-2024</t>
        </is>
      </c>
      <c r="B298" s="1" t="n">
        <v>45613.8235300926</v>
      </c>
      <c r="C298" s="1" t="n">
        <v>46012</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31811-2025</t>
        </is>
      </c>
      <c r="B299" s="1" t="n">
        <v>45834.56487268519</v>
      </c>
      <c r="C299" s="1" t="n">
        <v>46012</v>
      </c>
      <c r="D299" t="inlineStr">
        <is>
          <t>ÖSTERGÖTLANDS LÄN</t>
        </is>
      </c>
      <c r="E299" t="inlineStr">
        <is>
          <t>KINDA</t>
        </is>
      </c>
      <c r="G299" t="n">
        <v>4.4</v>
      </c>
      <c r="H299" t="n">
        <v>0</v>
      </c>
      <c r="I299" t="n">
        <v>0</v>
      </c>
      <c r="J299" t="n">
        <v>0</v>
      </c>
      <c r="K299" t="n">
        <v>0</v>
      </c>
      <c r="L299" t="n">
        <v>0</v>
      </c>
      <c r="M299" t="n">
        <v>0</v>
      </c>
      <c r="N299" t="n">
        <v>0</v>
      </c>
      <c r="O299" t="n">
        <v>0</v>
      </c>
      <c r="P299" t="n">
        <v>0</v>
      </c>
      <c r="Q299" t="n">
        <v>0</v>
      </c>
      <c r="R299" s="2" t="inlineStr"/>
    </row>
    <row r="300" ht="15" customHeight="1">
      <c r="A300" t="inlineStr">
        <is>
          <t>A 53319-2023</t>
        </is>
      </c>
      <c r="B300" s="1" t="n">
        <v>45229</v>
      </c>
      <c r="C300" s="1" t="n">
        <v>46012</v>
      </c>
      <c r="D300" t="inlineStr">
        <is>
          <t>ÖSTERGÖTLANDS LÄN</t>
        </is>
      </c>
      <c r="E300" t="inlineStr">
        <is>
          <t>KINDA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47724-2024</t>
        </is>
      </c>
      <c r="B301" s="1" t="n">
        <v>45588.49065972222</v>
      </c>
      <c r="C301" s="1" t="n">
        <v>46012</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29060-2025</t>
        </is>
      </c>
      <c r="B302" s="1" t="n">
        <v>45821.4841087963</v>
      </c>
      <c r="C302" s="1" t="n">
        <v>46012</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31989-2025</t>
        </is>
      </c>
      <c r="B303" s="1" t="n">
        <v>45835.36383101852</v>
      </c>
      <c r="C303" s="1" t="n">
        <v>46012</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50406-2024</t>
        </is>
      </c>
      <c r="B304" s="1" t="n">
        <v>45601.35923611111</v>
      </c>
      <c r="C304" s="1" t="n">
        <v>46012</v>
      </c>
      <c r="D304" t="inlineStr">
        <is>
          <t>ÖSTERGÖTLANDS LÄN</t>
        </is>
      </c>
      <c r="E304" t="inlineStr">
        <is>
          <t>KINDA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31980-2025</t>
        </is>
      </c>
      <c r="B305" s="1" t="n">
        <v>45835.35780092593</v>
      </c>
      <c r="C305" s="1" t="n">
        <v>46012</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34882-2023</t>
        </is>
      </c>
      <c r="B306" s="1" t="n">
        <v>45141</v>
      </c>
      <c r="C306" s="1" t="n">
        <v>46012</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61960-2022</t>
        </is>
      </c>
      <c r="B307" s="1" t="n">
        <v>44918.34784722222</v>
      </c>
      <c r="C307" s="1" t="n">
        <v>46012</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44633-2025</t>
        </is>
      </c>
      <c r="B308" s="1" t="n">
        <v>45917</v>
      </c>
      <c r="C308" s="1" t="n">
        <v>46012</v>
      </c>
      <c r="D308" t="inlineStr">
        <is>
          <t>ÖSTERGÖTLANDS LÄN</t>
        </is>
      </c>
      <c r="E308" t="inlineStr">
        <is>
          <t>KINDA</t>
        </is>
      </c>
      <c r="G308" t="n">
        <v>5.1</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46012</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54671-2023</t>
        </is>
      </c>
      <c r="B310" s="1" t="n">
        <v>45235</v>
      </c>
      <c r="C310" s="1" t="n">
        <v>46012</v>
      </c>
      <c r="D310" t="inlineStr">
        <is>
          <t>ÖSTERGÖTLANDS LÄN</t>
        </is>
      </c>
      <c r="E310" t="inlineStr">
        <is>
          <t>KINDA</t>
        </is>
      </c>
      <c r="G310" t="n">
        <v>10.8</v>
      </c>
      <c r="H310" t="n">
        <v>0</v>
      </c>
      <c r="I310" t="n">
        <v>0</v>
      </c>
      <c r="J310" t="n">
        <v>0</v>
      </c>
      <c r="K310" t="n">
        <v>0</v>
      </c>
      <c r="L310" t="n">
        <v>0</v>
      </c>
      <c r="M310" t="n">
        <v>0</v>
      </c>
      <c r="N310" t="n">
        <v>0</v>
      </c>
      <c r="O310" t="n">
        <v>0</v>
      </c>
      <c r="P310" t="n">
        <v>0</v>
      </c>
      <c r="Q310" t="n">
        <v>0</v>
      </c>
      <c r="R310" s="2" t="inlineStr"/>
    </row>
    <row r="311" ht="15" customHeight="1">
      <c r="A311" t="inlineStr">
        <is>
          <t>A 32811-2025</t>
        </is>
      </c>
      <c r="B311" s="1" t="n">
        <v>45839.51413194444</v>
      </c>
      <c r="C311" s="1" t="n">
        <v>46012</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37397-2024</t>
        </is>
      </c>
      <c r="B312" s="1" t="n">
        <v>45540.59917824074</v>
      </c>
      <c r="C312" s="1" t="n">
        <v>46012</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13782-2023</t>
        </is>
      </c>
      <c r="B313" s="1" t="n">
        <v>45007</v>
      </c>
      <c r="C313" s="1" t="n">
        <v>46012</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32674-2025</t>
        </is>
      </c>
      <c r="B314" s="1" t="n">
        <v>45838.72785879629</v>
      </c>
      <c r="C314" s="1" t="n">
        <v>46012</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32809-2025</t>
        </is>
      </c>
      <c r="B315" s="1" t="n">
        <v>45839.50966435186</v>
      </c>
      <c r="C315" s="1" t="n">
        <v>46012</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33744-2025</t>
        </is>
      </c>
      <c r="B316" s="1" t="n">
        <v>45842.35203703704</v>
      </c>
      <c r="C316" s="1" t="n">
        <v>46012</v>
      </c>
      <c r="D316" t="inlineStr">
        <is>
          <t>ÖSTERGÖTLANDS LÄN</t>
        </is>
      </c>
      <c r="E316" t="inlineStr">
        <is>
          <t>KINDA</t>
        </is>
      </c>
      <c r="G316" t="n">
        <v>3.5</v>
      </c>
      <c r="H316" t="n">
        <v>0</v>
      </c>
      <c r="I316" t="n">
        <v>0</v>
      </c>
      <c r="J316" t="n">
        <v>0</v>
      </c>
      <c r="K316" t="n">
        <v>0</v>
      </c>
      <c r="L316" t="n">
        <v>0</v>
      </c>
      <c r="M316" t="n">
        <v>0</v>
      </c>
      <c r="N316" t="n">
        <v>0</v>
      </c>
      <c r="O316" t="n">
        <v>0</v>
      </c>
      <c r="P316" t="n">
        <v>0</v>
      </c>
      <c r="Q316" t="n">
        <v>0</v>
      </c>
      <c r="R316" s="2" t="inlineStr"/>
    </row>
    <row r="317" ht="15" customHeight="1">
      <c r="A317" t="inlineStr">
        <is>
          <t>A 33289-2025</t>
        </is>
      </c>
      <c r="B317" s="1" t="n">
        <v>45840.85745370371</v>
      </c>
      <c r="C317" s="1" t="n">
        <v>46012</v>
      </c>
      <c r="D317" t="inlineStr">
        <is>
          <t>ÖSTERGÖTLANDS LÄN</t>
        </is>
      </c>
      <c r="E317" t="inlineStr">
        <is>
          <t>KINDA</t>
        </is>
      </c>
      <c r="G317" t="n">
        <v>3.2</v>
      </c>
      <c r="H317" t="n">
        <v>0</v>
      </c>
      <c r="I317" t="n">
        <v>0</v>
      </c>
      <c r="J317" t="n">
        <v>0</v>
      </c>
      <c r="K317" t="n">
        <v>0</v>
      </c>
      <c r="L317" t="n">
        <v>0</v>
      </c>
      <c r="M317" t="n">
        <v>0</v>
      </c>
      <c r="N317" t="n">
        <v>0</v>
      </c>
      <c r="O317" t="n">
        <v>0</v>
      </c>
      <c r="P317" t="n">
        <v>0</v>
      </c>
      <c r="Q317" t="n">
        <v>0</v>
      </c>
      <c r="R317" s="2" t="inlineStr"/>
    </row>
    <row r="318" ht="15" customHeight="1">
      <c r="A318" t="inlineStr">
        <is>
          <t>A 33493-2025</t>
        </is>
      </c>
      <c r="B318" s="1" t="n">
        <v>45841.50858796296</v>
      </c>
      <c r="C318" s="1" t="n">
        <v>46012</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45674-2025</t>
        </is>
      </c>
      <c r="B319" s="1" t="n">
        <v>45923.3625</v>
      </c>
      <c r="C319" s="1" t="n">
        <v>46012</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20829-2022</t>
        </is>
      </c>
      <c r="B320" s="1" t="n">
        <v>44701</v>
      </c>
      <c r="C320" s="1" t="n">
        <v>46012</v>
      </c>
      <c r="D320" t="inlineStr">
        <is>
          <t>ÖSTERGÖTLANDS LÄN</t>
        </is>
      </c>
      <c r="E320" t="inlineStr">
        <is>
          <t>KINDA</t>
        </is>
      </c>
      <c r="G320" t="n">
        <v>2.5</v>
      </c>
      <c r="H320" t="n">
        <v>0</v>
      </c>
      <c r="I320" t="n">
        <v>0</v>
      </c>
      <c r="J320" t="n">
        <v>0</v>
      </c>
      <c r="K320" t="n">
        <v>0</v>
      </c>
      <c r="L320" t="n">
        <v>0</v>
      </c>
      <c r="M320" t="n">
        <v>0</v>
      </c>
      <c r="N320" t="n">
        <v>0</v>
      </c>
      <c r="O320" t="n">
        <v>0</v>
      </c>
      <c r="P320" t="n">
        <v>0</v>
      </c>
      <c r="Q320" t="n">
        <v>0</v>
      </c>
      <c r="R320" s="2" t="inlineStr"/>
    </row>
    <row r="321" ht="15" customHeight="1">
      <c r="A321" t="inlineStr">
        <is>
          <t>A 33445-2025</t>
        </is>
      </c>
      <c r="B321" s="1" t="n">
        <v>45841.4630787037</v>
      </c>
      <c r="C321" s="1" t="n">
        <v>46012</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33482-2025</t>
        </is>
      </c>
      <c r="B322" s="1" t="n">
        <v>45841.49861111111</v>
      </c>
      <c r="C322" s="1" t="n">
        <v>46012</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12856-2025</t>
        </is>
      </c>
      <c r="B323" s="1" t="n">
        <v>45733.66236111111</v>
      </c>
      <c r="C323" s="1" t="n">
        <v>46012</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29782-2025</t>
        </is>
      </c>
      <c r="B324" s="1" t="n">
        <v>45825.6502662037</v>
      </c>
      <c r="C324" s="1" t="n">
        <v>46012</v>
      </c>
      <c r="D324" t="inlineStr">
        <is>
          <t>ÖSTERGÖTLANDS LÄN</t>
        </is>
      </c>
      <c r="E324" t="inlineStr">
        <is>
          <t>KINDA</t>
        </is>
      </c>
      <c r="G324" t="n">
        <v>2.6</v>
      </c>
      <c r="H324" t="n">
        <v>0</v>
      </c>
      <c r="I324" t="n">
        <v>0</v>
      </c>
      <c r="J324" t="n">
        <v>0</v>
      </c>
      <c r="K324" t="n">
        <v>0</v>
      </c>
      <c r="L324" t="n">
        <v>0</v>
      </c>
      <c r="M324" t="n">
        <v>0</v>
      </c>
      <c r="N324" t="n">
        <v>0</v>
      </c>
      <c r="O324" t="n">
        <v>0</v>
      </c>
      <c r="P324" t="n">
        <v>0</v>
      </c>
      <c r="Q324" t="n">
        <v>0</v>
      </c>
      <c r="R324" s="2" t="inlineStr"/>
    </row>
    <row r="325" ht="15" customHeight="1">
      <c r="A325" t="inlineStr">
        <is>
          <t>A 17172-2022</t>
        </is>
      </c>
      <c r="B325" s="1" t="n">
        <v>44677</v>
      </c>
      <c r="C325" s="1" t="n">
        <v>46012</v>
      </c>
      <c r="D325" t="inlineStr">
        <is>
          <t>ÖSTERGÖTLANDS LÄN</t>
        </is>
      </c>
      <c r="E325" t="inlineStr">
        <is>
          <t>KINDA</t>
        </is>
      </c>
      <c r="G325" t="n">
        <v>2.9</v>
      </c>
      <c r="H325" t="n">
        <v>0</v>
      </c>
      <c r="I325" t="n">
        <v>0</v>
      </c>
      <c r="J325" t="n">
        <v>0</v>
      </c>
      <c r="K325" t="n">
        <v>0</v>
      </c>
      <c r="L325" t="n">
        <v>0</v>
      </c>
      <c r="M325" t="n">
        <v>0</v>
      </c>
      <c r="N325" t="n">
        <v>0</v>
      </c>
      <c r="O325" t="n">
        <v>0</v>
      </c>
      <c r="P325" t="n">
        <v>0</v>
      </c>
      <c r="Q325" t="n">
        <v>0</v>
      </c>
      <c r="R325" s="2" t="inlineStr"/>
    </row>
    <row r="326" ht="15" customHeight="1">
      <c r="A326" t="inlineStr">
        <is>
          <t>A 56041-2024</t>
        </is>
      </c>
      <c r="B326" s="1" t="n">
        <v>45624.33611111111</v>
      </c>
      <c r="C326" s="1" t="n">
        <v>46012</v>
      </c>
      <c r="D326" t="inlineStr">
        <is>
          <t>ÖSTERGÖTLANDS LÄN</t>
        </is>
      </c>
      <c r="E326" t="inlineStr">
        <is>
          <t>KINDA</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34262-2025</t>
        </is>
      </c>
      <c r="B327" s="1" t="n">
        <v>45845</v>
      </c>
      <c r="C327" s="1" t="n">
        <v>46012</v>
      </c>
      <c r="D327" t="inlineStr">
        <is>
          <t>ÖSTERGÖTLANDS LÄN</t>
        </is>
      </c>
      <c r="E327" t="inlineStr">
        <is>
          <t>KINDA</t>
        </is>
      </c>
      <c r="G327" t="n">
        <v>1.3</v>
      </c>
      <c r="H327" t="n">
        <v>0</v>
      </c>
      <c r="I327" t="n">
        <v>0</v>
      </c>
      <c r="J327" t="n">
        <v>0</v>
      </c>
      <c r="K327" t="n">
        <v>0</v>
      </c>
      <c r="L327" t="n">
        <v>0</v>
      </c>
      <c r="M327" t="n">
        <v>0</v>
      </c>
      <c r="N327" t="n">
        <v>0</v>
      </c>
      <c r="O327" t="n">
        <v>0</v>
      </c>
      <c r="P327" t="n">
        <v>0</v>
      </c>
      <c r="Q327" t="n">
        <v>0</v>
      </c>
      <c r="R327" s="2" t="inlineStr"/>
    </row>
    <row r="328" ht="15" customHeight="1">
      <c r="A328" t="inlineStr">
        <is>
          <t>A 21700-2023</t>
        </is>
      </c>
      <c r="B328" s="1" t="n">
        <v>45062</v>
      </c>
      <c r="C328" s="1" t="n">
        <v>46012</v>
      </c>
      <c r="D328" t="inlineStr">
        <is>
          <t>ÖSTERGÖTLANDS LÄN</t>
        </is>
      </c>
      <c r="E328" t="inlineStr">
        <is>
          <t>KINDA</t>
        </is>
      </c>
      <c r="G328" t="n">
        <v>0.6</v>
      </c>
      <c r="H328" t="n">
        <v>0</v>
      </c>
      <c r="I328" t="n">
        <v>0</v>
      </c>
      <c r="J328" t="n">
        <v>0</v>
      </c>
      <c r="K328" t="n">
        <v>0</v>
      </c>
      <c r="L328" t="n">
        <v>0</v>
      </c>
      <c r="M328" t="n">
        <v>0</v>
      </c>
      <c r="N328" t="n">
        <v>0</v>
      </c>
      <c r="O328" t="n">
        <v>0</v>
      </c>
      <c r="P328" t="n">
        <v>0</v>
      </c>
      <c r="Q328" t="n">
        <v>0</v>
      </c>
      <c r="R328" s="2" t="inlineStr"/>
    </row>
    <row r="329" ht="15" customHeight="1">
      <c r="A329" t="inlineStr">
        <is>
          <t>A 34123-2025</t>
        </is>
      </c>
      <c r="B329" s="1" t="n">
        <v>45845.52050925926</v>
      </c>
      <c r="C329" s="1" t="n">
        <v>46012</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55521-2025</t>
        </is>
      </c>
      <c r="B330" s="1" t="n">
        <v>45971.60863425926</v>
      </c>
      <c r="C330" s="1" t="n">
        <v>46012</v>
      </c>
      <c r="D330" t="inlineStr">
        <is>
          <t>ÖSTERGÖTLANDS LÄN</t>
        </is>
      </c>
      <c r="E330" t="inlineStr">
        <is>
          <t>KINDA</t>
        </is>
      </c>
      <c r="F330" t="inlineStr">
        <is>
          <t>Övriga Aktiebolag</t>
        </is>
      </c>
      <c r="G330" t="n">
        <v>5.4</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46012</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46012</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46947-2025</t>
        </is>
      </c>
      <c r="B333" s="1" t="n">
        <v>45929.46361111111</v>
      </c>
      <c r="C333" s="1" t="n">
        <v>46012</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12130-2021</t>
        </is>
      </c>
      <c r="B334" s="1" t="n">
        <v>44266</v>
      </c>
      <c r="C334" s="1" t="n">
        <v>46012</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55511-2025</t>
        </is>
      </c>
      <c r="B335" s="1" t="n">
        <v>45971.60042824074</v>
      </c>
      <c r="C335" s="1" t="n">
        <v>46012</v>
      </c>
      <c r="D335" t="inlineStr">
        <is>
          <t>ÖSTERGÖTLANDS LÄN</t>
        </is>
      </c>
      <c r="E335" t="inlineStr">
        <is>
          <t>KINDA</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46919-2025</t>
        </is>
      </c>
      <c r="B336" s="1" t="n">
        <v>45929.43230324074</v>
      </c>
      <c r="C336" s="1" t="n">
        <v>46012</v>
      </c>
      <c r="D336" t="inlineStr">
        <is>
          <t>ÖSTERGÖTLANDS LÄN</t>
        </is>
      </c>
      <c r="E336" t="inlineStr">
        <is>
          <t>KINDA</t>
        </is>
      </c>
      <c r="G336" t="n">
        <v>2.9</v>
      </c>
      <c r="H336" t="n">
        <v>0</v>
      </c>
      <c r="I336" t="n">
        <v>0</v>
      </c>
      <c r="J336" t="n">
        <v>0</v>
      </c>
      <c r="K336" t="n">
        <v>0</v>
      </c>
      <c r="L336" t="n">
        <v>0</v>
      </c>
      <c r="M336" t="n">
        <v>0</v>
      </c>
      <c r="N336" t="n">
        <v>0</v>
      </c>
      <c r="O336" t="n">
        <v>0</v>
      </c>
      <c r="P336" t="n">
        <v>0</v>
      </c>
      <c r="Q336" t="n">
        <v>0</v>
      </c>
      <c r="R336" s="2" t="inlineStr"/>
    </row>
    <row r="337" ht="15" customHeight="1">
      <c r="A337" t="inlineStr">
        <is>
          <t>A 55531-2025</t>
        </is>
      </c>
      <c r="B337" s="1" t="n">
        <v>45971.62304398148</v>
      </c>
      <c r="C337" s="1" t="n">
        <v>46012</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5649-2023</t>
        </is>
      </c>
      <c r="B338" s="1" t="n">
        <v>44960</v>
      </c>
      <c r="C338" s="1" t="n">
        <v>46012</v>
      </c>
      <c r="D338" t="inlineStr">
        <is>
          <t>ÖSTERGÖTLANDS LÄN</t>
        </is>
      </c>
      <c r="E338" t="inlineStr">
        <is>
          <t>KINDA</t>
        </is>
      </c>
      <c r="G338" t="n">
        <v>2.5</v>
      </c>
      <c r="H338" t="n">
        <v>0</v>
      </c>
      <c r="I338" t="n">
        <v>0</v>
      </c>
      <c r="J338" t="n">
        <v>0</v>
      </c>
      <c r="K338" t="n">
        <v>0</v>
      </c>
      <c r="L338" t="n">
        <v>0</v>
      </c>
      <c r="M338" t="n">
        <v>0</v>
      </c>
      <c r="N338" t="n">
        <v>0</v>
      </c>
      <c r="O338" t="n">
        <v>0</v>
      </c>
      <c r="P338" t="n">
        <v>0</v>
      </c>
      <c r="Q338" t="n">
        <v>0</v>
      </c>
      <c r="R338" s="2" t="inlineStr"/>
    </row>
    <row r="339" ht="15" customHeight="1">
      <c r="A339" t="inlineStr">
        <is>
          <t>A 46944-2025</t>
        </is>
      </c>
      <c r="B339" s="1" t="n">
        <v>45929.45878472222</v>
      </c>
      <c r="C339" s="1" t="n">
        <v>46012</v>
      </c>
      <c r="D339" t="inlineStr">
        <is>
          <t>ÖSTERGÖTLANDS LÄN</t>
        </is>
      </c>
      <c r="E339" t="inlineStr">
        <is>
          <t>KINDA</t>
        </is>
      </c>
      <c r="G339" t="n">
        <v>3.1</v>
      </c>
      <c r="H339" t="n">
        <v>0</v>
      </c>
      <c r="I339" t="n">
        <v>0</v>
      </c>
      <c r="J339" t="n">
        <v>0</v>
      </c>
      <c r="K339" t="n">
        <v>0</v>
      </c>
      <c r="L339" t="n">
        <v>0</v>
      </c>
      <c r="M339" t="n">
        <v>0</v>
      </c>
      <c r="N339" t="n">
        <v>0</v>
      </c>
      <c r="O339" t="n">
        <v>0</v>
      </c>
      <c r="P339" t="n">
        <v>0</v>
      </c>
      <c r="Q339" t="n">
        <v>0</v>
      </c>
      <c r="R339" s="2" t="inlineStr"/>
    </row>
    <row r="340" ht="15" customHeight="1">
      <c r="A340" t="inlineStr">
        <is>
          <t>A 46914-2025</t>
        </is>
      </c>
      <c r="B340" s="1" t="n">
        <v>45929.41962962963</v>
      </c>
      <c r="C340" s="1" t="n">
        <v>46012</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46916-2025</t>
        </is>
      </c>
      <c r="B341" s="1" t="n">
        <v>45929.42545138889</v>
      </c>
      <c r="C341" s="1" t="n">
        <v>46012</v>
      </c>
      <c r="D341" t="inlineStr">
        <is>
          <t>ÖSTERGÖTLANDS LÄN</t>
        </is>
      </c>
      <c r="E341" t="inlineStr">
        <is>
          <t>KINDA</t>
        </is>
      </c>
      <c r="G341" t="n">
        <v>3.4</v>
      </c>
      <c r="H341" t="n">
        <v>0</v>
      </c>
      <c r="I341" t="n">
        <v>0</v>
      </c>
      <c r="J341" t="n">
        <v>0</v>
      </c>
      <c r="K341" t="n">
        <v>0</v>
      </c>
      <c r="L341" t="n">
        <v>0</v>
      </c>
      <c r="M341" t="n">
        <v>0</v>
      </c>
      <c r="N341" t="n">
        <v>0</v>
      </c>
      <c r="O341" t="n">
        <v>0</v>
      </c>
      <c r="P341" t="n">
        <v>0</v>
      </c>
      <c r="Q341" t="n">
        <v>0</v>
      </c>
      <c r="R341" s="2" t="inlineStr"/>
    </row>
    <row r="342" ht="15" customHeight="1">
      <c r="A342" t="inlineStr">
        <is>
          <t>A 46926-2025</t>
        </is>
      </c>
      <c r="B342" s="1" t="n">
        <v>45929.43957175926</v>
      </c>
      <c r="C342" s="1" t="n">
        <v>46012</v>
      </c>
      <c r="D342" t="inlineStr">
        <is>
          <t>ÖSTERGÖTLANDS LÄN</t>
        </is>
      </c>
      <c r="E342" t="inlineStr">
        <is>
          <t>KINDA</t>
        </is>
      </c>
      <c r="G342" t="n">
        <v>2.1</v>
      </c>
      <c r="H342" t="n">
        <v>0</v>
      </c>
      <c r="I342" t="n">
        <v>0</v>
      </c>
      <c r="J342" t="n">
        <v>0</v>
      </c>
      <c r="K342" t="n">
        <v>0</v>
      </c>
      <c r="L342" t="n">
        <v>0</v>
      </c>
      <c r="M342" t="n">
        <v>0</v>
      </c>
      <c r="N342" t="n">
        <v>0</v>
      </c>
      <c r="O342" t="n">
        <v>0</v>
      </c>
      <c r="P342" t="n">
        <v>0</v>
      </c>
      <c r="Q342" t="n">
        <v>0</v>
      </c>
      <c r="R342" s="2" t="inlineStr"/>
    </row>
    <row r="343" ht="15" customHeight="1">
      <c r="A343" t="inlineStr">
        <is>
          <t>A 56140-2024</t>
        </is>
      </c>
      <c r="B343" s="1" t="n">
        <v>45624</v>
      </c>
      <c r="C343" s="1" t="n">
        <v>46012</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9576-2024</t>
        </is>
      </c>
      <c r="B344" s="1" t="n">
        <v>45360.41204861111</v>
      </c>
      <c r="C344" s="1" t="n">
        <v>46012</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9600-2024</t>
        </is>
      </c>
      <c r="B345" s="1" t="n">
        <v>45361.37284722222</v>
      </c>
      <c r="C345" s="1" t="n">
        <v>46012</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17671-2025</t>
        </is>
      </c>
      <c r="B346" s="1" t="n">
        <v>45758.36788194445</v>
      </c>
      <c r="C346" s="1" t="n">
        <v>46012</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6104-2022</t>
        </is>
      </c>
      <c r="B347" s="1" t="n">
        <v>44599</v>
      </c>
      <c r="C347" s="1" t="n">
        <v>46012</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48811-2024</t>
        </is>
      </c>
      <c r="B348" s="1" t="n">
        <v>45593.66861111111</v>
      </c>
      <c r="C348" s="1" t="n">
        <v>46012</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47958-2025</t>
        </is>
      </c>
      <c r="B349" s="1" t="n">
        <v>45932.59138888889</v>
      </c>
      <c r="C349" s="1" t="n">
        <v>46012</v>
      </c>
      <c r="D349" t="inlineStr">
        <is>
          <t>ÖSTERGÖTLANDS LÄN</t>
        </is>
      </c>
      <c r="E349" t="inlineStr">
        <is>
          <t>KINDA</t>
        </is>
      </c>
      <c r="G349" t="n">
        <v>5.5</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46012</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61954-2022</t>
        </is>
      </c>
      <c r="B351" s="1" t="n">
        <v>44918.33840277778</v>
      </c>
      <c r="C351" s="1" t="n">
        <v>46012</v>
      </c>
      <c r="D351" t="inlineStr">
        <is>
          <t>ÖSTERGÖTLANDS LÄN</t>
        </is>
      </c>
      <c r="E351" t="inlineStr">
        <is>
          <t>KINDA</t>
        </is>
      </c>
      <c r="G351" t="n">
        <v>6.2</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46012</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915-2024</t>
        </is>
      </c>
      <c r="B353" s="1" t="n">
        <v>45301.47129629629</v>
      </c>
      <c r="C353" s="1" t="n">
        <v>46012</v>
      </c>
      <c r="D353" t="inlineStr">
        <is>
          <t>ÖSTERGÖTLANDS LÄN</t>
        </is>
      </c>
      <c r="E353" t="inlineStr">
        <is>
          <t>KINDA</t>
        </is>
      </c>
      <c r="G353" t="n">
        <v>2.5</v>
      </c>
      <c r="H353" t="n">
        <v>0</v>
      </c>
      <c r="I353" t="n">
        <v>0</v>
      </c>
      <c r="J353" t="n">
        <v>0</v>
      </c>
      <c r="K353" t="n">
        <v>0</v>
      </c>
      <c r="L353" t="n">
        <v>0</v>
      </c>
      <c r="M353" t="n">
        <v>0</v>
      </c>
      <c r="N353" t="n">
        <v>0</v>
      </c>
      <c r="O353" t="n">
        <v>0</v>
      </c>
      <c r="P353" t="n">
        <v>0</v>
      </c>
      <c r="Q353" t="n">
        <v>0</v>
      </c>
      <c r="R353" s="2" t="inlineStr"/>
    </row>
    <row r="354" ht="15" customHeight="1">
      <c r="A354" t="inlineStr">
        <is>
          <t>A 5707-2024</t>
        </is>
      </c>
      <c r="B354" s="1" t="n">
        <v>45334</v>
      </c>
      <c r="C354" s="1" t="n">
        <v>46012</v>
      </c>
      <c r="D354" t="inlineStr">
        <is>
          <t>ÖSTERGÖTLANDS LÄN</t>
        </is>
      </c>
      <c r="E354" t="inlineStr">
        <is>
          <t>KINDA</t>
        </is>
      </c>
      <c r="G354" t="n">
        <v>6.2</v>
      </c>
      <c r="H354" t="n">
        <v>0</v>
      </c>
      <c r="I354" t="n">
        <v>0</v>
      </c>
      <c r="J354" t="n">
        <v>0</v>
      </c>
      <c r="K354" t="n">
        <v>0</v>
      </c>
      <c r="L354" t="n">
        <v>0</v>
      </c>
      <c r="M354" t="n">
        <v>0</v>
      </c>
      <c r="N354" t="n">
        <v>0</v>
      </c>
      <c r="O354" t="n">
        <v>0</v>
      </c>
      <c r="P354" t="n">
        <v>0</v>
      </c>
      <c r="Q354" t="n">
        <v>0</v>
      </c>
      <c r="R354" s="2" t="inlineStr"/>
    </row>
    <row r="355" ht="15" customHeight="1">
      <c r="A355" t="inlineStr">
        <is>
          <t>A 35982-2025</t>
        </is>
      </c>
      <c r="B355" s="1" t="n">
        <v>45863.44907407407</v>
      </c>
      <c r="C355" s="1" t="n">
        <v>46012</v>
      </c>
      <c r="D355" t="inlineStr">
        <is>
          <t>ÖSTERGÖTLANDS LÄN</t>
        </is>
      </c>
      <c r="E355" t="inlineStr">
        <is>
          <t>KINDA</t>
        </is>
      </c>
      <c r="G355" t="n">
        <v>2.8</v>
      </c>
      <c r="H355" t="n">
        <v>0</v>
      </c>
      <c r="I355" t="n">
        <v>0</v>
      </c>
      <c r="J355" t="n">
        <v>0</v>
      </c>
      <c r="K355" t="n">
        <v>0</v>
      </c>
      <c r="L355" t="n">
        <v>0</v>
      </c>
      <c r="M355" t="n">
        <v>0</v>
      </c>
      <c r="N355" t="n">
        <v>0</v>
      </c>
      <c r="O355" t="n">
        <v>0</v>
      </c>
      <c r="P355" t="n">
        <v>0</v>
      </c>
      <c r="Q355" t="n">
        <v>0</v>
      </c>
      <c r="R355" s="2" t="inlineStr"/>
    </row>
    <row r="356" ht="15" customHeight="1">
      <c r="A356" t="inlineStr">
        <is>
          <t>A 35986-2025</t>
        </is>
      </c>
      <c r="B356" s="1" t="n">
        <v>45863</v>
      </c>
      <c r="C356" s="1" t="n">
        <v>46012</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6409-2025</t>
        </is>
      </c>
      <c r="B357" s="1" t="n">
        <v>45699.45700231481</v>
      </c>
      <c r="C357" s="1" t="n">
        <v>46012</v>
      </c>
      <c r="D357" t="inlineStr">
        <is>
          <t>ÖSTERGÖTLANDS LÄN</t>
        </is>
      </c>
      <c r="E357" t="inlineStr">
        <is>
          <t>KINDA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36173-2025</t>
        </is>
      </c>
      <c r="B358" s="1" t="n">
        <v>45866</v>
      </c>
      <c r="C358" s="1" t="n">
        <v>46012</v>
      </c>
      <c r="D358" t="inlineStr">
        <is>
          <t>ÖSTERGÖTLANDS LÄN</t>
        </is>
      </c>
      <c r="E358" t="inlineStr">
        <is>
          <t>KINDA</t>
        </is>
      </c>
      <c r="G358" t="n">
        <v>4.4</v>
      </c>
      <c r="H358" t="n">
        <v>0</v>
      </c>
      <c r="I358" t="n">
        <v>0</v>
      </c>
      <c r="J358" t="n">
        <v>0</v>
      </c>
      <c r="K358" t="n">
        <v>0</v>
      </c>
      <c r="L358" t="n">
        <v>0</v>
      </c>
      <c r="M358" t="n">
        <v>0</v>
      </c>
      <c r="N358" t="n">
        <v>0</v>
      </c>
      <c r="O358" t="n">
        <v>0</v>
      </c>
      <c r="P358" t="n">
        <v>0</v>
      </c>
      <c r="Q358" t="n">
        <v>0</v>
      </c>
      <c r="R358" s="2" t="inlineStr"/>
    </row>
    <row r="359" ht="15" customHeight="1">
      <c r="A359" t="inlineStr">
        <is>
          <t>A 48386-2024</t>
        </is>
      </c>
      <c r="B359" s="1" t="n">
        <v>45590.59793981481</v>
      </c>
      <c r="C359" s="1" t="n">
        <v>46012</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36000-2025</t>
        </is>
      </c>
      <c r="B360" s="1" t="n">
        <v>45863.51805555556</v>
      </c>
      <c r="C360" s="1" t="n">
        <v>46012</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22002-2025</t>
        </is>
      </c>
      <c r="B361" s="1" t="n">
        <v>45784.70443287037</v>
      </c>
      <c r="C361" s="1" t="n">
        <v>46012</v>
      </c>
      <c r="D361" t="inlineStr">
        <is>
          <t>ÖSTERGÖTLANDS LÄN</t>
        </is>
      </c>
      <c r="E361" t="inlineStr">
        <is>
          <t>KINDA</t>
        </is>
      </c>
      <c r="G361" t="n">
        <v>3.7</v>
      </c>
      <c r="H361" t="n">
        <v>0</v>
      </c>
      <c r="I361" t="n">
        <v>0</v>
      </c>
      <c r="J361" t="n">
        <v>0</v>
      </c>
      <c r="K361" t="n">
        <v>0</v>
      </c>
      <c r="L361" t="n">
        <v>0</v>
      </c>
      <c r="M361" t="n">
        <v>0</v>
      </c>
      <c r="N361" t="n">
        <v>0</v>
      </c>
      <c r="O361" t="n">
        <v>0</v>
      </c>
      <c r="P361" t="n">
        <v>0</v>
      </c>
      <c r="Q361" t="n">
        <v>0</v>
      </c>
      <c r="R361" s="2" t="inlineStr"/>
    </row>
    <row r="362" ht="15" customHeight="1">
      <c r="A362" t="inlineStr">
        <is>
          <t>A 35975-2025</t>
        </is>
      </c>
      <c r="B362" s="1" t="n">
        <v>45863.43395833333</v>
      </c>
      <c r="C362" s="1" t="n">
        <v>46012</v>
      </c>
      <c r="D362" t="inlineStr">
        <is>
          <t>ÖSTERGÖTLANDS LÄN</t>
        </is>
      </c>
      <c r="E362" t="inlineStr">
        <is>
          <t>KINDA</t>
        </is>
      </c>
      <c r="G362" t="n">
        <v>4.9</v>
      </c>
      <c r="H362" t="n">
        <v>0</v>
      </c>
      <c r="I362" t="n">
        <v>0</v>
      </c>
      <c r="J362" t="n">
        <v>0</v>
      </c>
      <c r="K362" t="n">
        <v>0</v>
      </c>
      <c r="L362" t="n">
        <v>0</v>
      </c>
      <c r="M362" t="n">
        <v>0</v>
      </c>
      <c r="N362" t="n">
        <v>0</v>
      </c>
      <c r="O362" t="n">
        <v>0</v>
      </c>
      <c r="P362" t="n">
        <v>0</v>
      </c>
      <c r="Q362" t="n">
        <v>0</v>
      </c>
      <c r="R362" s="2" t="inlineStr"/>
    </row>
    <row r="363" ht="15" customHeight="1">
      <c r="A363" t="inlineStr">
        <is>
          <t>A 22443-2025</t>
        </is>
      </c>
      <c r="B363" s="1" t="n">
        <v>45786</v>
      </c>
      <c r="C363" s="1" t="n">
        <v>46012</v>
      </c>
      <c r="D363" t="inlineStr">
        <is>
          <t>ÖSTERGÖTLANDS LÄN</t>
        </is>
      </c>
      <c r="E363" t="inlineStr">
        <is>
          <t>KINDA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53239-2023</t>
        </is>
      </c>
      <c r="B364" s="1" t="n">
        <v>45229</v>
      </c>
      <c r="C364" s="1" t="n">
        <v>46012</v>
      </c>
      <c r="D364" t="inlineStr">
        <is>
          <t>ÖSTERGÖTLANDS LÄN</t>
        </is>
      </c>
      <c r="E364" t="inlineStr">
        <is>
          <t>KINDA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56003-2025</t>
        </is>
      </c>
      <c r="B365" s="1" t="n">
        <v>45973</v>
      </c>
      <c r="C365" s="1" t="n">
        <v>46012</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46012</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24711-2023</t>
        </is>
      </c>
      <c r="B367" s="1" t="n">
        <v>45078</v>
      </c>
      <c r="C367" s="1" t="n">
        <v>46012</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56007-2025</t>
        </is>
      </c>
      <c r="B368" s="1" t="n">
        <v>45973</v>
      </c>
      <c r="C368" s="1" t="n">
        <v>46012</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48194-2025</t>
        </is>
      </c>
      <c r="B369" s="1" t="n">
        <v>45933.47111111111</v>
      </c>
      <c r="C369" s="1" t="n">
        <v>46012</v>
      </c>
      <c r="D369" t="inlineStr">
        <is>
          <t>ÖSTERGÖTLANDS LÄN</t>
        </is>
      </c>
      <c r="E369" t="inlineStr">
        <is>
          <t>KINDA</t>
        </is>
      </c>
      <c r="G369" t="n">
        <v>2.6</v>
      </c>
      <c r="H369" t="n">
        <v>0</v>
      </c>
      <c r="I369" t="n">
        <v>0</v>
      </c>
      <c r="J369" t="n">
        <v>0</v>
      </c>
      <c r="K369" t="n">
        <v>0</v>
      </c>
      <c r="L369" t="n">
        <v>0</v>
      </c>
      <c r="M369" t="n">
        <v>0</v>
      </c>
      <c r="N369" t="n">
        <v>0</v>
      </c>
      <c r="O369" t="n">
        <v>0</v>
      </c>
      <c r="P369" t="n">
        <v>0</v>
      </c>
      <c r="Q369" t="n">
        <v>0</v>
      </c>
      <c r="R369" s="2" t="inlineStr"/>
    </row>
    <row r="370" ht="15" customHeight="1">
      <c r="A370" t="inlineStr">
        <is>
          <t>A 36172-2025</t>
        </is>
      </c>
      <c r="B370" s="1" t="n">
        <v>45866</v>
      </c>
      <c r="C370" s="1" t="n">
        <v>46012</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57449-2021</t>
        </is>
      </c>
      <c r="B371" s="1" t="n">
        <v>44483</v>
      </c>
      <c r="C371" s="1" t="n">
        <v>46012</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55800-2025</t>
        </is>
      </c>
      <c r="B372" s="1" t="n">
        <v>45972</v>
      </c>
      <c r="C372" s="1" t="n">
        <v>46012</v>
      </c>
      <c r="D372" t="inlineStr">
        <is>
          <t>ÖSTERGÖTLANDS LÄN</t>
        </is>
      </c>
      <c r="E372" t="inlineStr">
        <is>
          <t>KINDA</t>
        </is>
      </c>
      <c r="G372" t="n">
        <v>1.2</v>
      </c>
      <c r="H372" t="n">
        <v>0</v>
      </c>
      <c r="I372" t="n">
        <v>0</v>
      </c>
      <c r="J372" t="n">
        <v>0</v>
      </c>
      <c r="K372" t="n">
        <v>0</v>
      </c>
      <c r="L372" t="n">
        <v>0</v>
      </c>
      <c r="M372" t="n">
        <v>0</v>
      </c>
      <c r="N372" t="n">
        <v>0</v>
      </c>
      <c r="O372" t="n">
        <v>0</v>
      </c>
      <c r="P372" t="n">
        <v>0</v>
      </c>
      <c r="Q372" t="n">
        <v>0</v>
      </c>
      <c r="R372" s="2" t="inlineStr"/>
    </row>
    <row r="373" ht="15" customHeight="1">
      <c r="A373" t="inlineStr">
        <is>
          <t>A 2430-2025</t>
        </is>
      </c>
      <c r="B373" s="1" t="n">
        <v>45674.40616898148</v>
      </c>
      <c r="C373" s="1" t="n">
        <v>46012</v>
      </c>
      <c r="D373" t="inlineStr">
        <is>
          <t>ÖSTERGÖTLANDS LÄN</t>
        </is>
      </c>
      <c r="E373" t="inlineStr">
        <is>
          <t>KINDA</t>
        </is>
      </c>
      <c r="F373" t="inlineStr">
        <is>
          <t>Kommuner</t>
        </is>
      </c>
      <c r="G373" t="n">
        <v>2</v>
      </c>
      <c r="H373" t="n">
        <v>0</v>
      </c>
      <c r="I373" t="n">
        <v>0</v>
      </c>
      <c r="J373" t="n">
        <v>0</v>
      </c>
      <c r="K373" t="n">
        <v>0</v>
      </c>
      <c r="L373" t="n">
        <v>0</v>
      </c>
      <c r="M373" t="n">
        <v>0</v>
      </c>
      <c r="N373" t="n">
        <v>0</v>
      </c>
      <c r="O373" t="n">
        <v>0</v>
      </c>
      <c r="P373" t="n">
        <v>0</v>
      </c>
      <c r="Q373" t="n">
        <v>0</v>
      </c>
      <c r="R373" s="2" t="inlineStr"/>
    </row>
    <row r="374" ht="15" customHeight="1">
      <c r="A374" t="inlineStr">
        <is>
          <t>A 61544-2024</t>
        </is>
      </c>
      <c r="B374" s="1" t="n">
        <v>45646.5981712963</v>
      </c>
      <c r="C374" s="1" t="n">
        <v>46012</v>
      </c>
      <c r="D374" t="inlineStr">
        <is>
          <t>ÖSTERGÖTLANDS LÄN</t>
        </is>
      </c>
      <c r="E374" t="inlineStr">
        <is>
          <t>KINDA</t>
        </is>
      </c>
      <c r="G374" t="n">
        <v>0.9</v>
      </c>
      <c r="H374" t="n">
        <v>0</v>
      </c>
      <c r="I374" t="n">
        <v>0</v>
      </c>
      <c r="J374" t="n">
        <v>0</v>
      </c>
      <c r="K374" t="n">
        <v>0</v>
      </c>
      <c r="L374" t="n">
        <v>0</v>
      </c>
      <c r="M374" t="n">
        <v>0</v>
      </c>
      <c r="N374" t="n">
        <v>0</v>
      </c>
      <c r="O374" t="n">
        <v>0</v>
      </c>
      <c r="P374" t="n">
        <v>0</v>
      </c>
      <c r="Q374" t="n">
        <v>0</v>
      </c>
      <c r="R374" s="2" t="inlineStr"/>
    </row>
    <row r="375" ht="15" customHeight="1">
      <c r="A375" t="inlineStr">
        <is>
          <t>A 48193-2025</t>
        </is>
      </c>
      <c r="B375" s="1" t="n">
        <v>45933.46984953704</v>
      </c>
      <c r="C375" s="1" t="n">
        <v>46012</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46012</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13661-2021</t>
        </is>
      </c>
      <c r="B377" s="1" t="n">
        <v>44274</v>
      </c>
      <c r="C377" s="1" t="n">
        <v>46012</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56710-2025</t>
        </is>
      </c>
      <c r="B378" s="1" t="n">
        <v>45977.81061342593</v>
      </c>
      <c r="C378" s="1" t="n">
        <v>46012</v>
      </c>
      <c r="D378" t="inlineStr">
        <is>
          <t>ÖSTERGÖTLANDS LÄN</t>
        </is>
      </c>
      <c r="E378" t="inlineStr">
        <is>
          <t>KINDA</t>
        </is>
      </c>
      <c r="G378" t="n">
        <v>4.8</v>
      </c>
      <c r="H378" t="n">
        <v>0</v>
      </c>
      <c r="I378" t="n">
        <v>0</v>
      </c>
      <c r="J378" t="n">
        <v>0</v>
      </c>
      <c r="K378" t="n">
        <v>0</v>
      </c>
      <c r="L378" t="n">
        <v>0</v>
      </c>
      <c r="M378" t="n">
        <v>0</v>
      </c>
      <c r="N378" t="n">
        <v>0</v>
      </c>
      <c r="O378" t="n">
        <v>0</v>
      </c>
      <c r="P378" t="n">
        <v>0</v>
      </c>
      <c r="Q378" t="n">
        <v>0</v>
      </c>
      <c r="R378" s="2" t="inlineStr"/>
    </row>
    <row r="379" ht="15" customHeight="1">
      <c r="A379" t="inlineStr">
        <is>
          <t>A 56006-2025</t>
        </is>
      </c>
      <c r="B379" s="1" t="n">
        <v>45973</v>
      </c>
      <c r="C379" s="1" t="n">
        <v>46012</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37014-2025</t>
        </is>
      </c>
      <c r="B380" s="1" t="n">
        <v>45874</v>
      </c>
      <c r="C380" s="1" t="n">
        <v>46012</v>
      </c>
      <c r="D380" t="inlineStr">
        <is>
          <t>ÖSTERGÖTLANDS LÄN</t>
        </is>
      </c>
      <c r="E380" t="inlineStr">
        <is>
          <t>KINDA</t>
        </is>
      </c>
      <c r="G380" t="n">
        <v>2.7</v>
      </c>
      <c r="H380" t="n">
        <v>0</v>
      </c>
      <c r="I380" t="n">
        <v>0</v>
      </c>
      <c r="J380" t="n">
        <v>0</v>
      </c>
      <c r="K380" t="n">
        <v>0</v>
      </c>
      <c r="L380" t="n">
        <v>0</v>
      </c>
      <c r="M380" t="n">
        <v>0</v>
      </c>
      <c r="N380" t="n">
        <v>0</v>
      </c>
      <c r="O380" t="n">
        <v>0</v>
      </c>
      <c r="P380" t="n">
        <v>0</v>
      </c>
      <c r="Q380" t="n">
        <v>0</v>
      </c>
      <c r="R380" s="2" t="inlineStr"/>
    </row>
    <row r="381" ht="15" customHeight="1">
      <c r="A381" t="inlineStr">
        <is>
          <t>A 19324-2021</t>
        </is>
      </c>
      <c r="B381" s="1" t="n">
        <v>44309</v>
      </c>
      <c r="C381" s="1" t="n">
        <v>46012</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26625-2022</t>
        </is>
      </c>
      <c r="B382" s="1" t="n">
        <v>44739.5850462963</v>
      </c>
      <c r="C382" s="1" t="n">
        <v>46012</v>
      </c>
      <c r="D382" t="inlineStr">
        <is>
          <t>ÖSTERGÖTLANDS LÄN</t>
        </is>
      </c>
      <c r="E382" t="inlineStr">
        <is>
          <t>KINDA</t>
        </is>
      </c>
      <c r="G382" t="n">
        <v>3.2</v>
      </c>
      <c r="H382" t="n">
        <v>0</v>
      </c>
      <c r="I382" t="n">
        <v>0</v>
      </c>
      <c r="J382" t="n">
        <v>0</v>
      </c>
      <c r="K382" t="n">
        <v>0</v>
      </c>
      <c r="L382" t="n">
        <v>0</v>
      </c>
      <c r="M382" t="n">
        <v>0</v>
      </c>
      <c r="N382" t="n">
        <v>0</v>
      </c>
      <c r="O382" t="n">
        <v>0</v>
      </c>
      <c r="P382" t="n">
        <v>0</v>
      </c>
      <c r="Q382" t="n">
        <v>0</v>
      </c>
      <c r="R382" s="2" t="inlineStr"/>
    </row>
    <row r="383" ht="15" customHeight="1">
      <c r="A383" t="inlineStr">
        <is>
          <t>A 23883-2023</t>
        </is>
      </c>
      <c r="B383" s="1" t="n">
        <v>45078.51806712963</v>
      </c>
      <c r="C383" s="1" t="n">
        <v>46012</v>
      </c>
      <c r="D383" t="inlineStr">
        <is>
          <t>ÖSTERGÖTLANDS LÄN</t>
        </is>
      </c>
      <c r="E383" t="inlineStr">
        <is>
          <t>KINDA</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37069-2025</t>
        </is>
      </c>
      <c r="B384" s="1" t="n">
        <v>45875</v>
      </c>
      <c r="C384" s="1" t="n">
        <v>46012</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37670-2025</t>
        </is>
      </c>
      <c r="B385" s="1" t="n">
        <v>45880</v>
      </c>
      <c r="C385" s="1" t="n">
        <v>46012</v>
      </c>
      <c r="D385" t="inlineStr">
        <is>
          <t>ÖSTERGÖTLANDS LÄN</t>
        </is>
      </c>
      <c r="E385" t="inlineStr">
        <is>
          <t>KINDA</t>
        </is>
      </c>
      <c r="G385" t="n">
        <v>1.2</v>
      </c>
      <c r="H385" t="n">
        <v>0</v>
      </c>
      <c r="I385" t="n">
        <v>0</v>
      </c>
      <c r="J385" t="n">
        <v>0</v>
      </c>
      <c r="K385" t="n">
        <v>0</v>
      </c>
      <c r="L385" t="n">
        <v>0</v>
      </c>
      <c r="M385" t="n">
        <v>0</v>
      </c>
      <c r="N385" t="n">
        <v>0</v>
      </c>
      <c r="O385" t="n">
        <v>0</v>
      </c>
      <c r="P385" t="n">
        <v>0</v>
      </c>
      <c r="Q385" t="n">
        <v>0</v>
      </c>
      <c r="R385" s="2" t="inlineStr"/>
    </row>
    <row r="386" ht="15" customHeight="1">
      <c r="A386" t="inlineStr">
        <is>
          <t>A 49798-2024</t>
        </is>
      </c>
      <c r="B386" s="1" t="n">
        <v>45597.37384259259</v>
      </c>
      <c r="C386" s="1" t="n">
        <v>46012</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58738-2024</t>
        </is>
      </c>
      <c r="B387" s="1" t="n">
        <v>45635.6921875</v>
      </c>
      <c r="C387" s="1" t="n">
        <v>46012</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c r="U387">
        <f>HYPERLINK("https://klasma.github.io/Logging_0513/knärot/A 58738-2024 karta knärot.png", "A 58738-2024")</f>
        <v/>
      </c>
      <c r="V387">
        <f>HYPERLINK("https://klasma.github.io/Logging_0513/klagomål/A 58738-2024 FSC-klagomål.docx", "A 58738-2024")</f>
        <v/>
      </c>
      <c r="W387">
        <f>HYPERLINK("https://klasma.github.io/Logging_0513/klagomålsmail/A 58738-2024 FSC-klagomål mail.docx", "A 58738-2024")</f>
        <v/>
      </c>
      <c r="X387">
        <f>HYPERLINK("https://klasma.github.io/Logging_0513/tillsyn/A 58738-2024 tillsynsbegäran.docx", "A 58738-2024")</f>
        <v/>
      </c>
      <c r="Y387">
        <f>HYPERLINK("https://klasma.github.io/Logging_0513/tillsynsmail/A 58738-2024 tillsynsbegäran mail.docx", "A 58738-2024")</f>
        <v/>
      </c>
    </row>
    <row r="388" ht="15" customHeight="1">
      <c r="A388" t="inlineStr">
        <is>
          <t>A 3988-2025</t>
        </is>
      </c>
      <c r="B388" s="1" t="n">
        <v>45684.55570601852</v>
      </c>
      <c r="C388" s="1" t="n">
        <v>46012</v>
      </c>
      <c r="D388" t="inlineStr">
        <is>
          <t>ÖSTERGÖTLANDS LÄN</t>
        </is>
      </c>
      <c r="E388" t="inlineStr">
        <is>
          <t>KINDA</t>
        </is>
      </c>
      <c r="G388" t="n">
        <v>2.7</v>
      </c>
      <c r="H388" t="n">
        <v>0</v>
      </c>
      <c r="I388" t="n">
        <v>0</v>
      </c>
      <c r="J388" t="n">
        <v>0</v>
      </c>
      <c r="K388" t="n">
        <v>0</v>
      </c>
      <c r="L388" t="n">
        <v>0</v>
      </c>
      <c r="M388" t="n">
        <v>0</v>
      </c>
      <c r="N388" t="n">
        <v>0</v>
      </c>
      <c r="O388" t="n">
        <v>0</v>
      </c>
      <c r="P388" t="n">
        <v>0</v>
      </c>
      <c r="Q388" t="n">
        <v>0</v>
      </c>
      <c r="R388" s="2" t="inlineStr"/>
    </row>
    <row r="389" ht="15" customHeight="1">
      <c r="A389" t="inlineStr">
        <is>
          <t>A 16585-2021</t>
        </is>
      </c>
      <c r="B389" s="1" t="n">
        <v>44294.33396990741</v>
      </c>
      <c r="C389" s="1" t="n">
        <v>46012</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6404-2025</t>
        </is>
      </c>
      <c r="B390" s="1" t="n">
        <v>45699.45336805555</v>
      </c>
      <c r="C390" s="1" t="n">
        <v>46012</v>
      </c>
      <c r="D390" t="inlineStr">
        <is>
          <t>ÖSTERGÖTLANDS LÄN</t>
        </is>
      </c>
      <c r="E390" t="inlineStr">
        <is>
          <t>KINDA</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6406-2025</t>
        </is>
      </c>
      <c r="B391" s="1" t="n">
        <v>45699.45508101852</v>
      </c>
      <c r="C391" s="1" t="n">
        <v>46012</v>
      </c>
      <c r="D391" t="inlineStr">
        <is>
          <t>ÖSTERGÖTLANDS LÄN</t>
        </is>
      </c>
      <c r="E391" t="inlineStr">
        <is>
          <t>KINDA</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38134-2025</t>
        </is>
      </c>
      <c r="B392" s="1" t="n">
        <v>45882.56501157407</v>
      </c>
      <c r="C392" s="1" t="n">
        <v>46012</v>
      </c>
      <c r="D392" t="inlineStr">
        <is>
          <t>ÖSTERGÖTLANDS LÄN</t>
        </is>
      </c>
      <c r="E392" t="inlineStr">
        <is>
          <t>KINDA</t>
        </is>
      </c>
      <c r="G392" t="n">
        <v>2</v>
      </c>
      <c r="H392" t="n">
        <v>0</v>
      </c>
      <c r="I392" t="n">
        <v>0</v>
      </c>
      <c r="J392" t="n">
        <v>0</v>
      </c>
      <c r="K392" t="n">
        <v>0</v>
      </c>
      <c r="L392" t="n">
        <v>0</v>
      </c>
      <c r="M392" t="n">
        <v>0</v>
      </c>
      <c r="N392" t="n">
        <v>0</v>
      </c>
      <c r="O392" t="n">
        <v>0</v>
      </c>
      <c r="P392" t="n">
        <v>0</v>
      </c>
      <c r="Q392" t="n">
        <v>0</v>
      </c>
      <c r="R392" s="2" t="inlineStr"/>
    </row>
    <row r="393" ht="15" customHeight="1">
      <c r="A393" t="inlineStr">
        <is>
          <t>A 36942-2023</t>
        </is>
      </c>
      <c r="B393" s="1" t="n">
        <v>45154.72465277778</v>
      </c>
      <c r="C393" s="1" t="n">
        <v>46012</v>
      </c>
      <c r="D393" t="inlineStr">
        <is>
          <t>ÖSTERGÖTLANDS LÄN</t>
        </is>
      </c>
      <c r="E393" t="inlineStr">
        <is>
          <t>KINDA</t>
        </is>
      </c>
      <c r="F393" t="inlineStr">
        <is>
          <t>Allmännings- och besparingsskogar</t>
        </is>
      </c>
      <c r="G393" t="n">
        <v>14.8</v>
      </c>
      <c r="H393" t="n">
        <v>0</v>
      </c>
      <c r="I393" t="n">
        <v>0</v>
      </c>
      <c r="J393" t="n">
        <v>0</v>
      </c>
      <c r="K393" t="n">
        <v>0</v>
      </c>
      <c r="L393" t="n">
        <v>0</v>
      </c>
      <c r="M393" t="n">
        <v>0</v>
      </c>
      <c r="N393" t="n">
        <v>0</v>
      </c>
      <c r="O393" t="n">
        <v>0</v>
      </c>
      <c r="P393" t="n">
        <v>0</v>
      </c>
      <c r="Q393" t="n">
        <v>0</v>
      </c>
      <c r="R393" s="2" t="inlineStr"/>
    </row>
    <row r="394" ht="15" customHeight="1">
      <c r="A394" t="inlineStr">
        <is>
          <t>A 20083-2021</t>
        </is>
      </c>
      <c r="B394" s="1" t="n">
        <v>44314</v>
      </c>
      <c r="C394" s="1" t="n">
        <v>46012</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38138-2025</t>
        </is>
      </c>
      <c r="B395" s="1" t="n">
        <v>45882.57047453704</v>
      </c>
      <c r="C395" s="1" t="n">
        <v>46012</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24075-2025</t>
        </is>
      </c>
      <c r="B396" s="1" t="n">
        <v>45796.54888888889</v>
      </c>
      <c r="C396" s="1" t="n">
        <v>46012</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38131-2025</t>
        </is>
      </c>
      <c r="B397" s="1" t="n">
        <v>45882.56136574074</v>
      </c>
      <c r="C397" s="1" t="n">
        <v>46012</v>
      </c>
      <c r="D397" t="inlineStr">
        <is>
          <t>ÖSTERGÖTLANDS LÄN</t>
        </is>
      </c>
      <c r="E397" t="inlineStr">
        <is>
          <t>KINDA</t>
        </is>
      </c>
      <c r="G397" t="n">
        <v>3.9</v>
      </c>
      <c r="H397" t="n">
        <v>0</v>
      </c>
      <c r="I397" t="n">
        <v>0</v>
      </c>
      <c r="J397" t="n">
        <v>0</v>
      </c>
      <c r="K397" t="n">
        <v>0</v>
      </c>
      <c r="L397" t="n">
        <v>0</v>
      </c>
      <c r="M397" t="n">
        <v>0</v>
      </c>
      <c r="N397" t="n">
        <v>0</v>
      </c>
      <c r="O397" t="n">
        <v>0</v>
      </c>
      <c r="P397" t="n">
        <v>0</v>
      </c>
      <c r="Q397" t="n">
        <v>0</v>
      </c>
      <c r="R397" s="2" t="inlineStr"/>
    </row>
    <row r="398" ht="15" customHeight="1">
      <c r="A398" t="inlineStr">
        <is>
          <t>A 38128-2025</t>
        </is>
      </c>
      <c r="B398" s="1" t="n">
        <v>45882.55935185185</v>
      </c>
      <c r="C398" s="1" t="n">
        <v>46012</v>
      </c>
      <c r="D398" t="inlineStr">
        <is>
          <t>ÖSTERGÖTLANDS LÄN</t>
        </is>
      </c>
      <c r="E398" t="inlineStr">
        <is>
          <t>KINDA</t>
        </is>
      </c>
      <c r="G398" t="n">
        <v>9.1</v>
      </c>
      <c r="H398" t="n">
        <v>0</v>
      </c>
      <c r="I398" t="n">
        <v>0</v>
      </c>
      <c r="J398" t="n">
        <v>0</v>
      </c>
      <c r="K398" t="n">
        <v>0</v>
      </c>
      <c r="L398" t="n">
        <v>0</v>
      </c>
      <c r="M398" t="n">
        <v>0</v>
      </c>
      <c r="N398" t="n">
        <v>0</v>
      </c>
      <c r="O398" t="n">
        <v>0</v>
      </c>
      <c r="P398" t="n">
        <v>0</v>
      </c>
      <c r="Q398" t="n">
        <v>0</v>
      </c>
      <c r="R398" s="2" t="inlineStr"/>
    </row>
    <row r="399" ht="15" customHeight="1">
      <c r="A399" t="inlineStr">
        <is>
          <t>A 38142-2025</t>
        </is>
      </c>
      <c r="B399" s="1" t="n">
        <v>45882.58010416666</v>
      </c>
      <c r="C399" s="1" t="n">
        <v>46012</v>
      </c>
      <c r="D399" t="inlineStr">
        <is>
          <t>ÖSTERGÖTLANDS LÄN</t>
        </is>
      </c>
      <c r="E399" t="inlineStr">
        <is>
          <t>KINDA</t>
        </is>
      </c>
      <c r="G399" t="n">
        <v>4.2</v>
      </c>
      <c r="H399" t="n">
        <v>0</v>
      </c>
      <c r="I399" t="n">
        <v>0</v>
      </c>
      <c r="J399" t="n">
        <v>0</v>
      </c>
      <c r="K399" t="n">
        <v>0</v>
      </c>
      <c r="L399" t="n">
        <v>0</v>
      </c>
      <c r="M399" t="n">
        <v>0</v>
      </c>
      <c r="N399" t="n">
        <v>0</v>
      </c>
      <c r="O399" t="n">
        <v>0</v>
      </c>
      <c r="P399" t="n">
        <v>0</v>
      </c>
      <c r="Q399" t="n">
        <v>0</v>
      </c>
      <c r="R399" s="2" t="inlineStr"/>
    </row>
    <row r="400" ht="15" customHeight="1">
      <c r="A400" t="inlineStr">
        <is>
          <t>A 8889-2025</t>
        </is>
      </c>
      <c r="B400" s="1" t="n">
        <v>45713.39555555556</v>
      </c>
      <c r="C400" s="1" t="n">
        <v>46012</v>
      </c>
      <c r="D400" t="inlineStr">
        <is>
          <t>ÖSTERGÖTLANDS LÄN</t>
        </is>
      </c>
      <c r="E400" t="inlineStr">
        <is>
          <t>KINDA</t>
        </is>
      </c>
      <c r="G400" t="n">
        <v>1.4</v>
      </c>
      <c r="H400" t="n">
        <v>0</v>
      </c>
      <c r="I400" t="n">
        <v>0</v>
      </c>
      <c r="J400" t="n">
        <v>0</v>
      </c>
      <c r="K400" t="n">
        <v>0</v>
      </c>
      <c r="L400" t="n">
        <v>0</v>
      </c>
      <c r="M400" t="n">
        <v>0</v>
      </c>
      <c r="N400" t="n">
        <v>0</v>
      </c>
      <c r="O400" t="n">
        <v>0</v>
      </c>
      <c r="P400" t="n">
        <v>0</v>
      </c>
      <c r="Q400" t="n">
        <v>0</v>
      </c>
      <c r="R400" s="2" t="inlineStr"/>
    </row>
    <row r="401" ht="15" customHeight="1">
      <c r="A401" t="inlineStr">
        <is>
          <t>A 57500-2024</t>
        </is>
      </c>
      <c r="B401" s="1" t="n">
        <v>45629</v>
      </c>
      <c r="C401" s="1" t="n">
        <v>46012</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11479-2025</t>
        </is>
      </c>
      <c r="B402" s="1" t="n">
        <v>45726.6749537037</v>
      </c>
      <c r="C402" s="1" t="n">
        <v>46012</v>
      </c>
      <c r="D402" t="inlineStr">
        <is>
          <t>ÖSTERGÖTLANDS LÄN</t>
        </is>
      </c>
      <c r="E402" t="inlineStr">
        <is>
          <t>KINDA</t>
        </is>
      </c>
      <c r="G402" t="n">
        <v>4</v>
      </c>
      <c r="H402" t="n">
        <v>0</v>
      </c>
      <c r="I402" t="n">
        <v>0</v>
      </c>
      <c r="J402" t="n">
        <v>0</v>
      </c>
      <c r="K402" t="n">
        <v>0</v>
      </c>
      <c r="L402" t="n">
        <v>0</v>
      </c>
      <c r="M402" t="n">
        <v>0</v>
      </c>
      <c r="N402" t="n">
        <v>0</v>
      </c>
      <c r="O402" t="n">
        <v>0</v>
      </c>
      <c r="P402" t="n">
        <v>0</v>
      </c>
      <c r="Q402" t="n">
        <v>0</v>
      </c>
      <c r="R402" s="2" t="inlineStr"/>
    </row>
    <row r="403" ht="15" customHeight="1">
      <c r="A403" t="inlineStr">
        <is>
          <t>A 49834-2025</t>
        </is>
      </c>
      <c r="B403" s="1" t="n">
        <v>45940.46385416666</v>
      </c>
      <c r="C403" s="1" t="n">
        <v>46012</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43432-2023</t>
        </is>
      </c>
      <c r="B404" s="1" t="n">
        <v>45184.40974537037</v>
      </c>
      <c r="C404" s="1" t="n">
        <v>46012</v>
      </c>
      <c r="D404" t="inlineStr">
        <is>
          <t>ÖSTERGÖTLANDS LÄN</t>
        </is>
      </c>
      <c r="E404" t="inlineStr">
        <is>
          <t>KINDA</t>
        </is>
      </c>
      <c r="G404" t="n">
        <v>2.8</v>
      </c>
      <c r="H404" t="n">
        <v>0</v>
      </c>
      <c r="I404" t="n">
        <v>0</v>
      </c>
      <c r="J404" t="n">
        <v>0</v>
      </c>
      <c r="K404" t="n">
        <v>0</v>
      </c>
      <c r="L404" t="n">
        <v>0</v>
      </c>
      <c r="M404" t="n">
        <v>0</v>
      </c>
      <c r="N404" t="n">
        <v>0</v>
      </c>
      <c r="O404" t="n">
        <v>0</v>
      </c>
      <c r="P404" t="n">
        <v>0</v>
      </c>
      <c r="Q404" t="n">
        <v>0</v>
      </c>
      <c r="R404" s="2" t="inlineStr"/>
    </row>
    <row r="405" ht="15" customHeight="1">
      <c r="A405" t="inlineStr">
        <is>
          <t>A 57165-2025</t>
        </is>
      </c>
      <c r="B405" s="1" t="n">
        <v>45978</v>
      </c>
      <c r="C405" s="1" t="n">
        <v>46012</v>
      </c>
      <c r="D405" t="inlineStr">
        <is>
          <t>ÖSTERGÖTLANDS LÄN</t>
        </is>
      </c>
      <c r="E405" t="inlineStr">
        <is>
          <t>KINDA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9399-2023</t>
        </is>
      </c>
      <c r="B406" s="1" t="n">
        <v>44981</v>
      </c>
      <c r="C406" s="1" t="n">
        <v>46012</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15568-2023</t>
        </is>
      </c>
      <c r="B407" s="1" t="n">
        <v>45020.61570601852</v>
      </c>
      <c r="C407" s="1" t="n">
        <v>46012</v>
      </c>
      <c r="D407" t="inlineStr">
        <is>
          <t>ÖSTERGÖTLANDS LÄN</t>
        </is>
      </c>
      <c r="E407" t="inlineStr">
        <is>
          <t>KINDA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50179-2025</t>
        </is>
      </c>
      <c r="B408" s="1" t="n">
        <v>45943.61493055556</v>
      </c>
      <c r="C408" s="1" t="n">
        <v>46012</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54484-2022</t>
        </is>
      </c>
      <c r="B409" s="1" t="n">
        <v>44882</v>
      </c>
      <c r="C409" s="1" t="n">
        <v>46012</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32825-2021</t>
        </is>
      </c>
      <c r="B410" s="1" t="n">
        <v>44375.6209837963</v>
      </c>
      <c r="C410" s="1" t="n">
        <v>46012</v>
      </c>
      <c r="D410" t="inlineStr">
        <is>
          <t>ÖSTERGÖTLANDS LÄN</t>
        </is>
      </c>
      <c r="E410" t="inlineStr">
        <is>
          <t>KINDA</t>
        </is>
      </c>
      <c r="G410" t="n">
        <v>0.7</v>
      </c>
      <c r="H410" t="n">
        <v>0</v>
      </c>
      <c r="I410" t="n">
        <v>0</v>
      </c>
      <c r="J410" t="n">
        <v>0</v>
      </c>
      <c r="K410" t="n">
        <v>0</v>
      </c>
      <c r="L410" t="n">
        <v>0</v>
      </c>
      <c r="M410" t="n">
        <v>0</v>
      </c>
      <c r="N410" t="n">
        <v>0</v>
      </c>
      <c r="O410" t="n">
        <v>0</v>
      </c>
      <c r="P410" t="n">
        <v>0</v>
      </c>
      <c r="Q410" t="n">
        <v>0</v>
      </c>
      <c r="R410" s="2" t="inlineStr"/>
    </row>
    <row r="411" ht="15" customHeight="1">
      <c r="A411" t="inlineStr">
        <is>
          <t>A 13273-2021</t>
        </is>
      </c>
      <c r="B411" s="1" t="n">
        <v>44272</v>
      </c>
      <c r="C411" s="1" t="n">
        <v>46012</v>
      </c>
      <c r="D411" t="inlineStr">
        <is>
          <t>ÖSTERGÖTLANDS LÄN</t>
        </is>
      </c>
      <c r="E411" t="inlineStr">
        <is>
          <t>KINDA</t>
        </is>
      </c>
      <c r="G411" t="n">
        <v>3.4</v>
      </c>
      <c r="H411" t="n">
        <v>0</v>
      </c>
      <c r="I411" t="n">
        <v>0</v>
      </c>
      <c r="J411" t="n">
        <v>0</v>
      </c>
      <c r="K411" t="n">
        <v>0</v>
      </c>
      <c r="L411" t="n">
        <v>0</v>
      </c>
      <c r="M411" t="n">
        <v>0</v>
      </c>
      <c r="N411" t="n">
        <v>0</v>
      </c>
      <c r="O411" t="n">
        <v>0</v>
      </c>
      <c r="P411" t="n">
        <v>0</v>
      </c>
      <c r="Q411" t="n">
        <v>0</v>
      </c>
      <c r="R411" s="2" t="inlineStr"/>
    </row>
    <row r="412" ht="15" customHeight="1">
      <c r="A412" t="inlineStr">
        <is>
          <t>A 34127-2021</t>
        </is>
      </c>
      <c r="B412" s="1" t="n">
        <v>44379</v>
      </c>
      <c r="C412" s="1" t="n">
        <v>46012</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22151-2024</t>
        </is>
      </c>
      <c r="B413" s="1" t="n">
        <v>45445.39447916667</v>
      </c>
      <c r="C413" s="1" t="n">
        <v>46012</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46012</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46012</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38258-2025</t>
        </is>
      </c>
      <c r="B416" s="1" t="n">
        <v>45883.38797453704</v>
      </c>
      <c r="C416" s="1" t="n">
        <v>46012</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35152-2024</t>
        </is>
      </c>
      <c r="B417" s="1" t="n">
        <v>45530.38082175926</v>
      </c>
      <c r="C417" s="1" t="n">
        <v>46012</v>
      </c>
      <c r="D417" t="inlineStr">
        <is>
          <t>ÖSTERGÖTLANDS LÄN</t>
        </is>
      </c>
      <c r="E417" t="inlineStr">
        <is>
          <t>KINDA</t>
        </is>
      </c>
      <c r="G417" t="n">
        <v>2.8</v>
      </c>
      <c r="H417" t="n">
        <v>0</v>
      </c>
      <c r="I417" t="n">
        <v>0</v>
      </c>
      <c r="J417" t="n">
        <v>0</v>
      </c>
      <c r="K417" t="n">
        <v>0</v>
      </c>
      <c r="L417" t="n">
        <v>0</v>
      </c>
      <c r="M417" t="n">
        <v>0</v>
      </c>
      <c r="N417" t="n">
        <v>0</v>
      </c>
      <c r="O417" t="n">
        <v>0</v>
      </c>
      <c r="P417" t="n">
        <v>0</v>
      </c>
      <c r="Q417" t="n">
        <v>0</v>
      </c>
      <c r="R417" s="2" t="inlineStr"/>
    </row>
    <row r="418" ht="15" customHeight="1">
      <c r="A418" t="inlineStr">
        <is>
          <t>A 42956-2023</t>
        </is>
      </c>
      <c r="B418" s="1" t="n">
        <v>45182</v>
      </c>
      <c r="C418" s="1" t="n">
        <v>46012</v>
      </c>
      <c r="D418" t="inlineStr">
        <is>
          <t>ÖSTERGÖTLANDS LÄN</t>
        </is>
      </c>
      <c r="E418" t="inlineStr">
        <is>
          <t>KINDA</t>
        </is>
      </c>
      <c r="G418" t="n">
        <v>1.5</v>
      </c>
      <c r="H418" t="n">
        <v>0</v>
      </c>
      <c r="I418" t="n">
        <v>0</v>
      </c>
      <c r="J418" t="n">
        <v>0</v>
      </c>
      <c r="K418" t="n">
        <v>0</v>
      </c>
      <c r="L418" t="n">
        <v>0</v>
      </c>
      <c r="M418" t="n">
        <v>0</v>
      </c>
      <c r="N418" t="n">
        <v>0</v>
      </c>
      <c r="O418" t="n">
        <v>0</v>
      </c>
      <c r="P418" t="n">
        <v>0</v>
      </c>
      <c r="Q418" t="n">
        <v>0</v>
      </c>
      <c r="R418" s="2" t="inlineStr"/>
    </row>
    <row r="419" ht="15" customHeight="1">
      <c r="A419" t="inlineStr">
        <is>
          <t>A 59040-2025</t>
        </is>
      </c>
      <c r="B419" s="1" t="n">
        <v>45988.36878472222</v>
      </c>
      <c r="C419" s="1" t="n">
        <v>46012</v>
      </c>
      <c r="D419" t="inlineStr">
        <is>
          <t>ÖSTERGÖTLANDS LÄN</t>
        </is>
      </c>
      <c r="E419" t="inlineStr">
        <is>
          <t>KINDA</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59079-2025</t>
        </is>
      </c>
      <c r="B420" s="1" t="n">
        <v>45988.43372685185</v>
      </c>
      <c r="C420" s="1" t="n">
        <v>46012</v>
      </c>
      <c r="D420" t="inlineStr">
        <is>
          <t>ÖSTERGÖTLANDS LÄN</t>
        </is>
      </c>
      <c r="E420" t="inlineStr">
        <is>
          <t>KINDA</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16607-2023</t>
        </is>
      </c>
      <c r="B421" s="1" t="n">
        <v>45030</v>
      </c>
      <c r="C421" s="1" t="n">
        <v>46012</v>
      </c>
      <c r="D421" t="inlineStr">
        <is>
          <t>ÖSTERGÖTLANDS LÄN</t>
        </is>
      </c>
      <c r="E421" t="inlineStr">
        <is>
          <t>KINDA</t>
        </is>
      </c>
      <c r="G421" t="n">
        <v>4.7</v>
      </c>
      <c r="H421" t="n">
        <v>0</v>
      </c>
      <c r="I421" t="n">
        <v>0</v>
      </c>
      <c r="J421" t="n">
        <v>0</v>
      </c>
      <c r="K421" t="n">
        <v>0</v>
      </c>
      <c r="L421" t="n">
        <v>0</v>
      </c>
      <c r="M421" t="n">
        <v>0</v>
      </c>
      <c r="N421" t="n">
        <v>0</v>
      </c>
      <c r="O421" t="n">
        <v>0</v>
      </c>
      <c r="P421" t="n">
        <v>0</v>
      </c>
      <c r="Q421" t="n">
        <v>0</v>
      </c>
      <c r="R421" s="2" t="inlineStr"/>
    </row>
    <row r="422" ht="15" customHeight="1">
      <c r="A422" t="inlineStr">
        <is>
          <t>A 16609-2023</t>
        </is>
      </c>
      <c r="B422" s="1" t="n">
        <v>45030</v>
      </c>
      <c r="C422" s="1" t="n">
        <v>46012</v>
      </c>
      <c r="D422" t="inlineStr">
        <is>
          <t>ÖSTERGÖTLANDS LÄN</t>
        </is>
      </c>
      <c r="E422" t="inlineStr">
        <is>
          <t>KINDA</t>
        </is>
      </c>
      <c r="G422" t="n">
        <v>5.5</v>
      </c>
      <c r="H422" t="n">
        <v>0</v>
      </c>
      <c r="I422" t="n">
        <v>0</v>
      </c>
      <c r="J422" t="n">
        <v>0</v>
      </c>
      <c r="K422" t="n">
        <v>0</v>
      </c>
      <c r="L422" t="n">
        <v>0</v>
      </c>
      <c r="M422" t="n">
        <v>0</v>
      </c>
      <c r="N422" t="n">
        <v>0</v>
      </c>
      <c r="O422" t="n">
        <v>0</v>
      </c>
      <c r="P422" t="n">
        <v>0</v>
      </c>
      <c r="Q422" t="n">
        <v>0</v>
      </c>
      <c r="R422" s="2" t="inlineStr"/>
    </row>
    <row r="423" ht="15" customHeight="1">
      <c r="A423" t="inlineStr">
        <is>
          <t>A 16610-2023</t>
        </is>
      </c>
      <c r="B423" s="1" t="n">
        <v>45030</v>
      </c>
      <c r="C423" s="1" t="n">
        <v>46012</v>
      </c>
      <c r="D423" t="inlineStr">
        <is>
          <t>ÖSTERGÖTLANDS LÄN</t>
        </is>
      </c>
      <c r="E423" t="inlineStr">
        <is>
          <t>KINDA</t>
        </is>
      </c>
      <c r="G423" t="n">
        <v>3.4</v>
      </c>
      <c r="H423" t="n">
        <v>0</v>
      </c>
      <c r="I423" t="n">
        <v>0</v>
      </c>
      <c r="J423" t="n">
        <v>0</v>
      </c>
      <c r="K423" t="n">
        <v>0</v>
      </c>
      <c r="L423" t="n">
        <v>0</v>
      </c>
      <c r="M423" t="n">
        <v>0</v>
      </c>
      <c r="N423" t="n">
        <v>0</v>
      </c>
      <c r="O423" t="n">
        <v>0</v>
      </c>
      <c r="P423" t="n">
        <v>0</v>
      </c>
      <c r="Q423" t="n">
        <v>0</v>
      </c>
      <c r="R423" s="2" t="inlineStr"/>
    </row>
    <row r="424" ht="15" customHeight="1">
      <c r="A424" t="inlineStr">
        <is>
          <t>A 24748-2023</t>
        </is>
      </c>
      <c r="B424" s="1" t="n">
        <v>45078</v>
      </c>
      <c r="C424" s="1" t="n">
        <v>46012</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50741-2025</t>
        </is>
      </c>
      <c r="B425" s="1" t="n">
        <v>45946.3800462963</v>
      </c>
      <c r="C425" s="1" t="n">
        <v>46012</v>
      </c>
      <c r="D425" t="inlineStr">
        <is>
          <t>ÖSTERGÖTLANDS LÄN</t>
        </is>
      </c>
      <c r="E425" t="inlineStr">
        <is>
          <t>KINDA</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50619-2025</t>
        </is>
      </c>
      <c r="B426" s="1" t="n">
        <v>45945.63074074074</v>
      </c>
      <c r="C426" s="1" t="n">
        <v>46012</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59103-2025</t>
        </is>
      </c>
      <c r="B427" s="1" t="n">
        <v>45988.46053240741</v>
      </c>
      <c r="C427" s="1" t="n">
        <v>46012</v>
      </c>
      <c r="D427" t="inlineStr">
        <is>
          <t>ÖSTERGÖTLANDS LÄN</t>
        </is>
      </c>
      <c r="E427" t="inlineStr">
        <is>
          <t>KINDA</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59100-2025</t>
        </is>
      </c>
      <c r="B428" s="1" t="n">
        <v>45988.45670138889</v>
      </c>
      <c r="C428" s="1" t="n">
        <v>46012</v>
      </c>
      <c r="D428" t="inlineStr">
        <is>
          <t>ÖSTERGÖTLANDS LÄN</t>
        </is>
      </c>
      <c r="E428" t="inlineStr">
        <is>
          <t>KINDA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59101-2025</t>
        </is>
      </c>
      <c r="B429" s="1" t="n">
        <v>45988.45870370371</v>
      </c>
      <c r="C429" s="1" t="n">
        <v>46012</v>
      </c>
      <c r="D429" t="inlineStr">
        <is>
          <t>ÖSTERGÖTLANDS LÄN</t>
        </is>
      </c>
      <c r="E429" t="inlineStr">
        <is>
          <t>KINDA</t>
        </is>
      </c>
      <c r="F429" t="inlineStr">
        <is>
          <t>Sveaskog</t>
        </is>
      </c>
      <c r="G429" t="n">
        <v>5.6</v>
      </c>
      <c r="H429" t="n">
        <v>0</v>
      </c>
      <c r="I429" t="n">
        <v>0</v>
      </c>
      <c r="J429" t="n">
        <v>0</v>
      </c>
      <c r="K429" t="n">
        <v>0</v>
      </c>
      <c r="L429" t="n">
        <v>0</v>
      </c>
      <c r="M429" t="n">
        <v>0</v>
      </c>
      <c r="N429" t="n">
        <v>0</v>
      </c>
      <c r="O429" t="n">
        <v>0</v>
      </c>
      <c r="P429" t="n">
        <v>0</v>
      </c>
      <c r="Q429" t="n">
        <v>0</v>
      </c>
      <c r="R429" s="2" t="inlineStr"/>
    </row>
    <row r="430" ht="15" customHeight="1">
      <c r="A430" t="inlineStr">
        <is>
          <t>A 59081-2025</t>
        </is>
      </c>
      <c r="B430" s="1" t="n">
        <v>45988.43559027778</v>
      </c>
      <c r="C430" s="1" t="n">
        <v>46012</v>
      </c>
      <c r="D430" t="inlineStr">
        <is>
          <t>ÖSTERGÖTLANDS LÄN</t>
        </is>
      </c>
      <c r="E430" t="inlineStr">
        <is>
          <t>KINDA</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767-2025</t>
        </is>
      </c>
      <c r="B431" s="1" t="n">
        <v>45665.45471064815</v>
      </c>
      <c r="C431" s="1" t="n">
        <v>46012</v>
      </c>
      <c r="D431" t="inlineStr">
        <is>
          <t>ÖSTERGÖTLANDS LÄN</t>
        </is>
      </c>
      <c r="E431" t="inlineStr">
        <is>
          <t>KINDA</t>
        </is>
      </c>
      <c r="G431" t="n">
        <v>5</v>
      </c>
      <c r="H431" t="n">
        <v>0</v>
      </c>
      <c r="I431" t="n">
        <v>0</v>
      </c>
      <c r="J431" t="n">
        <v>0</v>
      </c>
      <c r="K431" t="n">
        <v>0</v>
      </c>
      <c r="L431" t="n">
        <v>0</v>
      </c>
      <c r="M431" t="n">
        <v>0</v>
      </c>
      <c r="N431" t="n">
        <v>0</v>
      </c>
      <c r="O431" t="n">
        <v>0</v>
      </c>
      <c r="P431" t="n">
        <v>0</v>
      </c>
      <c r="Q431" t="n">
        <v>0</v>
      </c>
      <c r="R431" s="2" t="inlineStr"/>
    </row>
    <row r="432" ht="15" customHeight="1">
      <c r="A432" t="inlineStr">
        <is>
          <t>A 20325-2025</t>
        </is>
      </c>
      <c r="B432" s="1" t="n">
        <v>45775</v>
      </c>
      <c r="C432" s="1" t="n">
        <v>46012</v>
      </c>
      <c r="D432" t="inlineStr">
        <is>
          <t>ÖSTERGÖTLANDS LÄN</t>
        </is>
      </c>
      <c r="E432" t="inlineStr">
        <is>
          <t>KINDA</t>
        </is>
      </c>
      <c r="G432" t="n">
        <v>3.6</v>
      </c>
      <c r="H432" t="n">
        <v>0</v>
      </c>
      <c r="I432" t="n">
        <v>0</v>
      </c>
      <c r="J432" t="n">
        <v>0</v>
      </c>
      <c r="K432" t="n">
        <v>0</v>
      </c>
      <c r="L432" t="n">
        <v>0</v>
      </c>
      <c r="M432" t="n">
        <v>0</v>
      </c>
      <c r="N432" t="n">
        <v>0</v>
      </c>
      <c r="O432" t="n">
        <v>0</v>
      </c>
      <c r="P432" t="n">
        <v>0</v>
      </c>
      <c r="Q432" t="n">
        <v>0</v>
      </c>
      <c r="R432" s="2" t="inlineStr"/>
    </row>
    <row r="433" ht="15" customHeight="1">
      <c r="A433" t="inlineStr">
        <is>
          <t>A 47003-2025</t>
        </is>
      </c>
      <c r="B433" s="1" t="n">
        <v>45929</v>
      </c>
      <c r="C433" s="1" t="n">
        <v>46012</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41450-2022</t>
        </is>
      </c>
      <c r="B434" s="1" t="n">
        <v>44826</v>
      </c>
      <c r="C434" s="1" t="n">
        <v>46012</v>
      </c>
      <c r="D434" t="inlineStr">
        <is>
          <t>ÖSTERGÖTLANDS LÄN</t>
        </is>
      </c>
      <c r="E434" t="inlineStr">
        <is>
          <t>KINDA</t>
        </is>
      </c>
      <c r="G434" t="n">
        <v>1.3</v>
      </c>
      <c r="H434" t="n">
        <v>0</v>
      </c>
      <c r="I434" t="n">
        <v>0</v>
      </c>
      <c r="J434" t="n">
        <v>0</v>
      </c>
      <c r="K434" t="n">
        <v>0</v>
      </c>
      <c r="L434" t="n">
        <v>0</v>
      </c>
      <c r="M434" t="n">
        <v>0</v>
      </c>
      <c r="N434" t="n">
        <v>0</v>
      </c>
      <c r="O434" t="n">
        <v>0</v>
      </c>
      <c r="P434" t="n">
        <v>0</v>
      </c>
      <c r="Q434" t="n">
        <v>0</v>
      </c>
      <c r="R434" s="2" t="inlineStr"/>
    </row>
    <row r="435" ht="15" customHeight="1">
      <c r="A435" t="inlineStr">
        <is>
          <t>A 1876-2025</t>
        </is>
      </c>
      <c r="B435" s="1" t="n">
        <v>45671.62127314815</v>
      </c>
      <c r="C435" s="1" t="n">
        <v>46012</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5903-2025</t>
        </is>
      </c>
      <c r="B436" s="1" t="n">
        <v>45695.40054398148</v>
      </c>
      <c r="C436" s="1" t="n">
        <v>46012</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23717-2021</t>
        </is>
      </c>
      <c r="B437" s="1" t="n">
        <v>44334.71728009259</v>
      </c>
      <c r="C437" s="1" t="n">
        <v>46012</v>
      </c>
      <c r="D437" t="inlineStr">
        <is>
          <t>ÖSTERGÖTLANDS LÄN</t>
        </is>
      </c>
      <c r="E437" t="inlineStr">
        <is>
          <t>KINDA</t>
        </is>
      </c>
      <c r="G437" t="n">
        <v>1.8</v>
      </c>
      <c r="H437" t="n">
        <v>0</v>
      </c>
      <c r="I437" t="n">
        <v>0</v>
      </c>
      <c r="J437" t="n">
        <v>0</v>
      </c>
      <c r="K437" t="n">
        <v>0</v>
      </c>
      <c r="L437" t="n">
        <v>0</v>
      </c>
      <c r="M437" t="n">
        <v>0</v>
      </c>
      <c r="N437" t="n">
        <v>0</v>
      </c>
      <c r="O437" t="n">
        <v>0</v>
      </c>
      <c r="P437" t="n">
        <v>0</v>
      </c>
      <c r="Q437" t="n">
        <v>0</v>
      </c>
      <c r="R437" s="2" t="inlineStr"/>
    </row>
    <row r="438" ht="15" customHeight="1">
      <c r="A438" t="inlineStr">
        <is>
          <t>A 59462-2025</t>
        </is>
      </c>
      <c r="B438" s="1" t="n">
        <v>45989</v>
      </c>
      <c r="C438" s="1" t="n">
        <v>46012</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54345-2022</t>
        </is>
      </c>
      <c r="B439" s="1" t="n">
        <v>44882</v>
      </c>
      <c r="C439" s="1" t="n">
        <v>46012</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1503-2023</t>
        </is>
      </c>
      <c r="B440" s="1" t="n">
        <v>44935</v>
      </c>
      <c r="C440" s="1" t="n">
        <v>46012</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9702-2022</t>
        </is>
      </c>
      <c r="B441" s="1" t="n">
        <v>44617.6878125</v>
      </c>
      <c r="C441" s="1" t="n">
        <v>46012</v>
      </c>
      <c r="D441" t="inlineStr">
        <is>
          <t>ÖSTERGÖTLANDS LÄN</t>
        </is>
      </c>
      <c r="E441" t="inlineStr">
        <is>
          <t>KINDA</t>
        </is>
      </c>
      <c r="G441" t="n">
        <v>2.8</v>
      </c>
      <c r="H441" t="n">
        <v>0</v>
      </c>
      <c r="I441" t="n">
        <v>0</v>
      </c>
      <c r="J441" t="n">
        <v>0</v>
      </c>
      <c r="K441" t="n">
        <v>0</v>
      </c>
      <c r="L441" t="n">
        <v>0</v>
      </c>
      <c r="M441" t="n">
        <v>0</v>
      </c>
      <c r="N441" t="n">
        <v>0</v>
      </c>
      <c r="O441" t="n">
        <v>0</v>
      </c>
      <c r="P441" t="n">
        <v>0</v>
      </c>
      <c r="Q441" t="n">
        <v>0</v>
      </c>
      <c r="R441" s="2" t="inlineStr"/>
    </row>
    <row r="442" ht="15" customHeight="1">
      <c r="A442" t="inlineStr">
        <is>
          <t>A 18410-2023</t>
        </is>
      </c>
      <c r="B442" s="1" t="n">
        <v>45042.40232638889</v>
      </c>
      <c r="C442" s="1" t="n">
        <v>46012</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4659-2023</t>
        </is>
      </c>
      <c r="B443" s="1" t="n">
        <v>44952</v>
      </c>
      <c r="C443" s="1" t="n">
        <v>46012</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19161-2025</t>
        </is>
      </c>
      <c r="B444" s="1" t="n">
        <v>45769.37105324074</v>
      </c>
      <c r="C444" s="1" t="n">
        <v>46012</v>
      </c>
      <c r="D444" t="inlineStr">
        <is>
          <t>ÖSTERGÖTLANDS LÄN</t>
        </is>
      </c>
      <c r="E444" t="inlineStr">
        <is>
          <t>KINDA</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46918-2022</t>
        </is>
      </c>
      <c r="B445" s="1" t="n">
        <v>44851.67681712963</v>
      </c>
      <c r="C445" s="1" t="n">
        <v>46012</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60314-2025</t>
        </is>
      </c>
      <c r="B446" s="1" t="n">
        <v>45994.70809027777</v>
      </c>
      <c r="C446" s="1" t="n">
        <v>46012</v>
      </c>
      <c r="D446" t="inlineStr">
        <is>
          <t>ÖSTERGÖTLANDS LÄN</t>
        </is>
      </c>
      <c r="E446" t="inlineStr">
        <is>
          <t>KINDA</t>
        </is>
      </c>
      <c r="G446" t="n">
        <v>1.7</v>
      </c>
      <c r="H446" t="n">
        <v>0</v>
      </c>
      <c r="I446" t="n">
        <v>0</v>
      </c>
      <c r="J446" t="n">
        <v>0</v>
      </c>
      <c r="K446" t="n">
        <v>0</v>
      </c>
      <c r="L446" t="n">
        <v>0</v>
      </c>
      <c r="M446" t="n">
        <v>0</v>
      </c>
      <c r="N446" t="n">
        <v>0</v>
      </c>
      <c r="O446" t="n">
        <v>0</v>
      </c>
      <c r="P446" t="n">
        <v>0</v>
      </c>
      <c r="Q446" t="n">
        <v>0</v>
      </c>
      <c r="R446" s="2" t="inlineStr"/>
    </row>
    <row r="447" ht="15" customHeight="1">
      <c r="A447" t="inlineStr">
        <is>
          <t>A 650-2023</t>
        </is>
      </c>
      <c r="B447" s="1" t="n">
        <v>44930.64962962963</v>
      </c>
      <c r="C447" s="1" t="n">
        <v>46012</v>
      </c>
      <c r="D447" t="inlineStr">
        <is>
          <t>ÖSTERGÖTLANDS LÄN</t>
        </is>
      </c>
      <c r="E447" t="inlineStr">
        <is>
          <t>KINDA</t>
        </is>
      </c>
      <c r="G447" t="n">
        <v>1.3</v>
      </c>
      <c r="H447" t="n">
        <v>0</v>
      </c>
      <c r="I447" t="n">
        <v>0</v>
      </c>
      <c r="J447" t="n">
        <v>0</v>
      </c>
      <c r="K447" t="n">
        <v>0</v>
      </c>
      <c r="L447" t="n">
        <v>0</v>
      </c>
      <c r="M447" t="n">
        <v>0</v>
      </c>
      <c r="N447" t="n">
        <v>0</v>
      </c>
      <c r="O447" t="n">
        <v>0</v>
      </c>
      <c r="P447" t="n">
        <v>0</v>
      </c>
      <c r="Q447" t="n">
        <v>0</v>
      </c>
      <c r="R447" s="2" t="inlineStr"/>
    </row>
    <row r="448" ht="15" customHeight="1">
      <c r="A448" t="inlineStr">
        <is>
          <t>A 45119-2023</t>
        </is>
      </c>
      <c r="B448" s="1" t="n">
        <v>45187</v>
      </c>
      <c r="C448" s="1" t="n">
        <v>46012</v>
      </c>
      <c r="D448" t="inlineStr">
        <is>
          <t>ÖSTERGÖTLANDS LÄN</t>
        </is>
      </c>
      <c r="E448" t="inlineStr">
        <is>
          <t>KINDA</t>
        </is>
      </c>
      <c r="G448" t="n">
        <v>2.3</v>
      </c>
      <c r="H448" t="n">
        <v>0</v>
      </c>
      <c r="I448" t="n">
        <v>0</v>
      </c>
      <c r="J448" t="n">
        <v>0</v>
      </c>
      <c r="K448" t="n">
        <v>0</v>
      </c>
      <c r="L448" t="n">
        <v>0</v>
      </c>
      <c r="M448" t="n">
        <v>0</v>
      </c>
      <c r="N448" t="n">
        <v>0</v>
      </c>
      <c r="O448" t="n">
        <v>0</v>
      </c>
      <c r="P448" t="n">
        <v>0</v>
      </c>
      <c r="Q448" t="n">
        <v>0</v>
      </c>
      <c r="R448" s="2" t="inlineStr"/>
    </row>
    <row r="449" ht="15" customHeight="1">
      <c r="A449" t="inlineStr">
        <is>
          <t>A 32781-2021</t>
        </is>
      </c>
      <c r="B449" s="1" t="n">
        <v>44375</v>
      </c>
      <c r="C449" s="1" t="n">
        <v>46012</v>
      </c>
      <c r="D449" t="inlineStr">
        <is>
          <t>ÖSTERGÖTLANDS LÄN</t>
        </is>
      </c>
      <c r="E449" t="inlineStr">
        <is>
          <t>KINDA</t>
        </is>
      </c>
      <c r="G449" t="n">
        <v>2</v>
      </c>
      <c r="H449" t="n">
        <v>0</v>
      </c>
      <c r="I449" t="n">
        <v>0</v>
      </c>
      <c r="J449" t="n">
        <v>0</v>
      </c>
      <c r="K449" t="n">
        <v>0</v>
      </c>
      <c r="L449" t="n">
        <v>0</v>
      </c>
      <c r="M449" t="n">
        <v>0</v>
      </c>
      <c r="N449" t="n">
        <v>0</v>
      </c>
      <c r="O449" t="n">
        <v>0</v>
      </c>
      <c r="P449" t="n">
        <v>0</v>
      </c>
      <c r="Q449" t="n">
        <v>0</v>
      </c>
      <c r="R449" s="2" t="inlineStr"/>
      <c r="U449">
        <f>HYPERLINK("https://klasma.github.io/Logging_0513/knärot/A 32781-2021 karta knärot.png", "A 32781-2021")</f>
        <v/>
      </c>
      <c r="V449">
        <f>HYPERLINK("https://klasma.github.io/Logging_0513/klagomål/A 32781-2021 FSC-klagomål.docx", "A 32781-2021")</f>
        <v/>
      </c>
      <c r="W449">
        <f>HYPERLINK("https://klasma.github.io/Logging_0513/klagomålsmail/A 32781-2021 FSC-klagomål mail.docx", "A 32781-2021")</f>
        <v/>
      </c>
      <c r="X449">
        <f>HYPERLINK("https://klasma.github.io/Logging_0513/tillsyn/A 32781-2021 tillsynsbegäran.docx", "A 32781-2021")</f>
        <v/>
      </c>
      <c r="Y449">
        <f>HYPERLINK("https://klasma.github.io/Logging_0513/tillsynsmail/A 32781-2021 tillsynsbegäran mail.docx", "A 32781-2021")</f>
        <v/>
      </c>
    </row>
    <row r="450" ht="15" customHeight="1">
      <c r="A450" t="inlineStr">
        <is>
          <t>A 8318-2025</t>
        </is>
      </c>
      <c r="B450" s="1" t="n">
        <v>45708.62505787037</v>
      </c>
      <c r="C450" s="1" t="n">
        <v>46012</v>
      </c>
      <c r="D450" t="inlineStr">
        <is>
          <t>ÖSTERGÖTLANDS LÄN</t>
        </is>
      </c>
      <c r="E450" t="inlineStr">
        <is>
          <t>KINDA</t>
        </is>
      </c>
      <c r="G450" t="n">
        <v>2.9</v>
      </c>
      <c r="H450" t="n">
        <v>0</v>
      </c>
      <c r="I450" t="n">
        <v>0</v>
      </c>
      <c r="J450" t="n">
        <v>0</v>
      </c>
      <c r="K450" t="n">
        <v>0</v>
      </c>
      <c r="L450" t="n">
        <v>0</v>
      </c>
      <c r="M450" t="n">
        <v>0</v>
      </c>
      <c r="N450" t="n">
        <v>0</v>
      </c>
      <c r="O450" t="n">
        <v>0</v>
      </c>
      <c r="P450" t="n">
        <v>0</v>
      </c>
      <c r="Q450" t="n">
        <v>0</v>
      </c>
      <c r="R450" s="2" t="inlineStr"/>
    </row>
    <row r="451" ht="15" customHeight="1">
      <c r="A451" t="inlineStr">
        <is>
          <t>A 59573-2022</t>
        </is>
      </c>
      <c r="B451" s="1" t="n">
        <v>44907</v>
      </c>
      <c r="C451" s="1" t="n">
        <v>46012</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20350-2025</t>
        </is>
      </c>
      <c r="B452" s="1" t="n">
        <v>45775</v>
      </c>
      <c r="C452" s="1" t="n">
        <v>46012</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row>
    <row r="453" ht="15" customHeight="1">
      <c r="A453" t="inlineStr">
        <is>
          <t>A 24367-2023</t>
        </is>
      </c>
      <c r="B453" s="1" t="n">
        <v>45082.34861111111</v>
      </c>
      <c r="C453" s="1" t="n">
        <v>46012</v>
      </c>
      <c r="D453" t="inlineStr">
        <is>
          <t>ÖSTERGÖTLANDS LÄN</t>
        </is>
      </c>
      <c r="E453" t="inlineStr">
        <is>
          <t>KINDA</t>
        </is>
      </c>
      <c r="G453" t="n">
        <v>1.7</v>
      </c>
      <c r="H453" t="n">
        <v>0</v>
      </c>
      <c r="I453" t="n">
        <v>0</v>
      </c>
      <c r="J453" t="n">
        <v>0</v>
      </c>
      <c r="K453" t="n">
        <v>0</v>
      </c>
      <c r="L453" t="n">
        <v>0</v>
      </c>
      <c r="M453" t="n">
        <v>0</v>
      </c>
      <c r="N453" t="n">
        <v>0</v>
      </c>
      <c r="O453" t="n">
        <v>0</v>
      </c>
      <c r="P453" t="n">
        <v>0</v>
      </c>
      <c r="Q453" t="n">
        <v>0</v>
      </c>
      <c r="R453" s="2" t="inlineStr"/>
    </row>
    <row r="454" ht="15" customHeight="1">
      <c r="A454" t="inlineStr">
        <is>
          <t>A 46262-2021</t>
        </is>
      </c>
      <c r="B454" s="1" t="n">
        <v>44442.55604166666</v>
      </c>
      <c r="C454" s="1" t="n">
        <v>46012</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52766-2025</t>
        </is>
      </c>
      <c r="B455" s="1" t="n">
        <v>45957.4008912037</v>
      </c>
      <c r="C455" s="1" t="n">
        <v>46012</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35947-2023</t>
        </is>
      </c>
      <c r="B456" s="1" t="n">
        <v>45148.70342592592</v>
      </c>
      <c r="C456" s="1" t="n">
        <v>46012</v>
      </c>
      <c r="D456" t="inlineStr">
        <is>
          <t>ÖSTERGÖTLANDS LÄN</t>
        </is>
      </c>
      <c r="E456" t="inlineStr">
        <is>
          <t>KINDA</t>
        </is>
      </c>
      <c r="G456" t="n">
        <v>0.4</v>
      </c>
      <c r="H456" t="n">
        <v>0</v>
      </c>
      <c r="I456" t="n">
        <v>0</v>
      </c>
      <c r="J456" t="n">
        <v>0</v>
      </c>
      <c r="K456" t="n">
        <v>0</v>
      </c>
      <c r="L456" t="n">
        <v>0</v>
      </c>
      <c r="M456" t="n">
        <v>0</v>
      </c>
      <c r="N456" t="n">
        <v>0</v>
      </c>
      <c r="O456" t="n">
        <v>0</v>
      </c>
      <c r="P456" t="n">
        <v>0</v>
      </c>
      <c r="Q456" t="n">
        <v>0</v>
      </c>
      <c r="R456" s="2" t="inlineStr"/>
    </row>
    <row r="457" ht="15" customHeight="1">
      <c r="A457" t="inlineStr">
        <is>
          <t>A 15349-2024</t>
        </is>
      </c>
      <c r="B457" s="1" t="n">
        <v>45400.7590162037</v>
      </c>
      <c r="C457" s="1" t="n">
        <v>46012</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61567-2025</t>
        </is>
      </c>
      <c r="B458" s="1" t="n">
        <v>46002.24141203704</v>
      </c>
      <c r="C458" s="1" t="n">
        <v>46012</v>
      </c>
      <c r="D458" t="inlineStr">
        <is>
          <t>ÖSTERGÖTLANDS LÄN</t>
        </is>
      </c>
      <c r="E458" t="inlineStr">
        <is>
          <t>KINDA</t>
        </is>
      </c>
      <c r="G458" t="n">
        <v>5.7</v>
      </c>
      <c r="H458" t="n">
        <v>0</v>
      </c>
      <c r="I458" t="n">
        <v>0</v>
      </c>
      <c r="J458" t="n">
        <v>0</v>
      </c>
      <c r="K458" t="n">
        <v>0</v>
      </c>
      <c r="L458" t="n">
        <v>0</v>
      </c>
      <c r="M458" t="n">
        <v>0</v>
      </c>
      <c r="N458" t="n">
        <v>0</v>
      </c>
      <c r="O458" t="n">
        <v>0</v>
      </c>
      <c r="P458" t="n">
        <v>0</v>
      </c>
      <c r="Q458" t="n">
        <v>0</v>
      </c>
      <c r="R458" s="2" t="inlineStr"/>
    </row>
    <row r="459" ht="15" customHeight="1">
      <c r="A459" t="inlineStr">
        <is>
          <t>A 61571-2025</t>
        </is>
      </c>
      <c r="B459" s="1" t="n">
        <v>46002.30209490741</v>
      </c>
      <c r="C459" s="1" t="n">
        <v>46012</v>
      </c>
      <c r="D459" t="inlineStr">
        <is>
          <t>ÖSTERGÖTLANDS LÄN</t>
        </is>
      </c>
      <c r="E459" t="inlineStr">
        <is>
          <t>KINDA</t>
        </is>
      </c>
      <c r="G459" t="n">
        <v>3</v>
      </c>
      <c r="H459" t="n">
        <v>0</v>
      </c>
      <c r="I459" t="n">
        <v>0</v>
      </c>
      <c r="J459" t="n">
        <v>0</v>
      </c>
      <c r="K459" t="n">
        <v>0</v>
      </c>
      <c r="L459" t="n">
        <v>0</v>
      </c>
      <c r="M459" t="n">
        <v>0</v>
      </c>
      <c r="N459" t="n">
        <v>0</v>
      </c>
      <c r="O459" t="n">
        <v>0</v>
      </c>
      <c r="P459" t="n">
        <v>0</v>
      </c>
      <c r="Q459" t="n">
        <v>0</v>
      </c>
      <c r="R459" s="2" t="inlineStr"/>
    </row>
    <row r="460" ht="15" customHeight="1">
      <c r="A460" t="inlineStr">
        <is>
          <t>A 61572-2025</t>
        </is>
      </c>
      <c r="B460" s="1" t="n">
        <v>46002.30625</v>
      </c>
      <c r="C460" s="1" t="n">
        <v>46012</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61742-2025</t>
        </is>
      </c>
      <c r="B461" s="1" t="n">
        <v>46002.60186342592</v>
      </c>
      <c r="C461" s="1" t="n">
        <v>46012</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13845-2025</t>
        </is>
      </c>
      <c r="B462" s="1" t="n">
        <v>45737.5596875</v>
      </c>
      <c r="C462" s="1" t="n">
        <v>46012</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61705-2025</t>
        </is>
      </c>
      <c r="B463" s="1" t="n">
        <v>46002.55034722222</v>
      </c>
      <c r="C463" s="1" t="n">
        <v>46012</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46012</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61774-2025</t>
        </is>
      </c>
      <c r="B465" s="1" t="n">
        <v>46002.65667824074</v>
      </c>
      <c r="C465" s="1" t="n">
        <v>46012</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17480-2025</t>
        </is>
      </c>
      <c r="B466" s="1" t="n">
        <v>45757.48918981481</v>
      </c>
      <c r="C466" s="1" t="n">
        <v>46012</v>
      </c>
      <c r="D466" t="inlineStr">
        <is>
          <t>ÖSTERGÖTLANDS LÄN</t>
        </is>
      </c>
      <c r="E466" t="inlineStr">
        <is>
          <t>KINDA</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53417-2025</t>
        </is>
      </c>
      <c r="B467" s="1" t="n">
        <v>45959.58710648148</v>
      </c>
      <c r="C467" s="1" t="n">
        <v>46012</v>
      </c>
      <c r="D467" t="inlineStr">
        <is>
          <t>ÖSTERGÖTLANDS LÄN</t>
        </is>
      </c>
      <c r="E467" t="inlineStr">
        <is>
          <t>KINDA</t>
        </is>
      </c>
      <c r="G467" t="n">
        <v>4.5</v>
      </c>
      <c r="H467" t="n">
        <v>0</v>
      </c>
      <c r="I467" t="n">
        <v>0</v>
      </c>
      <c r="J467" t="n">
        <v>0</v>
      </c>
      <c r="K467" t="n">
        <v>0</v>
      </c>
      <c r="L467" t="n">
        <v>0</v>
      </c>
      <c r="M467" t="n">
        <v>0</v>
      </c>
      <c r="N467" t="n">
        <v>0</v>
      </c>
      <c r="O467" t="n">
        <v>0</v>
      </c>
      <c r="P467" t="n">
        <v>0</v>
      </c>
      <c r="Q467" t="n">
        <v>0</v>
      </c>
      <c r="R467" s="2" t="inlineStr"/>
    </row>
    <row r="468" ht="15" customHeight="1">
      <c r="A468" t="inlineStr">
        <is>
          <t>A 2969-2024</t>
        </is>
      </c>
      <c r="B468" s="1" t="n">
        <v>45315.66914351852</v>
      </c>
      <c r="C468" s="1" t="n">
        <v>46012</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23886-2023</t>
        </is>
      </c>
      <c r="B469" s="1" t="n">
        <v>45078.5274537037</v>
      </c>
      <c r="C469" s="1" t="n">
        <v>46012</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61776-2025</t>
        </is>
      </c>
      <c r="B470" s="1" t="n">
        <v>46002.6596875</v>
      </c>
      <c r="C470" s="1" t="n">
        <v>46012</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17666-2025</t>
        </is>
      </c>
      <c r="B471" s="1" t="n">
        <v>45758.36324074074</v>
      </c>
      <c r="C471" s="1" t="n">
        <v>46012</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57455-2021</t>
        </is>
      </c>
      <c r="B472" s="1" t="n">
        <v>44483.65453703704</v>
      </c>
      <c r="C472" s="1" t="n">
        <v>46012</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66100-2021</t>
        </is>
      </c>
      <c r="B473" s="1" t="n">
        <v>44517</v>
      </c>
      <c r="C473" s="1" t="n">
        <v>46012</v>
      </c>
      <c r="D473" t="inlineStr">
        <is>
          <t>ÖSTERGÖTLANDS LÄN</t>
        </is>
      </c>
      <c r="E473" t="inlineStr">
        <is>
          <t>KINDA</t>
        </is>
      </c>
      <c r="G473" t="n">
        <v>2.5</v>
      </c>
      <c r="H473" t="n">
        <v>0</v>
      </c>
      <c r="I473" t="n">
        <v>0</v>
      </c>
      <c r="J473" t="n">
        <v>0</v>
      </c>
      <c r="K473" t="n">
        <v>0</v>
      </c>
      <c r="L473" t="n">
        <v>0</v>
      </c>
      <c r="M473" t="n">
        <v>0</v>
      </c>
      <c r="N473" t="n">
        <v>0</v>
      </c>
      <c r="O473" t="n">
        <v>0</v>
      </c>
      <c r="P473" t="n">
        <v>0</v>
      </c>
      <c r="Q473" t="n">
        <v>0</v>
      </c>
      <c r="R473" s="2" t="inlineStr"/>
    </row>
    <row r="474" ht="15" customHeight="1">
      <c r="A474" t="inlineStr">
        <is>
          <t>A 5184-2023</t>
        </is>
      </c>
      <c r="B474" s="1" t="n">
        <v>44959.3233912037</v>
      </c>
      <c r="C474" s="1" t="n">
        <v>46012</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61908-2025</t>
        </is>
      </c>
      <c r="B475" s="1" t="n">
        <v>46003.47145833333</v>
      </c>
      <c r="C475" s="1" t="n">
        <v>46012</v>
      </c>
      <c r="D475" t="inlineStr">
        <is>
          <t>ÖSTERGÖTLANDS LÄN</t>
        </is>
      </c>
      <c r="E475" t="inlineStr">
        <is>
          <t>KINDA</t>
        </is>
      </c>
      <c r="G475" t="n">
        <v>6.7</v>
      </c>
      <c r="H475" t="n">
        <v>0</v>
      </c>
      <c r="I475" t="n">
        <v>0</v>
      </c>
      <c r="J475" t="n">
        <v>0</v>
      </c>
      <c r="K475" t="n">
        <v>0</v>
      </c>
      <c r="L475" t="n">
        <v>0</v>
      </c>
      <c r="M475" t="n">
        <v>0</v>
      </c>
      <c r="N475" t="n">
        <v>0</v>
      </c>
      <c r="O475" t="n">
        <v>0</v>
      </c>
      <c r="P475" t="n">
        <v>0</v>
      </c>
      <c r="Q475" t="n">
        <v>0</v>
      </c>
      <c r="R475" s="2" t="inlineStr"/>
    </row>
    <row r="476" ht="15" customHeight="1">
      <c r="A476" t="inlineStr">
        <is>
          <t>A 62008-2025</t>
        </is>
      </c>
      <c r="B476" s="1" t="n">
        <v>46003.66984953704</v>
      </c>
      <c r="C476" s="1" t="n">
        <v>46012</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46012</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61901-2025</t>
        </is>
      </c>
      <c r="B478" s="1" t="n">
        <v>46003.46927083333</v>
      </c>
      <c r="C478" s="1" t="n">
        <v>46012</v>
      </c>
      <c r="D478" t="inlineStr">
        <is>
          <t>ÖSTERGÖTLANDS LÄN</t>
        </is>
      </c>
      <c r="E478" t="inlineStr">
        <is>
          <t>KINDA</t>
        </is>
      </c>
      <c r="G478" t="n">
        <v>2.1</v>
      </c>
      <c r="H478" t="n">
        <v>0</v>
      </c>
      <c r="I478" t="n">
        <v>0</v>
      </c>
      <c r="J478" t="n">
        <v>0</v>
      </c>
      <c r="K478" t="n">
        <v>0</v>
      </c>
      <c r="L478" t="n">
        <v>0</v>
      </c>
      <c r="M478" t="n">
        <v>0</v>
      </c>
      <c r="N478" t="n">
        <v>0</v>
      </c>
      <c r="O478" t="n">
        <v>0</v>
      </c>
      <c r="P478" t="n">
        <v>0</v>
      </c>
      <c r="Q478" t="n">
        <v>0</v>
      </c>
      <c r="R478" s="2" t="inlineStr"/>
    </row>
    <row r="479" ht="15" customHeight="1">
      <c r="A479" t="inlineStr">
        <is>
          <t>A 53808-2025</t>
        </is>
      </c>
      <c r="B479" s="1" t="n">
        <v>45960.86200231482</v>
      </c>
      <c r="C479" s="1" t="n">
        <v>46012</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62415-2025</t>
        </is>
      </c>
      <c r="B480" s="1" t="n">
        <v>46007.44498842592</v>
      </c>
      <c r="C480" s="1" t="n">
        <v>46012</v>
      </c>
      <c r="D480" t="inlineStr">
        <is>
          <t>ÖSTERGÖTLANDS LÄN</t>
        </is>
      </c>
      <c r="E480" t="inlineStr">
        <is>
          <t>KINDA</t>
        </is>
      </c>
      <c r="G480" t="n">
        <v>0.4</v>
      </c>
      <c r="H480" t="n">
        <v>0</v>
      </c>
      <c r="I480" t="n">
        <v>0</v>
      </c>
      <c r="J480" t="n">
        <v>0</v>
      </c>
      <c r="K480" t="n">
        <v>0</v>
      </c>
      <c r="L480" t="n">
        <v>0</v>
      </c>
      <c r="M480" t="n">
        <v>0</v>
      </c>
      <c r="N480" t="n">
        <v>0</v>
      </c>
      <c r="O480" t="n">
        <v>0</v>
      </c>
      <c r="P480" t="n">
        <v>0</v>
      </c>
      <c r="Q480" t="n">
        <v>0</v>
      </c>
      <c r="R480" s="2" t="inlineStr"/>
    </row>
    <row r="481" ht="15" customHeight="1">
      <c r="A481" t="inlineStr">
        <is>
          <t>A 62703-2025</t>
        </is>
      </c>
      <c r="B481" s="1" t="n">
        <v>46008.49290509259</v>
      </c>
      <c r="C481" s="1" t="n">
        <v>46012</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54403-2025</t>
        </is>
      </c>
      <c r="B482" s="1" t="n">
        <v>45965.45344907408</v>
      </c>
      <c r="C482" s="1" t="n">
        <v>46012</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12128-2021</t>
        </is>
      </c>
      <c r="B483" s="1" t="n">
        <v>44266</v>
      </c>
      <c r="C483" s="1" t="n">
        <v>46012</v>
      </c>
      <c r="D483" t="inlineStr">
        <is>
          <t>ÖSTERGÖTLANDS LÄN</t>
        </is>
      </c>
      <c r="E483" t="inlineStr">
        <is>
          <t>KINDA</t>
        </is>
      </c>
      <c r="G483" t="n">
        <v>4.1</v>
      </c>
      <c r="H483" t="n">
        <v>0</v>
      </c>
      <c r="I483" t="n">
        <v>0</v>
      </c>
      <c r="J483" t="n">
        <v>0</v>
      </c>
      <c r="K483" t="n">
        <v>0</v>
      </c>
      <c r="L483" t="n">
        <v>0</v>
      </c>
      <c r="M483" t="n">
        <v>0</v>
      </c>
      <c r="N483" t="n">
        <v>0</v>
      </c>
      <c r="O483" t="n">
        <v>0</v>
      </c>
      <c r="P483" t="n">
        <v>0</v>
      </c>
      <c r="Q483" t="n">
        <v>0</v>
      </c>
      <c r="R483" s="2" t="inlineStr"/>
    </row>
    <row r="484" ht="15" customHeight="1">
      <c r="A484" t="inlineStr">
        <is>
          <t>A 12948-2023</t>
        </is>
      </c>
      <c r="B484" s="1" t="n">
        <v>45001.72512731481</v>
      </c>
      <c r="C484" s="1" t="n">
        <v>46012</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62707-2025</t>
        </is>
      </c>
      <c r="B485" s="1" t="n">
        <v>46008.50423611111</v>
      </c>
      <c r="C485" s="1" t="n">
        <v>46012</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6404-2023</t>
        </is>
      </c>
      <c r="B486" s="1" t="n">
        <v>44965.67148148148</v>
      </c>
      <c r="C486" s="1" t="n">
        <v>46012</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46012</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1881-2025</t>
        </is>
      </c>
      <c r="B488" s="1" t="n">
        <v>45671.62480324074</v>
      </c>
      <c r="C488" s="1" t="n">
        <v>46012</v>
      </c>
      <c r="D488" t="inlineStr">
        <is>
          <t>ÖSTERGÖTLANDS LÄN</t>
        </is>
      </c>
      <c r="E488" t="inlineStr">
        <is>
          <t>KINDA</t>
        </is>
      </c>
      <c r="G488" t="n">
        <v>2.4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46007.48135416667</v>
      </c>
      <c r="C489" s="1" t="n">
        <v>46012</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62444-2025</t>
        </is>
      </c>
      <c r="B490" s="1" t="n">
        <v>46007.48309027778</v>
      </c>
      <c r="C490" s="1" t="n">
        <v>46012</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62694-2025</t>
        </is>
      </c>
      <c r="B491" s="1" t="n">
        <v>46008.4852662037</v>
      </c>
      <c r="C491" s="1" t="n">
        <v>46012</v>
      </c>
      <c r="D491" t="inlineStr">
        <is>
          <t>ÖSTERGÖTLANDS LÄN</t>
        </is>
      </c>
      <c r="E491" t="inlineStr">
        <is>
          <t>KINDA</t>
        </is>
      </c>
      <c r="G491" t="n">
        <v>5</v>
      </c>
      <c r="H491" t="n">
        <v>0</v>
      </c>
      <c r="I491" t="n">
        <v>0</v>
      </c>
      <c r="J491" t="n">
        <v>0</v>
      </c>
      <c r="K491" t="n">
        <v>0</v>
      </c>
      <c r="L491" t="n">
        <v>0</v>
      </c>
      <c r="M491" t="n">
        <v>0</v>
      </c>
      <c r="N491" t="n">
        <v>0</v>
      </c>
      <c r="O491" t="n">
        <v>0</v>
      </c>
      <c r="P491" t="n">
        <v>0</v>
      </c>
      <c r="Q491" t="n">
        <v>0</v>
      </c>
      <c r="R491" s="2" t="inlineStr"/>
    </row>
    <row r="492" ht="15" customHeight="1">
      <c r="A492" t="inlineStr">
        <is>
          <t>A 14244-2024</t>
        </is>
      </c>
      <c r="B492" s="1" t="n">
        <v>45393</v>
      </c>
      <c r="C492" s="1" t="n">
        <v>46012</v>
      </c>
      <c r="D492" t="inlineStr">
        <is>
          <t>ÖSTERGÖTLANDS LÄN</t>
        </is>
      </c>
      <c r="E492" t="inlineStr">
        <is>
          <t>KINDA</t>
        </is>
      </c>
      <c r="G492" t="n">
        <v>2.1</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46008.48805555556</v>
      </c>
      <c r="C493" s="1" t="n">
        <v>46012</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19654-2025</t>
        </is>
      </c>
      <c r="B494" s="1" t="n">
        <v>45770.67305555556</v>
      </c>
      <c r="C494" s="1" t="n">
        <v>46012</v>
      </c>
      <c r="D494" t="inlineStr">
        <is>
          <t>ÖSTERGÖTLANDS LÄN</t>
        </is>
      </c>
      <c r="E494" t="inlineStr">
        <is>
          <t>KINDA</t>
        </is>
      </c>
      <c r="F494" t="inlineStr">
        <is>
          <t>Allmännings- och besparingsskogar</t>
        </is>
      </c>
      <c r="G494" t="n">
        <v>10.7</v>
      </c>
      <c r="H494" t="n">
        <v>0</v>
      </c>
      <c r="I494" t="n">
        <v>0</v>
      </c>
      <c r="J494" t="n">
        <v>0</v>
      </c>
      <c r="K494" t="n">
        <v>0</v>
      </c>
      <c r="L494" t="n">
        <v>0</v>
      </c>
      <c r="M494" t="n">
        <v>0</v>
      </c>
      <c r="N494" t="n">
        <v>0</v>
      </c>
      <c r="O494" t="n">
        <v>0</v>
      </c>
      <c r="P494" t="n">
        <v>0</v>
      </c>
      <c r="Q494" t="n">
        <v>0</v>
      </c>
      <c r="R494" s="2" t="inlineStr"/>
    </row>
    <row r="495" ht="15" customHeight="1">
      <c r="A495" t="inlineStr">
        <is>
          <t>A 63139-2025</t>
        </is>
      </c>
      <c r="B495" s="1" t="n">
        <v>46010.34168981481</v>
      </c>
      <c r="C495" s="1" t="n">
        <v>46012</v>
      </c>
      <c r="D495" t="inlineStr">
        <is>
          <t>ÖSTERGÖTLANDS LÄN</t>
        </is>
      </c>
      <c r="E495" t="inlineStr">
        <is>
          <t>KINDA</t>
        </is>
      </c>
      <c r="F495" t="inlineStr">
        <is>
          <t>Kommuner</t>
        </is>
      </c>
      <c r="G495" t="n">
        <v>2.2</v>
      </c>
      <c r="H495" t="n">
        <v>0</v>
      </c>
      <c r="I495" t="n">
        <v>0</v>
      </c>
      <c r="J495" t="n">
        <v>0</v>
      </c>
      <c r="K495" t="n">
        <v>0</v>
      </c>
      <c r="L495" t="n">
        <v>0</v>
      </c>
      <c r="M495" t="n">
        <v>0</v>
      </c>
      <c r="N495" t="n">
        <v>0</v>
      </c>
      <c r="O495" t="n">
        <v>0</v>
      </c>
      <c r="P495" t="n">
        <v>0</v>
      </c>
      <c r="Q495" t="n">
        <v>0</v>
      </c>
      <c r="R495" s="2" t="inlineStr"/>
    </row>
    <row r="496" ht="15" customHeight="1">
      <c r="A496" t="inlineStr">
        <is>
          <t>A 6561-2024</t>
        </is>
      </c>
      <c r="B496" s="1" t="n">
        <v>45341</v>
      </c>
      <c r="C496" s="1" t="n">
        <v>46012</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54870-2025</t>
        </is>
      </c>
      <c r="B497" s="1" t="n">
        <v>45966.87212962963</v>
      </c>
      <c r="C497" s="1" t="n">
        <v>46012</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55000-2025</t>
        </is>
      </c>
      <c r="B498" s="1" t="n">
        <v>45967.60479166666</v>
      </c>
      <c r="C498" s="1" t="n">
        <v>46012</v>
      </c>
      <c r="D498" t="inlineStr">
        <is>
          <t>ÖSTERGÖTLANDS LÄN</t>
        </is>
      </c>
      <c r="E498" t="inlineStr">
        <is>
          <t>KINDA</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5371-2024</t>
        </is>
      </c>
      <c r="B499" s="1" t="n">
        <v>45331</v>
      </c>
      <c r="C499" s="1" t="n">
        <v>46012</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35203-2023</t>
        </is>
      </c>
      <c r="B500" s="1" t="n">
        <v>45145</v>
      </c>
      <c r="C500" s="1" t="n">
        <v>46012</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27099-2023</t>
        </is>
      </c>
      <c r="B501" s="1" t="n">
        <v>45096</v>
      </c>
      <c r="C501" s="1" t="n">
        <v>46012</v>
      </c>
      <c r="D501" t="inlineStr">
        <is>
          <t>ÖSTERGÖTLANDS LÄN</t>
        </is>
      </c>
      <c r="E501" t="inlineStr">
        <is>
          <t>KINDA</t>
        </is>
      </c>
      <c r="G501" t="n">
        <v>4.2</v>
      </c>
      <c r="H501" t="n">
        <v>0</v>
      </c>
      <c r="I501" t="n">
        <v>0</v>
      </c>
      <c r="J501" t="n">
        <v>0</v>
      </c>
      <c r="K501" t="n">
        <v>0</v>
      </c>
      <c r="L501" t="n">
        <v>0</v>
      </c>
      <c r="M501" t="n">
        <v>0</v>
      </c>
      <c r="N501" t="n">
        <v>0</v>
      </c>
      <c r="O501" t="n">
        <v>0</v>
      </c>
      <c r="P501" t="n">
        <v>0</v>
      </c>
      <c r="Q501" t="n">
        <v>0</v>
      </c>
      <c r="R501" s="2" t="inlineStr"/>
    </row>
    <row r="502" ht="15" customHeight="1">
      <c r="A502" t="inlineStr">
        <is>
          <t>A 53306-2024</t>
        </is>
      </c>
      <c r="B502" s="1" t="n">
        <v>45614.39091435185</v>
      </c>
      <c r="C502" s="1" t="n">
        <v>46012</v>
      </c>
      <c r="D502" t="inlineStr">
        <is>
          <t>ÖSTERGÖTLANDS LÄN</t>
        </is>
      </c>
      <c r="E502" t="inlineStr">
        <is>
          <t>KINDA</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41379-2024</t>
        </is>
      </c>
      <c r="B503" s="1" t="n">
        <v>45560.2703125</v>
      </c>
      <c r="C503" s="1" t="n">
        <v>46012</v>
      </c>
      <c r="D503" t="inlineStr">
        <is>
          <t>ÖSTERGÖTLANDS LÄN</t>
        </is>
      </c>
      <c r="E503" t="inlineStr">
        <is>
          <t>KINDA</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1885-2022</t>
        </is>
      </c>
      <c r="B504" s="1" t="n">
        <v>44575</v>
      </c>
      <c r="C504" s="1" t="n">
        <v>46012</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27809-2024</t>
        </is>
      </c>
      <c r="B505" s="1" t="n">
        <v>45475</v>
      </c>
      <c r="C505" s="1" t="n">
        <v>46012</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7631-2024</t>
        </is>
      </c>
      <c r="B506" s="1" t="n">
        <v>45348.6147337963</v>
      </c>
      <c r="C506" s="1" t="n">
        <v>46012</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35588-2024</t>
        </is>
      </c>
      <c r="B507" s="1" t="n">
        <v>45531.64934027778</v>
      </c>
      <c r="C507" s="1" t="n">
        <v>46012</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610-2022</t>
        </is>
      </c>
      <c r="B508" s="1" t="n">
        <v>44567.77518518519</v>
      </c>
      <c r="C508" s="1" t="n">
        <v>46012</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62254-2023</t>
        </is>
      </c>
      <c r="B509" s="1" t="n">
        <v>45267.61618055555</v>
      </c>
      <c r="C509" s="1" t="n">
        <v>46012</v>
      </c>
      <c r="D509" t="inlineStr">
        <is>
          <t>ÖSTERGÖTLANDS LÄN</t>
        </is>
      </c>
      <c r="E509" t="inlineStr">
        <is>
          <t>KINDA</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58875-2023</t>
        </is>
      </c>
      <c r="B510" s="1" t="n">
        <v>45250</v>
      </c>
      <c r="C510" s="1" t="n">
        <v>46012</v>
      </c>
      <c r="D510" t="inlineStr">
        <is>
          <t>ÖSTERGÖTLANDS LÄN</t>
        </is>
      </c>
      <c r="E510" t="inlineStr">
        <is>
          <t>KINDA</t>
        </is>
      </c>
      <c r="G510" t="n">
        <v>1.3</v>
      </c>
      <c r="H510" t="n">
        <v>0</v>
      </c>
      <c r="I510" t="n">
        <v>0</v>
      </c>
      <c r="J510" t="n">
        <v>0</v>
      </c>
      <c r="K510" t="n">
        <v>0</v>
      </c>
      <c r="L510" t="n">
        <v>0</v>
      </c>
      <c r="M510" t="n">
        <v>0</v>
      </c>
      <c r="N510" t="n">
        <v>0</v>
      </c>
      <c r="O510" t="n">
        <v>0</v>
      </c>
      <c r="P510" t="n">
        <v>0</v>
      </c>
      <c r="Q510" t="n">
        <v>0</v>
      </c>
      <c r="R510" s="2" t="inlineStr"/>
    </row>
    <row r="511" ht="15" customHeight="1">
      <c r="A511" t="inlineStr">
        <is>
          <t>A 24110-2024</t>
        </is>
      </c>
      <c r="B511" s="1" t="n">
        <v>45456.61288194444</v>
      </c>
      <c r="C511" s="1" t="n">
        <v>46012</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15599-2023</t>
        </is>
      </c>
      <c r="B512" s="1" t="n">
        <v>45020.71773148148</v>
      </c>
      <c r="C512" s="1" t="n">
        <v>46012</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1157-2024</t>
        </is>
      </c>
      <c r="B513" s="1" t="n">
        <v>45302.51340277777</v>
      </c>
      <c r="C513" s="1" t="n">
        <v>46012</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32764-2023</t>
        </is>
      </c>
      <c r="B514" s="1" t="n">
        <v>45123.60599537037</v>
      </c>
      <c r="C514" s="1" t="n">
        <v>46012</v>
      </c>
      <c r="D514" t="inlineStr">
        <is>
          <t>ÖSTERGÖTLANDS LÄN</t>
        </is>
      </c>
      <c r="E514" t="inlineStr">
        <is>
          <t>KINDA</t>
        </is>
      </c>
      <c r="G514" t="n">
        <v>3.7</v>
      </c>
      <c r="H514" t="n">
        <v>0</v>
      </c>
      <c r="I514" t="n">
        <v>0</v>
      </c>
      <c r="J514" t="n">
        <v>0</v>
      </c>
      <c r="K514" t="n">
        <v>0</v>
      </c>
      <c r="L514" t="n">
        <v>0</v>
      </c>
      <c r="M514" t="n">
        <v>0</v>
      </c>
      <c r="N514" t="n">
        <v>0</v>
      </c>
      <c r="O514" t="n">
        <v>0</v>
      </c>
      <c r="P514" t="n">
        <v>0</v>
      </c>
      <c r="Q514" t="n">
        <v>0</v>
      </c>
      <c r="R514" s="2" t="inlineStr"/>
    </row>
    <row r="515" ht="15" customHeight="1">
      <c r="A515" t="inlineStr">
        <is>
          <t>A 12623-2024</t>
        </is>
      </c>
      <c r="B515" s="1" t="n">
        <v>45383</v>
      </c>
      <c r="C515" s="1" t="n">
        <v>46012</v>
      </c>
      <c r="D515" t="inlineStr">
        <is>
          <t>ÖSTERGÖTLANDS LÄN</t>
        </is>
      </c>
      <c r="E515" t="inlineStr">
        <is>
          <t>KINDA</t>
        </is>
      </c>
      <c r="G515" t="n">
        <v>2.4</v>
      </c>
      <c r="H515" t="n">
        <v>0</v>
      </c>
      <c r="I515" t="n">
        <v>0</v>
      </c>
      <c r="J515" t="n">
        <v>0</v>
      </c>
      <c r="K515" t="n">
        <v>0</v>
      </c>
      <c r="L515" t="n">
        <v>0</v>
      </c>
      <c r="M515" t="n">
        <v>0</v>
      </c>
      <c r="N515" t="n">
        <v>0</v>
      </c>
      <c r="O515" t="n">
        <v>0</v>
      </c>
      <c r="P515" t="n">
        <v>0</v>
      </c>
      <c r="Q515" t="n">
        <v>0</v>
      </c>
      <c r="R515" s="2" t="inlineStr"/>
    </row>
    <row r="516" ht="15" customHeight="1">
      <c r="A516" t="inlineStr">
        <is>
          <t>A 36005-2024</t>
        </is>
      </c>
      <c r="B516" s="1" t="n">
        <v>45533.54908564815</v>
      </c>
      <c r="C516" s="1" t="n">
        <v>46012</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26917-2024</t>
        </is>
      </c>
      <c r="B517" s="1" t="n">
        <v>45470.88379629629</v>
      </c>
      <c r="C517" s="1" t="n">
        <v>46012</v>
      </c>
      <c r="D517" t="inlineStr">
        <is>
          <t>ÖSTERGÖTLANDS LÄN</t>
        </is>
      </c>
      <c r="E517" t="inlineStr">
        <is>
          <t>KINDA</t>
        </is>
      </c>
      <c r="G517" t="n">
        <v>6.4</v>
      </c>
      <c r="H517" t="n">
        <v>0</v>
      </c>
      <c r="I517" t="n">
        <v>0</v>
      </c>
      <c r="J517" t="n">
        <v>0</v>
      </c>
      <c r="K517" t="n">
        <v>0</v>
      </c>
      <c r="L517" t="n">
        <v>0</v>
      </c>
      <c r="M517" t="n">
        <v>0</v>
      </c>
      <c r="N517" t="n">
        <v>0</v>
      </c>
      <c r="O517" t="n">
        <v>0</v>
      </c>
      <c r="P517" t="n">
        <v>0</v>
      </c>
      <c r="Q517" t="n">
        <v>0</v>
      </c>
      <c r="R517" s="2" t="inlineStr"/>
    </row>
    <row r="518" ht="15" customHeight="1">
      <c r="A518" t="inlineStr">
        <is>
          <t>A 29516-2024</t>
        </is>
      </c>
      <c r="B518" s="1" t="n">
        <v>45484</v>
      </c>
      <c r="C518" s="1" t="n">
        <v>46012</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5479-2024</t>
        </is>
      </c>
      <c r="B519" s="1" t="n">
        <v>45333.84959490741</v>
      </c>
      <c r="C519" s="1" t="n">
        <v>46012</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8088-2024</t>
        </is>
      </c>
      <c r="B520" s="1" t="n">
        <v>45351</v>
      </c>
      <c r="C520" s="1" t="n">
        <v>46012</v>
      </c>
      <c r="D520" t="inlineStr">
        <is>
          <t>ÖSTERGÖTLANDS LÄN</t>
        </is>
      </c>
      <c r="E520" t="inlineStr">
        <is>
          <t>KINDA</t>
        </is>
      </c>
      <c r="G520" t="n">
        <v>1.5</v>
      </c>
      <c r="H520" t="n">
        <v>0</v>
      </c>
      <c r="I520" t="n">
        <v>0</v>
      </c>
      <c r="J520" t="n">
        <v>0</v>
      </c>
      <c r="K520" t="n">
        <v>0</v>
      </c>
      <c r="L520" t="n">
        <v>0</v>
      </c>
      <c r="M520" t="n">
        <v>0</v>
      </c>
      <c r="N520" t="n">
        <v>0</v>
      </c>
      <c r="O520" t="n">
        <v>0</v>
      </c>
      <c r="P520" t="n">
        <v>0</v>
      </c>
      <c r="Q520" t="n">
        <v>0</v>
      </c>
      <c r="R520" s="2" t="inlineStr"/>
    </row>
    <row r="521" ht="15" customHeight="1">
      <c r="A521" t="inlineStr">
        <is>
          <t>A 10035-2025</t>
        </is>
      </c>
      <c r="B521" s="1" t="n">
        <v>45719.49922453704</v>
      </c>
      <c r="C521" s="1" t="n">
        <v>46012</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c r="U521">
        <f>HYPERLINK("https://klasma.github.io/Logging_0513/knärot/A 10035-2025 karta knärot.png", "A 10035-2025")</f>
        <v/>
      </c>
      <c r="V521">
        <f>HYPERLINK("https://klasma.github.io/Logging_0513/klagomål/A 10035-2025 FSC-klagomål.docx", "A 10035-2025")</f>
        <v/>
      </c>
      <c r="W521">
        <f>HYPERLINK("https://klasma.github.io/Logging_0513/klagomålsmail/A 10035-2025 FSC-klagomål mail.docx", "A 10035-2025")</f>
        <v/>
      </c>
      <c r="X521">
        <f>HYPERLINK("https://klasma.github.io/Logging_0513/tillsyn/A 10035-2025 tillsynsbegäran.docx", "A 10035-2025")</f>
        <v/>
      </c>
      <c r="Y521">
        <f>HYPERLINK("https://klasma.github.io/Logging_0513/tillsynsmail/A 10035-2025 tillsynsbegäran mail.docx", "A 10035-2025")</f>
        <v/>
      </c>
    </row>
    <row r="522" ht="15" customHeight="1">
      <c r="A522" t="inlineStr">
        <is>
          <t>A 50403-2024</t>
        </is>
      </c>
      <c r="B522" s="1" t="n">
        <v>45601.35335648148</v>
      </c>
      <c r="C522" s="1" t="n">
        <v>46012</v>
      </c>
      <c r="D522" t="inlineStr">
        <is>
          <t>ÖSTERGÖTLANDS LÄN</t>
        </is>
      </c>
      <c r="E522" t="inlineStr">
        <is>
          <t>KINDA</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44329-2023</t>
        </is>
      </c>
      <c r="B523" s="1" t="n">
        <v>45188.66209490741</v>
      </c>
      <c r="C523" s="1" t="n">
        <v>46012</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12706-2023</t>
        </is>
      </c>
      <c r="B524" s="1" t="n">
        <v>45000.65476851852</v>
      </c>
      <c r="C524" s="1" t="n">
        <v>46012</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22694-2023</t>
        </is>
      </c>
      <c r="B525" s="1" t="n">
        <v>45071</v>
      </c>
      <c r="C525" s="1" t="n">
        <v>46012</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38015-2023</t>
        </is>
      </c>
      <c r="B526" s="1" t="n">
        <v>45160</v>
      </c>
      <c r="C526" s="1" t="n">
        <v>46012</v>
      </c>
      <c r="D526" t="inlineStr">
        <is>
          <t>ÖSTERGÖTLANDS LÄN</t>
        </is>
      </c>
      <c r="E526" t="inlineStr">
        <is>
          <t>KINDA</t>
        </is>
      </c>
      <c r="F526" t="inlineStr">
        <is>
          <t>Allmännings- och besparingsskogar</t>
        </is>
      </c>
      <c r="G526" t="n">
        <v>11.5</v>
      </c>
      <c r="H526" t="n">
        <v>0</v>
      </c>
      <c r="I526" t="n">
        <v>0</v>
      </c>
      <c r="J526" t="n">
        <v>0</v>
      </c>
      <c r="K526" t="n">
        <v>0</v>
      </c>
      <c r="L526" t="n">
        <v>0</v>
      </c>
      <c r="M526" t="n">
        <v>0</v>
      </c>
      <c r="N526" t="n">
        <v>0</v>
      </c>
      <c r="O526" t="n">
        <v>0</v>
      </c>
      <c r="P526" t="n">
        <v>0</v>
      </c>
      <c r="Q526" t="n">
        <v>0</v>
      </c>
      <c r="R526" s="2" t="inlineStr"/>
    </row>
    <row r="527" ht="15" customHeight="1">
      <c r="A527" t="inlineStr">
        <is>
          <t>A 58737-2024</t>
        </is>
      </c>
      <c r="B527" s="1" t="n">
        <v>45635.68952546296</v>
      </c>
      <c r="C527" s="1" t="n">
        <v>46012</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45108-2023</t>
        </is>
      </c>
      <c r="B528" s="1" t="n">
        <v>45187</v>
      </c>
      <c r="C528" s="1" t="n">
        <v>46012</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56129-2024</t>
        </is>
      </c>
      <c r="B529" s="1" t="n">
        <v>45624</v>
      </c>
      <c r="C529" s="1" t="n">
        <v>46012</v>
      </c>
      <c r="D529" t="inlineStr">
        <is>
          <t>ÖSTERGÖTLANDS LÄN</t>
        </is>
      </c>
      <c r="E529" t="inlineStr">
        <is>
          <t>KINDA</t>
        </is>
      </c>
      <c r="G529" t="n">
        <v>0.9</v>
      </c>
      <c r="H529" t="n">
        <v>0</v>
      </c>
      <c r="I529" t="n">
        <v>0</v>
      </c>
      <c r="J529" t="n">
        <v>0</v>
      </c>
      <c r="K529" t="n">
        <v>0</v>
      </c>
      <c r="L529" t="n">
        <v>0</v>
      </c>
      <c r="M529" t="n">
        <v>0</v>
      </c>
      <c r="N529" t="n">
        <v>0</v>
      </c>
      <c r="O529" t="n">
        <v>0</v>
      </c>
      <c r="P529" t="n">
        <v>0</v>
      </c>
      <c r="Q529" t="n">
        <v>0</v>
      </c>
      <c r="R529" s="2" t="inlineStr"/>
    </row>
    <row r="530" ht="15" customHeight="1">
      <c r="A530" t="inlineStr">
        <is>
          <t>A 49337-2024</t>
        </is>
      </c>
      <c r="B530" s="1" t="n">
        <v>45595.59052083334</v>
      </c>
      <c r="C530" s="1" t="n">
        <v>46012</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23887-2023</t>
        </is>
      </c>
      <c r="B531" s="1" t="n">
        <v>45078.52990740741</v>
      </c>
      <c r="C531" s="1" t="n">
        <v>46012</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23897-2023</t>
        </is>
      </c>
      <c r="B532" s="1" t="n">
        <v>45078</v>
      </c>
      <c r="C532" s="1" t="n">
        <v>46012</v>
      </c>
      <c r="D532" t="inlineStr">
        <is>
          <t>ÖSTERGÖTLANDS LÄN</t>
        </is>
      </c>
      <c r="E532" t="inlineStr">
        <is>
          <t>KINDA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37830-2023</t>
        </is>
      </c>
      <c r="B533" s="1" t="n">
        <v>45160.34069444444</v>
      </c>
      <c r="C533" s="1" t="n">
        <v>46012</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3953-2025</t>
        </is>
      </c>
      <c r="B534" s="1" t="n">
        <v>45684.49472222223</v>
      </c>
      <c r="C534" s="1" t="n">
        <v>46012</v>
      </c>
      <c r="D534" t="inlineStr">
        <is>
          <t>ÖSTERGÖTLANDS LÄN</t>
        </is>
      </c>
      <c r="E534" t="inlineStr">
        <is>
          <t>KINDA</t>
        </is>
      </c>
      <c r="G534" t="n">
        <v>4</v>
      </c>
      <c r="H534" t="n">
        <v>0</v>
      </c>
      <c r="I534" t="n">
        <v>0</v>
      </c>
      <c r="J534" t="n">
        <v>0</v>
      </c>
      <c r="K534" t="n">
        <v>0</v>
      </c>
      <c r="L534" t="n">
        <v>0</v>
      </c>
      <c r="M534" t="n">
        <v>0</v>
      </c>
      <c r="N534" t="n">
        <v>0</v>
      </c>
      <c r="O534" t="n">
        <v>0</v>
      </c>
      <c r="P534" t="n">
        <v>0</v>
      </c>
      <c r="Q534" t="n">
        <v>0</v>
      </c>
      <c r="R534" s="2" t="inlineStr"/>
    </row>
    <row r="535" ht="15" customHeight="1">
      <c r="A535" t="inlineStr">
        <is>
          <t>A 34730-2022</t>
        </is>
      </c>
      <c r="B535" s="1" t="n">
        <v>44795</v>
      </c>
      <c r="C535" s="1" t="n">
        <v>46012</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12997-2024</t>
        </is>
      </c>
      <c r="B536" s="1" t="n">
        <v>45385.56655092593</v>
      </c>
      <c r="C536" s="1" t="n">
        <v>46012</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15302-2025</t>
        </is>
      </c>
      <c r="B537" s="1" t="n">
        <v>45746.48921296297</v>
      </c>
      <c r="C537" s="1" t="n">
        <v>46012</v>
      </c>
      <c r="D537" t="inlineStr">
        <is>
          <t>ÖSTERGÖTLANDS LÄN</t>
        </is>
      </c>
      <c r="E537" t="inlineStr">
        <is>
          <t>KINDA</t>
        </is>
      </c>
      <c r="G537" t="n">
        <v>5.6</v>
      </c>
      <c r="H537" t="n">
        <v>0</v>
      </c>
      <c r="I537" t="n">
        <v>0</v>
      </c>
      <c r="J537" t="n">
        <v>0</v>
      </c>
      <c r="K537" t="n">
        <v>0</v>
      </c>
      <c r="L537" t="n">
        <v>0</v>
      </c>
      <c r="M537" t="n">
        <v>0</v>
      </c>
      <c r="N537" t="n">
        <v>0</v>
      </c>
      <c r="O537" t="n">
        <v>0</v>
      </c>
      <c r="P537" t="n">
        <v>0</v>
      </c>
      <c r="Q537" t="n">
        <v>0</v>
      </c>
      <c r="R537" s="2" t="inlineStr"/>
    </row>
    <row r="538" ht="15" customHeight="1">
      <c r="A538" t="inlineStr">
        <is>
          <t>A 7792-2022</t>
        </is>
      </c>
      <c r="B538" s="1" t="n">
        <v>44608.48450231482</v>
      </c>
      <c r="C538" s="1" t="n">
        <v>46012</v>
      </c>
      <c r="D538" t="inlineStr">
        <is>
          <t>ÖSTERGÖTLANDS LÄN</t>
        </is>
      </c>
      <c r="E538" t="inlineStr">
        <is>
          <t>KINDA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4236-2024</t>
        </is>
      </c>
      <c r="B539" s="1" t="n">
        <v>45324.44579861111</v>
      </c>
      <c r="C539" s="1" t="n">
        <v>46012</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21244-2023</t>
        </is>
      </c>
      <c r="B540" s="1" t="n">
        <v>45062.57160879629</v>
      </c>
      <c r="C540" s="1" t="n">
        <v>46012</v>
      </c>
      <c r="D540" t="inlineStr">
        <is>
          <t>ÖSTERGÖTLANDS LÄN</t>
        </is>
      </c>
      <c r="E540" t="inlineStr">
        <is>
          <t>KINDA</t>
        </is>
      </c>
      <c r="G540" t="n">
        <v>5.5</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46012</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491-2021</t>
        </is>
      </c>
      <c r="B542" s="1" t="n">
        <v>44203</v>
      </c>
      <c r="C542" s="1" t="n">
        <v>46012</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10477-2022</t>
        </is>
      </c>
      <c r="B543" s="1" t="n">
        <v>44623.61737268518</v>
      </c>
      <c r="C543" s="1" t="n">
        <v>46012</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12622-2024</t>
        </is>
      </c>
      <c r="B544" s="1" t="n">
        <v>45383</v>
      </c>
      <c r="C544" s="1" t="n">
        <v>46012</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8092-2024</t>
        </is>
      </c>
      <c r="B545" s="1" t="n">
        <v>45351.4491550926</v>
      </c>
      <c r="C545" s="1" t="n">
        <v>46012</v>
      </c>
      <c r="D545" t="inlineStr">
        <is>
          <t>ÖSTERGÖTLANDS LÄN</t>
        </is>
      </c>
      <c r="E545" t="inlineStr">
        <is>
          <t>KINDA</t>
        </is>
      </c>
      <c r="G545" t="n">
        <v>0</v>
      </c>
      <c r="H545" t="n">
        <v>0</v>
      </c>
      <c r="I545" t="n">
        <v>0</v>
      </c>
      <c r="J545" t="n">
        <v>0</v>
      </c>
      <c r="K545" t="n">
        <v>0</v>
      </c>
      <c r="L545" t="n">
        <v>0</v>
      </c>
      <c r="M545" t="n">
        <v>0</v>
      </c>
      <c r="N545" t="n">
        <v>0</v>
      </c>
      <c r="O545" t="n">
        <v>0</v>
      </c>
      <c r="P545" t="n">
        <v>0</v>
      </c>
      <c r="Q545" t="n">
        <v>0</v>
      </c>
      <c r="R545" s="2" t="inlineStr"/>
    </row>
    <row r="546" ht="15" customHeight="1">
      <c r="A546" t="inlineStr">
        <is>
          <t>A 15159-2022</t>
        </is>
      </c>
      <c r="B546" s="1" t="n">
        <v>44658.49030092593</v>
      </c>
      <c r="C546" s="1" t="n">
        <v>46012</v>
      </c>
      <c r="D546" t="inlineStr">
        <is>
          <t>ÖSTERGÖTLANDS LÄN</t>
        </is>
      </c>
      <c r="E546" t="inlineStr">
        <is>
          <t>KINDA</t>
        </is>
      </c>
      <c r="G546" t="n">
        <v>2.9</v>
      </c>
      <c r="H546" t="n">
        <v>0</v>
      </c>
      <c r="I546" t="n">
        <v>0</v>
      </c>
      <c r="J546" t="n">
        <v>0</v>
      </c>
      <c r="K546" t="n">
        <v>0</v>
      </c>
      <c r="L546" t="n">
        <v>0</v>
      </c>
      <c r="M546" t="n">
        <v>0</v>
      </c>
      <c r="N546" t="n">
        <v>0</v>
      </c>
      <c r="O546" t="n">
        <v>0</v>
      </c>
      <c r="P546" t="n">
        <v>0</v>
      </c>
      <c r="Q546" t="n">
        <v>0</v>
      </c>
      <c r="R546" s="2" t="inlineStr"/>
    </row>
    <row r="547" ht="15" customHeight="1">
      <c r="A547" t="inlineStr">
        <is>
          <t>A 39774-2023</t>
        </is>
      </c>
      <c r="B547" s="1" t="n">
        <v>45167</v>
      </c>
      <c r="C547" s="1" t="n">
        <v>46012</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23613-2022</t>
        </is>
      </c>
      <c r="B548" s="1" t="n">
        <v>44721.61611111111</v>
      </c>
      <c r="C548" s="1" t="n">
        <v>46012</v>
      </c>
      <c r="D548" t="inlineStr">
        <is>
          <t>ÖSTERGÖTLANDS LÄN</t>
        </is>
      </c>
      <c r="E548" t="inlineStr">
        <is>
          <t>KINDA</t>
        </is>
      </c>
      <c r="G548" t="n">
        <v>2.6</v>
      </c>
      <c r="H548" t="n">
        <v>0</v>
      </c>
      <c r="I548" t="n">
        <v>0</v>
      </c>
      <c r="J548" t="n">
        <v>0</v>
      </c>
      <c r="K548" t="n">
        <v>0</v>
      </c>
      <c r="L548" t="n">
        <v>0</v>
      </c>
      <c r="M548" t="n">
        <v>0</v>
      </c>
      <c r="N548" t="n">
        <v>0</v>
      </c>
      <c r="O548" t="n">
        <v>0</v>
      </c>
      <c r="P548" t="n">
        <v>0</v>
      </c>
      <c r="Q548" t="n">
        <v>0</v>
      </c>
      <c r="R548" s="2" t="inlineStr"/>
    </row>
    <row r="549" ht="15" customHeight="1">
      <c r="A549" t="inlineStr">
        <is>
          <t>A 24903-2022</t>
        </is>
      </c>
      <c r="B549" s="1" t="n">
        <v>44728.60424768519</v>
      </c>
      <c r="C549" s="1" t="n">
        <v>46012</v>
      </c>
      <c r="D549" t="inlineStr">
        <is>
          <t>ÖSTERGÖTLANDS LÄN</t>
        </is>
      </c>
      <c r="E549" t="inlineStr">
        <is>
          <t>KINDA</t>
        </is>
      </c>
      <c r="G549" t="n">
        <v>6.3</v>
      </c>
      <c r="H549" t="n">
        <v>0</v>
      </c>
      <c r="I549" t="n">
        <v>0</v>
      </c>
      <c r="J549" t="n">
        <v>0</v>
      </c>
      <c r="K549" t="n">
        <v>0</v>
      </c>
      <c r="L549" t="n">
        <v>0</v>
      </c>
      <c r="M549" t="n">
        <v>0</v>
      </c>
      <c r="N549" t="n">
        <v>0</v>
      </c>
      <c r="O549" t="n">
        <v>0</v>
      </c>
      <c r="P549" t="n">
        <v>0</v>
      </c>
      <c r="Q549" t="n">
        <v>0</v>
      </c>
      <c r="R549" s="2" t="inlineStr"/>
    </row>
    <row r="550" ht="15" customHeight="1">
      <c r="A550" t="inlineStr">
        <is>
          <t>A 493-2021</t>
        </is>
      </c>
      <c r="B550" s="1" t="n">
        <v>44203</v>
      </c>
      <c r="C550" s="1" t="n">
        <v>46012</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17174-2022</t>
        </is>
      </c>
      <c r="B551" s="1" t="n">
        <v>44677</v>
      </c>
      <c r="C551" s="1" t="n">
        <v>46012</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11881-2025</t>
        </is>
      </c>
      <c r="B552" s="1" t="n">
        <v>45728.44758101852</v>
      </c>
      <c r="C552" s="1" t="n">
        <v>46012</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60597-2023</t>
        </is>
      </c>
      <c r="B553" s="1" t="n">
        <v>45260</v>
      </c>
      <c r="C553" s="1" t="n">
        <v>46012</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8413-2025</t>
        </is>
      </c>
      <c r="B554" s="1" t="n">
        <v>45709.39325231482</v>
      </c>
      <c r="C554" s="1" t="n">
        <v>46012</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43475-2023</t>
        </is>
      </c>
      <c r="B555" s="1" t="n">
        <v>45184.43140046296</v>
      </c>
      <c r="C555" s="1" t="n">
        <v>46012</v>
      </c>
      <c r="D555" t="inlineStr">
        <is>
          <t>ÖSTERGÖTLANDS LÄN</t>
        </is>
      </c>
      <c r="E555" t="inlineStr">
        <is>
          <t>KINDA</t>
        </is>
      </c>
      <c r="G555" t="n">
        <v>6.1</v>
      </c>
      <c r="H555" t="n">
        <v>0</v>
      </c>
      <c r="I555" t="n">
        <v>0</v>
      </c>
      <c r="J555" t="n">
        <v>0</v>
      </c>
      <c r="K555" t="n">
        <v>0</v>
      </c>
      <c r="L555" t="n">
        <v>0</v>
      </c>
      <c r="M555" t="n">
        <v>0</v>
      </c>
      <c r="N555" t="n">
        <v>0</v>
      </c>
      <c r="O555" t="n">
        <v>0</v>
      </c>
      <c r="P555" t="n">
        <v>0</v>
      </c>
      <c r="Q555" t="n">
        <v>0</v>
      </c>
      <c r="R555" s="2" t="inlineStr"/>
    </row>
    <row r="556" ht="15" customHeight="1">
      <c r="A556" t="inlineStr">
        <is>
          <t>A 36126-2023</t>
        </is>
      </c>
      <c r="B556" s="1" t="n">
        <v>45149.57319444444</v>
      </c>
      <c r="C556" s="1" t="n">
        <v>46012</v>
      </c>
      <c r="D556" t="inlineStr">
        <is>
          <t>ÖSTERGÖTLANDS LÄN</t>
        </is>
      </c>
      <c r="E556" t="inlineStr">
        <is>
          <t>KINDA</t>
        </is>
      </c>
      <c r="G556" t="n">
        <v>3.8</v>
      </c>
      <c r="H556" t="n">
        <v>0</v>
      </c>
      <c r="I556" t="n">
        <v>0</v>
      </c>
      <c r="J556" t="n">
        <v>0</v>
      </c>
      <c r="K556" t="n">
        <v>0</v>
      </c>
      <c r="L556" t="n">
        <v>0</v>
      </c>
      <c r="M556" t="n">
        <v>0</v>
      </c>
      <c r="N556" t="n">
        <v>0</v>
      </c>
      <c r="O556" t="n">
        <v>0</v>
      </c>
      <c r="P556" t="n">
        <v>0</v>
      </c>
      <c r="Q556" t="n">
        <v>0</v>
      </c>
      <c r="R556" s="2" t="inlineStr"/>
    </row>
    <row r="557" ht="15" customHeight="1">
      <c r="A557" t="inlineStr">
        <is>
          <t>A 57336-2023</t>
        </is>
      </c>
      <c r="B557" s="1" t="n">
        <v>45245.66636574074</v>
      </c>
      <c r="C557" s="1" t="n">
        <v>46012</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46639-2023</t>
        </is>
      </c>
      <c r="B558" s="1" t="n">
        <v>45198.43638888889</v>
      </c>
      <c r="C558" s="1" t="n">
        <v>46012</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35672-2022</t>
        </is>
      </c>
      <c r="B559" s="1" t="n">
        <v>44799.59876157407</v>
      </c>
      <c r="C559" s="1" t="n">
        <v>46012</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5508-2025</t>
        </is>
      </c>
      <c r="B560" s="1" t="n">
        <v>45693.39354166666</v>
      </c>
      <c r="C560" s="1" t="n">
        <v>46012</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47187-2023</t>
        </is>
      </c>
      <c r="B561" s="1" t="n">
        <v>45202.26611111111</v>
      </c>
      <c r="C561" s="1" t="n">
        <v>46012</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41331-2023</t>
        </is>
      </c>
      <c r="B562" s="1" t="n">
        <v>45174</v>
      </c>
      <c r="C562" s="1" t="n">
        <v>46012</v>
      </c>
      <c r="D562" t="inlineStr">
        <is>
          <t>ÖSTERGÖTLANDS LÄN</t>
        </is>
      </c>
      <c r="E562" t="inlineStr">
        <is>
          <t>KINDA</t>
        </is>
      </c>
      <c r="G562" t="n">
        <v>3.1</v>
      </c>
      <c r="H562" t="n">
        <v>0</v>
      </c>
      <c r="I562" t="n">
        <v>0</v>
      </c>
      <c r="J562" t="n">
        <v>0</v>
      </c>
      <c r="K562" t="n">
        <v>0</v>
      </c>
      <c r="L562" t="n">
        <v>0</v>
      </c>
      <c r="M562" t="n">
        <v>0</v>
      </c>
      <c r="N562" t="n">
        <v>0</v>
      </c>
      <c r="O562" t="n">
        <v>0</v>
      </c>
      <c r="P562" t="n">
        <v>0</v>
      </c>
      <c r="Q562" t="n">
        <v>0</v>
      </c>
      <c r="R562" s="2" t="inlineStr"/>
    </row>
    <row r="563" ht="15" customHeight="1">
      <c r="A563" t="inlineStr">
        <is>
          <t>A 33997-2023</t>
        </is>
      </c>
      <c r="B563" s="1" t="n">
        <v>45134</v>
      </c>
      <c r="C563" s="1" t="n">
        <v>46012</v>
      </c>
      <c r="D563" t="inlineStr">
        <is>
          <t>ÖSTERGÖTLANDS LÄN</t>
        </is>
      </c>
      <c r="E563" t="inlineStr">
        <is>
          <t>KINDA</t>
        </is>
      </c>
      <c r="G563" t="n">
        <v>3.7</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46012</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6647-2021</t>
        </is>
      </c>
      <c r="B565" s="1" t="n">
        <v>44236</v>
      </c>
      <c r="C565" s="1" t="n">
        <v>46012</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2952-2024</t>
        </is>
      </c>
      <c r="B566" s="1" t="n">
        <v>45315</v>
      </c>
      <c r="C566" s="1" t="n">
        <v>46012</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57342-2023</t>
        </is>
      </c>
      <c r="B567" s="1" t="n">
        <v>45245.67082175926</v>
      </c>
      <c r="C567" s="1" t="n">
        <v>46012</v>
      </c>
      <c r="D567" t="inlineStr">
        <is>
          <t>ÖSTERGÖTLANDS LÄN</t>
        </is>
      </c>
      <c r="E567" t="inlineStr">
        <is>
          <t>KINDA</t>
        </is>
      </c>
      <c r="G567" t="n">
        <v>2.7</v>
      </c>
      <c r="H567" t="n">
        <v>0</v>
      </c>
      <c r="I567" t="n">
        <v>0</v>
      </c>
      <c r="J567" t="n">
        <v>0</v>
      </c>
      <c r="K567" t="n">
        <v>0</v>
      </c>
      <c r="L567" t="n">
        <v>0</v>
      </c>
      <c r="M567" t="n">
        <v>0</v>
      </c>
      <c r="N567" t="n">
        <v>0</v>
      </c>
      <c r="O567" t="n">
        <v>0</v>
      </c>
      <c r="P567" t="n">
        <v>0</v>
      </c>
      <c r="Q567" t="n">
        <v>0</v>
      </c>
      <c r="R567" s="2" t="inlineStr"/>
    </row>
    <row r="568" ht="15" customHeight="1">
      <c r="A568" t="inlineStr">
        <is>
          <t>A 35662-2022</t>
        </is>
      </c>
      <c r="B568" s="1" t="n">
        <v>44799.58758101852</v>
      </c>
      <c r="C568" s="1" t="n">
        <v>46012</v>
      </c>
      <c r="D568" t="inlineStr">
        <is>
          <t>ÖSTERGÖTLANDS LÄN</t>
        </is>
      </c>
      <c r="E568" t="inlineStr">
        <is>
          <t>KINDA</t>
        </is>
      </c>
      <c r="G568" t="n">
        <v>1.2</v>
      </c>
      <c r="H568" t="n">
        <v>0</v>
      </c>
      <c r="I568" t="n">
        <v>0</v>
      </c>
      <c r="J568" t="n">
        <v>0</v>
      </c>
      <c r="K568" t="n">
        <v>0</v>
      </c>
      <c r="L568" t="n">
        <v>0</v>
      </c>
      <c r="M568" t="n">
        <v>0</v>
      </c>
      <c r="N568" t="n">
        <v>0</v>
      </c>
      <c r="O568" t="n">
        <v>0</v>
      </c>
      <c r="P568" t="n">
        <v>0</v>
      </c>
      <c r="Q568" t="n">
        <v>0</v>
      </c>
      <c r="R568" s="2" t="inlineStr"/>
    </row>
    <row r="569" ht="15" customHeight="1">
      <c r="A569" t="inlineStr">
        <is>
          <t>A 1739-2024</t>
        </is>
      </c>
      <c r="B569" s="1" t="n">
        <v>45307.44446759259</v>
      </c>
      <c r="C569" s="1" t="n">
        <v>46012</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47056-2022</t>
        </is>
      </c>
      <c r="B570" s="1" t="n">
        <v>44852</v>
      </c>
      <c r="C570" s="1" t="n">
        <v>46012</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14943-2024</t>
        </is>
      </c>
      <c r="B571" s="1" t="n">
        <v>45398.69101851852</v>
      </c>
      <c r="C571" s="1" t="n">
        <v>46012</v>
      </c>
      <c r="D571" t="inlineStr">
        <is>
          <t>ÖSTERGÖTLANDS LÄN</t>
        </is>
      </c>
      <c r="E571" t="inlineStr">
        <is>
          <t>KINDA</t>
        </is>
      </c>
      <c r="G571" t="n">
        <v>2.3</v>
      </c>
      <c r="H571" t="n">
        <v>0</v>
      </c>
      <c r="I571" t="n">
        <v>0</v>
      </c>
      <c r="J571" t="n">
        <v>0</v>
      </c>
      <c r="K571" t="n">
        <v>0</v>
      </c>
      <c r="L571" t="n">
        <v>0</v>
      </c>
      <c r="M571" t="n">
        <v>0</v>
      </c>
      <c r="N571" t="n">
        <v>0</v>
      </c>
      <c r="O571" t="n">
        <v>0</v>
      </c>
      <c r="P571" t="n">
        <v>0</v>
      </c>
      <c r="Q571" t="n">
        <v>0</v>
      </c>
      <c r="R571" s="2" t="inlineStr"/>
    </row>
    <row r="572" ht="15" customHeight="1">
      <c r="A572" t="inlineStr">
        <is>
          <t>A 36824-2022</t>
        </is>
      </c>
      <c r="B572" s="1" t="n">
        <v>44805.55975694444</v>
      </c>
      <c r="C572" s="1" t="n">
        <v>46012</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15029-2024</t>
        </is>
      </c>
      <c r="B573" s="1" t="n">
        <v>45399.46633101852</v>
      </c>
      <c r="C573" s="1" t="n">
        <v>46012</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35572-2024</t>
        </is>
      </c>
      <c r="B574" s="1" t="n">
        <v>45531.64358796296</v>
      </c>
      <c r="C574" s="1" t="n">
        <v>46012</v>
      </c>
      <c r="D574" t="inlineStr">
        <is>
          <t>ÖSTERGÖTLANDS LÄN</t>
        </is>
      </c>
      <c r="E574" t="inlineStr">
        <is>
          <t>KINDA</t>
        </is>
      </c>
      <c r="G574" t="n">
        <v>2.1</v>
      </c>
      <c r="H574" t="n">
        <v>0</v>
      </c>
      <c r="I574" t="n">
        <v>0</v>
      </c>
      <c r="J574" t="n">
        <v>0</v>
      </c>
      <c r="K574" t="n">
        <v>0</v>
      </c>
      <c r="L574" t="n">
        <v>0</v>
      </c>
      <c r="M574" t="n">
        <v>0</v>
      </c>
      <c r="N574" t="n">
        <v>0</v>
      </c>
      <c r="O574" t="n">
        <v>0</v>
      </c>
      <c r="P574" t="n">
        <v>0</v>
      </c>
      <c r="Q574" t="n">
        <v>0</v>
      </c>
      <c r="R574" s="2" t="inlineStr"/>
    </row>
    <row r="575" ht="15" customHeight="1">
      <c r="A575" t="inlineStr">
        <is>
          <t>A 8590-2024</t>
        </is>
      </c>
      <c r="B575" s="1" t="n">
        <v>45352</v>
      </c>
      <c r="C575" s="1" t="n">
        <v>46012</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8064-2024</t>
        </is>
      </c>
      <c r="B576" s="1" t="n">
        <v>45351.40523148148</v>
      </c>
      <c r="C576" s="1" t="n">
        <v>46012</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12568-2025</t>
        </is>
      </c>
      <c r="B577" s="1" t="n">
        <v>45731.65049768519</v>
      </c>
      <c r="C577" s="1" t="n">
        <v>46012</v>
      </c>
      <c r="D577" t="inlineStr">
        <is>
          <t>ÖSTERGÖTLANDS LÄN</t>
        </is>
      </c>
      <c r="E577" t="inlineStr">
        <is>
          <t>KINDA</t>
        </is>
      </c>
      <c r="G577" t="n">
        <v>3.9</v>
      </c>
      <c r="H577" t="n">
        <v>0</v>
      </c>
      <c r="I577" t="n">
        <v>0</v>
      </c>
      <c r="J577" t="n">
        <v>0</v>
      </c>
      <c r="K577" t="n">
        <v>0</v>
      </c>
      <c r="L577" t="n">
        <v>0</v>
      </c>
      <c r="M577" t="n">
        <v>0</v>
      </c>
      <c r="N577" t="n">
        <v>0</v>
      </c>
      <c r="O577" t="n">
        <v>0</v>
      </c>
      <c r="P577" t="n">
        <v>0</v>
      </c>
      <c r="Q577" t="n">
        <v>0</v>
      </c>
      <c r="R577" s="2" t="inlineStr"/>
    </row>
    <row r="578" ht="15" customHeight="1">
      <c r="A578" t="inlineStr">
        <is>
          <t>A 3486-2023</t>
        </is>
      </c>
      <c r="B578" s="1" t="n">
        <v>44949.73369212963</v>
      </c>
      <c r="C578" s="1" t="n">
        <v>46012</v>
      </c>
      <c r="D578" t="inlineStr">
        <is>
          <t>ÖSTERGÖTLANDS LÄN</t>
        </is>
      </c>
      <c r="E578" t="inlineStr">
        <is>
          <t>KINDA</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937-2024</t>
        </is>
      </c>
      <c r="B579" s="1" t="n">
        <v>45301</v>
      </c>
      <c r="C579" s="1" t="n">
        <v>46012</v>
      </c>
      <c r="D579" t="inlineStr">
        <is>
          <t>ÖSTERGÖTLANDS LÄN</t>
        </is>
      </c>
      <c r="E579" t="inlineStr">
        <is>
          <t>KINDA</t>
        </is>
      </c>
      <c r="G579" t="n">
        <v>1.4</v>
      </c>
      <c r="H579" t="n">
        <v>0</v>
      </c>
      <c r="I579" t="n">
        <v>0</v>
      </c>
      <c r="J579" t="n">
        <v>0</v>
      </c>
      <c r="K579" t="n">
        <v>0</v>
      </c>
      <c r="L579" t="n">
        <v>0</v>
      </c>
      <c r="M579" t="n">
        <v>0</v>
      </c>
      <c r="N579" t="n">
        <v>0</v>
      </c>
      <c r="O579" t="n">
        <v>0</v>
      </c>
      <c r="P579" t="n">
        <v>0</v>
      </c>
      <c r="Q579" t="n">
        <v>0</v>
      </c>
      <c r="R579" s="2" t="inlineStr"/>
    </row>
    <row r="580" ht="15" customHeight="1">
      <c r="A580" t="inlineStr">
        <is>
          <t>A 44543-2021</t>
        </is>
      </c>
      <c r="B580" s="1" t="n">
        <v>44435</v>
      </c>
      <c r="C580" s="1" t="n">
        <v>46012</v>
      </c>
      <c r="D580" t="inlineStr">
        <is>
          <t>ÖSTERGÖTLANDS LÄN</t>
        </is>
      </c>
      <c r="E580" t="inlineStr">
        <is>
          <t>KINDA</t>
        </is>
      </c>
      <c r="G580" t="n">
        <v>10.2</v>
      </c>
      <c r="H580" t="n">
        <v>0</v>
      </c>
      <c r="I580" t="n">
        <v>0</v>
      </c>
      <c r="J580" t="n">
        <v>0</v>
      </c>
      <c r="K580" t="n">
        <v>0</v>
      </c>
      <c r="L580" t="n">
        <v>0</v>
      </c>
      <c r="M580" t="n">
        <v>0</v>
      </c>
      <c r="N580" t="n">
        <v>0</v>
      </c>
      <c r="O580" t="n">
        <v>0</v>
      </c>
      <c r="P580" t="n">
        <v>0</v>
      </c>
      <c r="Q580" t="n">
        <v>0</v>
      </c>
      <c r="R580" s="2" t="inlineStr"/>
    </row>
    <row r="581" ht="15" customHeight="1">
      <c r="A581" t="inlineStr">
        <is>
          <t>A 3474-2023</t>
        </is>
      </c>
      <c r="B581" s="1" t="n">
        <v>44949</v>
      </c>
      <c r="C581" s="1" t="n">
        <v>46012</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52861-2023</t>
        </is>
      </c>
      <c r="B582" s="1" t="n">
        <v>45219</v>
      </c>
      <c r="C582" s="1" t="n">
        <v>46012</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18198-2025</t>
        </is>
      </c>
      <c r="B583" s="1" t="n">
        <v>45761.68063657408</v>
      </c>
      <c r="C583" s="1" t="n">
        <v>46012</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46908-2022</t>
        </is>
      </c>
      <c r="B584" s="1" t="n">
        <v>44851</v>
      </c>
      <c r="C584" s="1" t="n">
        <v>46012</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41718-2023</t>
        </is>
      </c>
      <c r="B585" s="1" t="n">
        <v>45176.39657407408</v>
      </c>
      <c r="C585" s="1" t="n">
        <v>46012</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28316-2023</t>
        </is>
      </c>
      <c r="B586" s="1" t="n">
        <v>45098</v>
      </c>
      <c r="C586" s="1" t="n">
        <v>46012</v>
      </c>
      <c r="D586" t="inlineStr">
        <is>
          <t>ÖSTERGÖTLANDS LÄN</t>
        </is>
      </c>
      <c r="E586" t="inlineStr">
        <is>
          <t>KINDA</t>
        </is>
      </c>
      <c r="G586" t="n">
        <v>2</v>
      </c>
      <c r="H586" t="n">
        <v>0</v>
      </c>
      <c r="I586" t="n">
        <v>0</v>
      </c>
      <c r="J586" t="n">
        <v>0</v>
      </c>
      <c r="K586" t="n">
        <v>0</v>
      </c>
      <c r="L586" t="n">
        <v>0</v>
      </c>
      <c r="M586" t="n">
        <v>0</v>
      </c>
      <c r="N586" t="n">
        <v>0</v>
      </c>
      <c r="O586" t="n">
        <v>0</v>
      </c>
      <c r="P586" t="n">
        <v>0</v>
      </c>
      <c r="Q586" t="n">
        <v>0</v>
      </c>
      <c r="R586" s="2" t="inlineStr"/>
    </row>
    <row r="587" ht="15" customHeight="1">
      <c r="A587" t="inlineStr">
        <is>
          <t>A 10758-2022</t>
        </is>
      </c>
      <c r="B587" s="1" t="n">
        <v>44627</v>
      </c>
      <c r="C587" s="1" t="n">
        <v>46012</v>
      </c>
      <c r="D587" t="inlineStr">
        <is>
          <t>ÖSTERGÖTLANDS LÄN</t>
        </is>
      </c>
      <c r="E587" t="inlineStr">
        <is>
          <t>KINDA</t>
        </is>
      </c>
      <c r="G587" t="n">
        <v>0.1</v>
      </c>
      <c r="H587" t="n">
        <v>0</v>
      </c>
      <c r="I587" t="n">
        <v>0</v>
      </c>
      <c r="J587" t="n">
        <v>0</v>
      </c>
      <c r="K587" t="n">
        <v>0</v>
      </c>
      <c r="L587" t="n">
        <v>0</v>
      </c>
      <c r="M587" t="n">
        <v>0</v>
      </c>
      <c r="N587" t="n">
        <v>0</v>
      </c>
      <c r="O587" t="n">
        <v>0</v>
      </c>
      <c r="P587" t="n">
        <v>0</v>
      </c>
      <c r="Q587" t="n">
        <v>0</v>
      </c>
      <c r="R587" s="2" t="inlineStr"/>
    </row>
    <row r="588" ht="15" customHeight="1">
      <c r="A588" t="inlineStr">
        <is>
          <t>A 41580-2023</t>
        </is>
      </c>
      <c r="B588" s="1" t="n">
        <v>45175.62292824074</v>
      </c>
      <c r="C588" s="1" t="n">
        <v>46012</v>
      </c>
      <c r="D588" t="inlineStr">
        <is>
          <t>ÖSTERGÖTLANDS LÄN</t>
        </is>
      </c>
      <c r="E588" t="inlineStr">
        <is>
          <t>KINDA</t>
        </is>
      </c>
      <c r="G588" t="n">
        <v>0.4</v>
      </c>
      <c r="H588" t="n">
        <v>0</v>
      </c>
      <c r="I588" t="n">
        <v>0</v>
      </c>
      <c r="J588" t="n">
        <v>0</v>
      </c>
      <c r="K588" t="n">
        <v>0</v>
      </c>
      <c r="L588" t="n">
        <v>0</v>
      </c>
      <c r="M588" t="n">
        <v>0</v>
      </c>
      <c r="N588" t="n">
        <v>0</v>
      </c>
      <c r="O588" t="n">
        <v>0</v>
      </c>
      <c r="P588" t="n">
        <v>0</v>
      </c>
      <c r="Q588" t="n">
        <v>0</v>
      </c>
      <c r="R588" s="2" t="inlineStr"/>
    </row>
    <row r="589" ht="15" customHeight="1">
      <c r="A589" t="inlineStr">
        <is>
          <t>A 56317-2021</t>
        </is>
      </c>
      <c r="B589" s="1" t="n">
        <v>44480.3503587963</v>
      </c>
      <c r="C589" s="1" t="n">
        <v>46012</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31839-2023</t>
        </is>
      </c>
      <c r="B590" s="1" t="n">
        <v>45118.57342592593</v>
      </c>
      <c r="C590" s="1" t="n">
        <v>46012</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46012</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1896-2024</t>
        </is>
      </c>
      <c r="B592" s="1" t="n">
        <v>45308.33431712963</v>
      </c>
      <c r="C592" s="1" t="n">
        <v>46012</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24839-2024</t>
        </is>
      </c>
      <c r="B593" s="1" t="n">
        <v>45461.41216435185</v>
      </c>
      <c r="C593" s="1" t="n">
        <v>46012</v>
      </c>
      <c r="D593" t="inlineStr">
        <is>
          <t>ÖSTERGÖTLANDS LÄN</t>
        </is>
      </c>
      <c r="E593" t="inlineStr">
        <is>
          <t>KINDA</t>
        </is>
      </c>
      <c r="G593" t="n">
        <v>1</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46012</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44203-2021</t>
        </is>
      </c>
      <c r="B595" s="1" t="n">
        <v>44434</v>
      </c>
      <c r="C595" s="1" t="n">
        <v>46012</v>
      </c>
      <c r="D595" t="inlineStr">
        <is>
          <t>ÖSTERGÖTLANDS LÄN</t>
        </is>
      </c>
      <c r="E595" t="inlineStr">
        <is>
          <t>KINDA</t>
        </is>
      </c>
      <c r="F595" t="inlineStr">
        <is>
          <t>Allmännings- och besparingsskogar</t>
        </is>
      </c>
      <c r="G595" t="n">
        <v>12.7</v>
      </c>
      <c r="H595" t="n">
        <v>0</v>
      </c>
      <c r="I595" t="n">
        <v>0</v>
      </c>
      <c r="J595" t="n">
        <v>0</v>
      </c>
      <c r="K595" t="n">
        <v>0</v>
      </c>
      <c r="L595" t="n">
        <v>0</v>
      </c>
      <c r="M595" t="n">
        <v>0</v>
      </c>
      <c r="N595" t="n">
        <v>0</v>
      </c>
      <c r="O595" t="n">
        <v>0</v>
      </c>
      <c r="P595" t="n">
        <v>0</v>
      </c>
      <c r="Q595" t="n">
        <v>0</v>
      </c>
      <c r="R595" s="2" t="inlineStr"/>
    </row>
    <row r="596" ht="15" customHeight="1">
      <c r="A596" t="inlineStr">
        <is>
          <t>A 4288-2023</t>
        </is>
      </c>
      <c r="B596" s="1" t="n">
        <v>44953</v>
      </c>
      <c r="C596" s="1" t="n">
        <v>46012</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46757-2022</t>
        </is>
      </c>
      <c r="B597" s="1" t="n">
        <v>44851</v>
      </c>
      <c r="C597" s="1" t="n">
        <v>46012</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20914-2021</t>
        </is>
      </c>
      <c r="B598" s="1" t="n">
        <v>44319</v>
      </c>
      <c r="C598" s="1" t="n">
        <v>46012</v>
      </c>
      <c r="D598" t="inlineStr">
        <is>
          <t>ÖSTERGÖTLANDS LÄN</t>
        </is>
      </c>
      <c r="E598" t="inlineStr">
        <is>
          <t>KINDA</t>
        </is>
      </c>
      <c r="G598" t="n">
        <v>2.2</v>
      </c>
      <c r="H598" t="n">
        <v>0</v>
      </c>
      <c r="I598" t="n">
        <v>0</v>
      </c>
      <c r="J598" t="n">
        <v>0</v>
      </c>
      <c r="K598" t="n">
        <v>0</v>
      </c>
      <c r="L598" t="n">
        <v>0</v>
      </c>
      <c r="M598" t="n">
        <v>0</v>
      </c>
      <c r="N598" t="n">
        <v>0</v>
      </c>
      <c r="O598" t="n">
        <v>0</v>
      </c>
      <c r="P598" t="n">
        <v>0</v>
      </c>
      <c r="Q598" t="n">
        <v>0</v>
      </c>
      <c r="R598" s="2" t="inlineStr"/>
    </row>
    <row r="599" ht="15" customHeight="1">
      <c r="A599" t="inlineStr">
        <is>
          <t>A 24150-2024</t>
        </is>
      </c>
      <c r="B599" s="1" t="n">
        <v>45456</v>
      </c>
      <c r="C599" s="1" t="n">
        <v>46012</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5203-2022</t>
        </is>
      </c>
      <c r="B600" s="1" t="n">
        <v>44594</v>
      </c>
      <c r="C600" s="1" t="n">
        <v>46012</v>
      </c>
      <c r="D600" t="inlineStr">
        <is>
          <t>ÖSTERGÖTLANDS LÄN</t>
        </is>
      </c>
      <c r="E600" t="inlineStr">
        <is>
          <t>KINDA</t>
        </is>
      </c>
      <c r="G600" t="n">
        <v>1.5</v>
      </c>
      <c r="H600" t="n">
        <v>0</v>
      </c>
      <c r="I600" t="n">
        <v>0</v>
      </c>
      <c r="J600" t="n">
        <v>0</v>
      </c>
      <c r="K600" t="n">
        <v>0</v>
      </c>
      <c r="L600" t="n">
        <v>0</v>
      </c>
      <c r="M600" t="n">
        <v>0</v>
      </c>
      <c r="N600" t="n">
        <v>0</v>
      </c>
      <c r="O600" t="n">
        <v>0</v>
      </c>
      <c r="P600" t="n">
        <v>0</v>
      </c>
      <c r="Q600" t="n">
        <v>0</v>
      </c>
      <c r="R600" s="2" t="inlineStr"/>
    </row>
    <row r="601" ht="15" customHeight="1">
      <c r="A601" t="inlineStr">
        <is>
          <t>A 43688-2023</t>
        </is>
      </c>
      <c r="B601" s="1" t="n">
        <v>45187</v>
      </c>
      <c r="C601" s="1" t="n">
        <v>46012</v>
      </c>
      <c r="D601" t="inlineStr">
        <is>
          <t>ÖSTERGÖTLANDS LÄN</t>
        </is>
      </c>
      <c r="E601" t="inlineStr">
        <is>
          <t>KINDA</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49881-2021</t>
        </is>
      </c>
      <c r="B602" s="1" t="n">
        <v>44455.68322916667</v>
      </c>
      <c r="C602" s="1" t="n">
        <v>46012</v>
      </c>
      <c r="D602" t="inlineStr">
        <is>
          <t>ÖSTERGÖTLANDS LÄN</t>
        </is>
      </c>
      <c r="E602" t="inlineStr">
        <is>
          <t>KINDA</t>
        </is>
      </c>
      <c r="G602" t="n">
        <v>3.2</v>
      </c>
      <c r="H602" t="n">
        <v>0</v>
      </c>
      <c r="I602" t="n">
        <v>0</v>
      </c>
      <c r="J602" t="n">
        <v>0</v>
      </c>
      <c r="K602" t="n">
        <v>0</v>
      </c>
      <c r="L602" t="n">
        <v>0</v>
      </c>
      <c r="M602" t="n">
        <v>0</v>
      </c>
      <c r="N602" t="n">
        <v>0</v>
      </c>
      <c r="O602" t="n">
        <v>0</v>
      </c>
      <c r="P602" t="n">
        <v>0</v>
      </c>
      <c r="Q602" t="n">
        <v>0</v>
      </c>
      <c r="R602" s="2" t="inlineStr"/>
    </row>
    <row r="603" ht="15" customHeight="1">
      <c r="A603" t="inlineStr">
        <is>
          <t>A 38827-2021</t>
        </is>
      </c>
      <c r="B603" s="1" t="n">
        <v>44411</v>
      </c>
      <c r="C603" s="1" t="n">
        <v>46012</v>
      </c>
      <c r="D603" t="inlineStr">
        <is>
          <t>ÖSTERGÖTLANDS LÄN</t>
        </is>
      </c>
      <c r="E603" t="inlineStr">
        <is>
          <t>KINDA</t>
        </is>
      </c>
      <c r="F603" t="inlineStr">
        <is>
          <t>Övriga Aktiebolag</t>
        </is>
      </c>
      <c r="G603" t="n">
        <v>13.6</v>
      </c>
      <c r="H603" t="n">
        <v>0</v>
      </c>
      <c r="I603" t="n">
        <v>0</v>
      </c>
      <c r="J603" t="n">
        <v>0</v>
      </c>
      <c r="K603" t="n">
        <v>0</v>
      </c>
      <c r="L603" t="n">
        <v>0</v>
      </c>
      <c r="M603" t="n">
        <v>0</v>
      </c>
      <c r="N603" t="n">
        <v>0</v>
      </c>
      <c r="O603" t="n">
        <v>0</v>
      </c>
      <c r="P603" t="n">
        <v>0</v>
      </c>
      <c r="Q603" t="n">
        <v>0</v>
      </c>
      <c r="R603" s="2" t="inlineStr"/>
    </row>
    <row r="604" ht="15" customHeight="1">
      <c r="A604" t="inlineStr">
        <is>
          <t>A 28291-2023</t>
        </is>
      </c>
      <c r="B604" s="1" t="n">
        <v>45098</v>
      </c>
      <c r="C604" s="1" t="n">
        <v>46012</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35789-2022</t>
        </is>
      </c>
      <c r="B605" s="1" t="n">
        <v>44801</v>
      </c>
      <c r="C605" s="1" t="n">
        <v>46012</v>
      </c>
      <c r="D605" t="inlineStr">
        <is>
          <t>ÖSTERGÖTLANDS LÄN</t>
        </is>
      </c>
      <c r="E605" t="inlineStr">
        <is>
          <t>KINDA</t>
        </is>
      </c>
      <c r="G605" t="n">
        <v>2.2</v>
      </c>
      <c r="H605" t="n">
        <v>0</v>
      </c>
      <c r="I605" t="n">
        <v>0</v>
      </c>
      <c r="J605" t="n">
        <v>0</v>
      </c>
      <c r="K605" t="n">
        <v>0</v>
      </c>
      <c r="L605" t="n">
        <v>0</v>
      </c>
      <c r="M605" t="n">
        <v>0</v>
      </c>
      <c r="N605" t="n">
        <v>0</v>
      </c>
      <c r="O605" t="n">
        <v>0</v>
      </c>
      <c r="P605" t="n">
        <v>0</v>
      </c>
      <c r="Q605" t="n">
        <v>0</v>
      </c>
      <c r="R605" s="2" t="inlineStr"/>
    </row>
    <row r="606" ht="15" customHeight="1">
      <c r="A606" t="inlineStr">
        <is>
          <t>A 6837-2023</t>
        </is>
      </c>
      <c r="B606" s="1" t="n">
        <v>44967</v>
      </c>
      <c r="C606" s="1" t="n">
        <v>46012</v>
      </c>
      <c r="D606" t="inlineStr">
        <is>
          <t>ÖSTERGÖTLANDS LÄN</t>
        </is>
      </c>
      <c r="E606" t="inlineStr">
        <is>
          <t>KINDA</t>
        </is>
      </c>
      <c r="G606" t="n">
        <v>0.7</v>
      </c>
      <c r="H606" t="n">
        <v>0</v>
      </c>
      <c r="I606" t="n">
        <v>0</v>
      </c>
      <c r="J606" t="n">
        <v>0</v>
      </c>
      <c r="K606" t="n">
        <v>0</v>
      </c>
      <c r="L606" t="n">
        <v>0</v>
      </c>
      <c r="M606" t="n">
        <v>0</v>
      </c>
      <c r="N606" t="n">
        <v>0</v>
      </c>
      <c r="O606" t="n">
        <v>0</v>
      </c>
      <c r="P606" t="n">
        <v>0</v>
      </c>
      <c r="Q606" t="n">
        <v>0</v>
      </c>
      <c r="R606" s="2" t="inlineStr"/>
    </row>
    <row r="607" ht="15" customHeight="1">
      <c r="A607" t="inlineStr">
        <is>
          <t>A 8813-2023</t>
        </is>
      </c>
      <c r="B607" s="1" t="n">
        <v>44978.63537037037</v>
      </c>
      <c r="C607" s="1" t="n">
        <v>46012</v>
      </c>
      <c r="D607" t="inlineStr">
        <is>
          <t>ÖSTERGÖTLANDS LÄN</t>
        </is>
      </c>
      <c r="E607" t="inlineStr">
        <is>
          <t>KINDA</t>
        </is>
      </c>
      <c r="G607" t="n">
        <v>1.5</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46012</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21293-2021</t>
        </is>
      </c>
      <c r="B609" s="1" t="n">
        <v>44320.65725694445</v>
      </c>
      <c r="C609" s="1" t="n">
        <v>46012</v>
      </c>
      <c r="D609" t="inlineStr">
        <is>
          <t>ÖSTERGÖTLANDS LÄN</t>
        </is>
      </c>
      <c r="E609" t="inlineStr">
        <is>
          <t>KINDA</t>
        </is>
      </c>
      <c r="G609" t="n">
        <v>1.1</v>
      </c>
      <c r="H609" t="n">
        <v>0</v>
      </c>
      <c r="I609" t="n">
        <v>0</v>
      </c>
      <c r="J609" t="n">
        <v>0</v>
      </c>
      <c r="K609" t="n">
        <v>0</v>
      </c>
      <c r="L609" t="n">
        <v>0</v>
      </c>
      <c r="M609" t="n">
        <v>0</v>
      </c>
      <c r="N609" t="n">
        <v>0</v>
      </c>
      <c r="O609" t="n">
        <v>0</v>
      </c>
      <c r="P609" t="n">
        <v>0</v>
      </c>
      <c r="Q609" t="n">
        <v>0</v>
      </c>
      <c r="R609" s="2" t="inlineStr"/>
    </row>
    <row r="610" ht="15" customHeight="1">
      <c r="A610" t="inlineStr">
        <is>
          <t>A 31831-2023</t>
        </is>
      </c>
      <c r="B610" s="1" t="n">
        <v>45118.5630787037</v>
      </c>
      <c r="C610" s="1" t="n">
        <v>46012</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21246-2023</t>
        </is>
      </c>
      <c r="B611" s="1" t="n">
        <v>45062.57262731482</v>
      </c>
      <c r="C611" s="1" t="n">
        <v>46012</v>
      </c>
      <c r="D611" t="inlineStr">
        <is>
          <t>ÖSTERGÖTLANDS LÄN</t>
        </is>
      </c>
      <c r="E611" t="inlineStr">
        <is>
          <t>KINDA</t>
        </is>
      </c>
      <c r="G611" t="n">
        <v>5.5</v>
      </c>
      <c r="H611" t="n">
        <v>0</v>
      </c>
      <c r="I611" t="n">
        <v>0</v>
      </c>
      <c r="J611" t="n">
        <v>0</v>
      </c>
      <c r="K611" t="n">
        <v>0</v>
      </c>
      <c r="L611" t="n">
        <v>0</v>
      </c>
      <c r="M611" t="n">
        <v>0</v>
      </c>
      <c r="N611" t="n">
        <v>0</v>
      </c>
      <c r="O611" t="n">
        <v>0</v>
      </c>
      <c r="P611" t="n">
        <v>0</v>
      </c>
      <c r="Q611" t="n">
        <v>0</v>
      </c>
      <c r="R611" s="2" t="inlineStr"/>
    </row>
    <row r="612" ht="15" customHeight="1">
      <c r="A612" t="inlineStr">
        <is>
          <t>A 37489-2024</t>
        </is>
      </c>
      <c r="B612" s="1" t="n">
        <v>45541.34607638889</v>
      </c>
      <c r="C612" s="1" t="n">
        <v>46012</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49096-2022</t>
        </is>
      </c>
      <c r="B613" s="1" t="n">
        <v>44860</v>
      </c>
      <c r="C613" s="1" t="n">
        <v>46012</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43857-2023</t>
        </is>
      </c>
      <c r="B614" s="1" t="n">
        <v>45187.61545138889</v>
      </c>
      <c r="C614" s="1" t="n">
        <v>46012</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68850-2020</t>
        </is>
      </c>
      <c r="B615" s="1" t="n">
        <v>44187</v>
      </c>
      <c r="C615" s="1" t="n">
        <v>46012</v>
      </c>
      <c r="D615" t="inlineStr">
        <is>
          <t>ÖSTERGÖTLANDS LÄN</t>
        </is>
      </c>
      <c r="E615" t="inlineStr">
        <is>
          <t>KINDA</t>
        </is>
      </c>
      <c r="G615" t="n">
        <v>4.4</v>
      </c>
      <c r="H615" t="n">
        <v>0</v>
      </c>
      <c r="I615" t="n">
        <v>0</v>
      </c>
      <c r="J615" t="n">
        <v>0</v>
      </c>
      <c r="K615" t="n">
        <v>0</v>
      </c>
      <c r="L615" t="n">
        <v>0</v>
      </c>
      <c r="M615" t="n">
        <v>0</v>
      </c>
      <c r="N615" t="n">
        <v>0</v>
      </c>
      <c r="O615" t="n">
        <v>0</v>
      </c>
      <c r="P615" t="n">
        <v>0</v>
      </c>
      <c r="Q615" t="n">
        <v>0</v>
      </c>
      <c r="R615" s="2" t="inlineStr"/>
    </row>
    <row r="616" ht="15" customHeight="1">
      <c r="A616" t="inlineStr">
        <is>
          <t>A 29717-2023</t>
        </is>
      </c>
      <c r="B616" s="1" t="n">
        <v>45107.42807870371</v>
      </c>
      <c r="C616" s="1" t="n">
        <v>46012</v>
      </c>
      <c r="D616" t="inlineStr">
        <is>
          <t>ÖSTERGÖTLANDS LÄN</t>
        </is>
      </c>
      <c r="E616" t="inlineStr">
        <is>
          <t>KINDA</t>
        </is>
      </c>
      <c r="G616" t="n">
        <v>2.9</v>
      </c>
      <c r="H616" t="n">
        <v>0</v>
      </c>
      <c r="I616" t="n">
        <v>0</v>
      </c>
      <c r="J616" t="n">
        <v>0</v>
      </c>
      <c r="K616" t="n">
        <v>0</v>
      </c>
      <c r="L616" t="n">
        <v>0</v>
      </c>
      <c r="M616" t="n">
        <v>0</v>
      </c>
      <c r="N616" t="n">
        <v>0</v>
      </c>
      <c r="O616" t="n">
        <v>0</v>
      </c>
      <c r="P616" t="n">
        <v>0</v>
      </c>
      <c r="Q616" t="n">
        <v>0</v>
      </c>
      <c r="R616" s="2" t="inlineStr"/>
    </row>
    <row r="617" ht="15" customHeight="1">
      <c r="A617" t="inlineStr">
        <is>
          <t>A 20972-2021</t>
        </is>
      </c>
      <c r="B617" s="1" t="n">
        <v>44319.56430555556</v>
      </c>
      <c r="C617" s="1" t="n">
        <v>46012</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28043-2024</t>
        </is>
      </c>
      <c r="B618" s="1" t="n">
        <v>45476.50915509259</v>
      </c>
      <c r="C618" s="1" t="n">
        <v>46012</v>
      </c>
      <c r="D618" t="inlineStr">
        <is>
          <t>ÖSTERGÖTLANDS LÄN</t>
        </is>
      </c>
      <c r="E618" t="inlineStr">
        <is>
          <t>KINDA</t>
        </is>
      </c>
      <c r="G618" t="n">
        <v>1.9</v>
      </c>
      <c r="H618" t="n">
        <v>0</v>
      </c>
      <c r="I618" t="n">
        <v>0</v>
      </c>
      <c r="J618" t="n">
        <v>0</v>
      </c>
      <c r="K618" t="n">
        <v>0</v>
      </c>
      <c r="L618" t="n">
        <v>0</v>
      </c>
      <c r="M618" t="n">
        <v>0</v>
      </c>
      <c r="N618" t="n">
        <v>0</v>
      </c>
      <c r="O618" t="n">
        <v>0</v>
      </c>
      <c r="P618" t="n">
        <v>0</v>
      </c>
      <c r="Q618" t="n">
        <v>0</v>
      </c>
      <c r="R618" s="2" t="inlineStr"/>
    </row>
    <row r="619" ht="15" customHeight="1">
      <c r="A619" t="inlineStr">
        <is>
          <t>A 62260-2023</t>
        </is>
      </c>
      <c r="B619" s="1" t="n">
        <v>45267.6274537037</v>
      </c>
      <c r="C619" s="1" t="n">
        <v>46012</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46012</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5665-2023</t>
        </is>
      </c>
      <c r="B621" s="1" t="n">
        <v>44960.64481481481</v>
      </c>
      <c r="C621" s="1" t="n">
        <v>46012</v>
      </c>
      <c r="D621" t="inlineStr">
        <is>
          <t>ÖSTERGÖTLANDS LÄN</t>
        </is>
      </c>
      <c r="E621" t="inlineStr">
        <is>
          <t>KINDA</t>
        </is>
      </c>
      <c r="G621" t="n">
        <v>6.7</v>
      </c>
      <c r="H621" t="n">
        <v>0</v>
      </c>
      <c r="I621" t="n">
        <v>0</v>
      </c>
      <c r="J621" t="n">
        <v>0</v>
      </c>
      <c r="K621" t="n">
        <v>0</v>
      </c>
      <c r="L621" t="n">
        <v>0</v>
      </c>
      <c r="M621" t="n">
        <v>0</v>
      </c>
      <c r="N621" t="n">
        <v>0</v>
      </c>
      <c r="O621" t="n">
        <v>0</v>
      </c>
      <c r="P621" t="n">
        <v>0</v>
      </c>
      <c r="Q621" t="n">
        <v>0</v>
      </c>
      <c r="R621" s="2" t="inlineStr"/>
    </row>
    <row r="622" ht="15" customHeight="1">
      <c r="A622" t="inlineStr">
        <is>
          <t>A 21071-2024</t>
        </is>
      </c>
      <c r="B622" s="1" t="n">
        <v>45439.8615625</v>
      </c>
      <c r="C622" s="1" t="n">
        <v>46012</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57194-2023</t>
        </is>
      </c>
      <c r="B623" s="1" t="n">
        <v>45245.47634259259</v>
      </c>
      <c r="C623" s="1" t="n">
        <v>46012</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61961-2022</t>
        </is>
      </c>
      <c r="B624" s="1" t="n">
        <v>44918</v>
      </c>
      <c r="C624" s="1" t="n">
        <v>46012</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60826-2023</t>
        </is>
      </c>
      <c r="B625" s="1" t="n">
        <v>45260.81440972222</v>
      </c>
      <c r="C625" s="1" t="n">
        <v>46012</v>
      </c>
      <c r="D625" t="inlineStr">
        <is>
          <t>ÖSTERGÖTLANDS LÄN</t>
        </is>
      </c>
      <c r="E625" t="inlineStr">
        <is>
          <t>KINDA</t>
        </is>
      </c>
      <c r="G625" t="n">
        <v>1.4</v>
      </c>
      <c r="H625" t="n">
        <v>0</v>
      </c>
      <c r="I625" t="n">
        <v>0</v>
      </c>
      <c r="J625" t="n">
        <v>0</v>
      </c>
      <c r="K625" t="n">
        <v>0</v>
      </c>
      <c r="L625" t="n">
        <v>0</v>
      </c>
      <c r="M625" t="n">
        <v>0</v>
      </c>
      <c r="N625" t="n">
        <v>0</v>
      </c>
      <c r="O625" t="n">
        <v>0</v>
      </c>
      <c r="P625" t="n">
        <v>0</v>
      </c>
      <c r="Q625" t="n">
        <v>0</v>
      </c>
      <c r="R625" s="2" t="inlineStr"/>
    </row>
    <row r="626" ht="15" customHeight="1">
      <c r="A626" t="inlineStr">
        <is>
          <t>A 31849-2023</t>
        </is>
      </c>
      <c r="B626" s="1" t="n">
        <v>45118.58756944445</v>
      </c>
      <c r="C626" s="1" t="n">
        <v>46012</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9465-2022</t>
        </is>
      </c>
      <c r="B627" s="1" t="n">
        <v>44616.78555555556</v>
      </c>
      <c r="C627" s="1" t="n">
        <v>46012</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62491-2023</t>
        </is>
      </c>
      <c r="B628" s="1" t="n">
        <v>45267</v>
      </c>
      <c r="C628" s="1" t="n">
        <v>46012</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35218-2023</t>
        </is>
      </c>
      <c r="B629" s="1" t="n">
        <v>45145.64796296296</v>
      </c>
      <c r="C629" s="1" t="n">
        <v>46012</v>
      </c>
      <c r="D629" t="inlineStr">
        <is>
          <t>ÖSTERGÖTLANDS LÄN</t>
        </is>
      </c>
      <c r="E629" t="inlineStr">
        <is>
          <t>KINDA</t>
        </is>
      </c>
      <c r="G629" t="n">
        <v>0.7</v>
      </c>
      <c r="H629" t="n">
        <v>0</v>
      </c>
      <c r="I629" t="n">
        <v>0</v>
      </c>
      <c r="J629" t="n">
        <v>0</v>
      </c>
      <c r="K629" t="n">
        <v>0</v>
      </c>
      <c r="L629" t="n">
        <v>0</v>
      </c>
      <c r="M629" t="n">
        <v>0</v>
      </c>
      <c r="N629" t="n">
        <v>0</v>
      </c>
      <c r="O629" t="n">
        <v>0</v>
      </c>
      <c r="P629" t="n">
        <v>0</v>
      </c>
      <c r="Q629" t="n">
        <v>0</v>
      </c>
      <c r="R629" s="2" t="inlineStr"/>
    </row>
    <row r="630" ht="15" customHeight="1">
      <c r="A630" t="inlineStr">
        <is>
          <t>A 27648-2023</t>
        </is>
      </c>
      <c r="B630" s="1" t="n">
        <v>45097.68376157407</v>
      </c>
      <c r="C630" s="1" t="n">
        <v>46012</v>
      </c>
      <c r="D630" t="inlineStr">
        <is>
          <t>ÖSTERGÖTLANDS LÄN</t>
        </is>
      </c>
      <c r="E630" t="inlineStr">
        <is>
          <t>KINDA</t>
        </is>
      </c>
      <c r="G630" t="n">
        <v>0.9</v>
      </c>
      <c r="H630" t="n">
        <v>0</v>
      </c>
      <c r="I630" t="n">
        <v>0</v>
      </c>
      <c r="J630" t="n">
        <v>0</v>
      </c>
      <c r="K630" t="n">
        <v>0</v>
      </c>
      <c r="L630" t="n">
        <v>0</v>
      </c>
      <c r="M630" t="n">
        <v>0</v>
      </c>
      <c r="N630" t="n">
        <v>0</v>
      </c>
      <c r="O630" t="n">
        <v>0</v>
      </c>
      <c r="P630" t="n">
        <v>0</v>
      </c>
      <c r="Q630" t="n">
        <v>0</v>
      </c>
      <c r="R630" s="2" t="inlineStr"/>
    </row>
    <row r="631" ht="15" customHeight="1">
      <c r="A631" t="inlineStr">
        <is>
          <t>A 57457-2021</t>
        </is>
      </c>
      <c r="B631" s="1" t="n">
        <v>44483.65719907408</v>
      </c>
      <c r="C631" s="1" t="n">
        <v>46012</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46704-2024</t>
        </is>
      </c>
      <c r="B632" s="1" t="n">
        <v>45583.44207175926</v>
      </c>
      <c r="C632" s="1" t="n">
        <v>46012</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4326-2021</t>
        </is>
      </c>
      <c r="B633" s="1" t="n">
        <v>44223</v>
      </c>
      <c r="C633" s="1" t="n">
        <v>46012</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4331-2021</t>
        </is>
      </c>
      <c r="B634" s="1" t="n">
        <v>44223</v>
      </c>
      <c r="C634" s="1" t="n">
        <v>46012</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16611-2023</t>
        </is>
      </c>
      <c r="B635" s="1" t="n">
        <v>45030</v>
      </c>
      <c r="C635" s="1" t="n">
        <v>46012</v>
      </c>
      <c r="D635" t="inlineStr">
        <is>
          <t>ÖSTERGÖTLANDS LÄN</t>
        </is>
      </c>
      <c r="E635" t="inlineStr">
        <is>
          <t>KINDA</t>
        </is>
      </c>
      <c r="G635" t="n">
        <v>4.3</v>
      </c>
      <c r="H635" t="n">
        <v>0</v>
      </c>
      <c r="I635" t="n">
        <v>0</v>
      </c>
      <c r="J635" t="n">
        <v>0</v>
      </c>
      <c r="K635" t="n">
        <v>0</v>
      </c>
      <c r="L635" t="n">
        <v>0</v>
      </c>
      <c r="M635" t="n">
        <v>0</v>
      </c>
      <c r="N635" t="n">
        <v>0</v>
      </c>
      <c r="O635" t="n">
        <v>0</v>
      </c>
      <c r="P635" t="n">
        <v>0</v>
      </c>
      <c r="Q635" t="n">
        <v>0</v>
      </c>
      <c r="R635" s="2" t="inlineStr"/>
    </row>
    <row r="636" ht="15" customHeight="1">
      <c r="A636" t="inlineStr">
        <is>
          <t>A 10823-2024</t>
        </is>
      </c>
      <c r="B636" s="1" t="n">
        <v>45369.67408564815</v>
      </c>
      <c r="C636" s="1" t="n">
        <v>46012</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43074-2024</t>
        </is>
      </c>
      <c r="B637" s="1" t="n">
        <v>45567.48658564815</v>
      </c>
      <c r="C637" s="1" t="n">
        <v>46012</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4368-2025</t>
        </is>
      </c>
      <c r="B638" s="1" t="n">
        <v>45686.34563657407</v>
      </c>
      <c r="C638" s="1" t="n">
        <v>46012</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46228-2024</t>
        </is>
      </c>
      <c r="B639" s="1" t="n">
        <v>45581.57662037037</v>
      </c>
      <c r="C639" s="1" t="n">
        <v>46012</v>
      </c>
      <c r="D639" t="inlineStr">
        <is>
          <t>ÖSTERGÖTLANDS LÄN</t>
        </is>
      </c>
      <c r="E639" t="inlineStr">
        <is>
          <t>KINDA</t>
        </is>
      </c>
      <c r="G639" t="n">
        <v>1.7</v>
      </c>
      <c r="H639" t="n">
        <v>0</v>
      </c>
      <c r="I639" t="n">
        <v>0</v>
      </c>
      <c r="J639" t="n">
        <v>0</v>
      </c>
      <c r="K639" t="n">
        <v>0</v>
      </c>
      <c r="L639" t="n">
        <v>0</v>
      </c>
      <c r="M639" t="n">
        <v>0</v>
      </c>
      <c r="N639" t="n">
        <v>0</v>
      </c>
      <c r="O639" t="n">
        <v>0</v>
      </c>
      <c r="P639" t="n">
        <v>0</v>
      </c>
      <c r="Q639" t="n">
        <v>0</v>
      </c>
      <c r="R639" s="2" t="inlineStr"/>
    </row>
    <row r="640" ht="15" customHeight="1">
      <c r="A640" t="inlineStr">
        <is>
          <t>A 12269-2023</t>
        </is>
      </c>
      <c r="B640" s="1" t="n">
        <v>44998</v>
      </c>
      <c r="C640" s="1" t="n">
        <v>46012</v>
      </c>
      <c r="D640" t="inlineStr">
        <is>
          <t>ÖSTERGÖTLANDS LÄN</t>
        </is>
      </c>
      <c r="E640" t="inlineStr">
        <is>
          <t>KINDA</t>
        </is>
      </c>
      <c r="G640" t="n">
        <v>0.3</v>
      </c>
      <c r="H640" t="n">
        <v>0</v>
      </c>
      <c r="I640" t="n">
        <v>0</v>
      </c>
      <c r="J640" t="n">
        <v>0</v>
      </c>
      <c r="K640" t="n">
        <v>0</v>
      </c>
      <c r="L640" t="n">
        <v>0</v>
      </c>
      <c r="M640" t="n">
        <v>0</v>
      </c>
      <c r="N640" t="n">
        <v>0</v>
      </c>
      <c r="O640" t="n">
        <v>0</v>
      </c>
      <c r="P640" t="n">
        <v>0</v>
      </c>
      <c r="Q640" t="n">
        <v>0</v>
      </c>
      <c r="R640" s="2" t="inlineStr"/>
    </row>
    <row r="641" ht="15" customHeight="1">
      <c r="A641" t="inlineStr">
        <is>
          <t>A 51830-2024</t>
        </is>
      </c>
      <c r="B641" s="1" t="n">
        <v>45607.50465277778</v>
      </c>
      <c r="C641" s="1" t="n">
        <v>46012</v>
      </c>
      <c r="D641" t="inlineStr">
        <is>
          <t>ÖSTERGÖTLANDS LÄN</t>
        </is>
      </c>
      <c r="E641" t="inlineStr">
        <is>
          <t>KINDA</t>
        </is>
      </c>
      <c r="G641" t="n">
        <v>1.8</v>
      </c>
      <c r="H641" t="n">
        <v>0</v>
      </c>
      <c r="I641" t="n">
        <v>0</v>
      </c>
      <c r="J641" t="n">
        <v>0</v>
      </c>
      <c r="K641" t="n">
        <v>0</v>
      </c>
      <c r="L641" t="n">
        <v>0</v>
      </c>
      <c r="M641" t="n">
        <v>0</v>
      </c>
      <c r="N641" t="n">
        <v>0</v>
      </c>
      <c r="O641" t="n">
        <v>0</v>
      </c>
      <c r="P641" t="n">
        <v>0</v>
      </c>
      <c r="Q641" t="n">
        <v>0</v>
      </c>
      <c r="R641" s="2" t="inlineStr"/>
    </row>
    <row r="642" ht="15" customHeight="1">
      <c r="A642" t="inlineStr">
        <is>
          <t>A 35213-2023</t>
        </is>
      </c>
      <c r="B642" s="1" t="n">
        <v>45145.63927083334</v>
      </c>
      <c r="C642" s="1" t="n">
        <v>46012</v>
      </c>
      <c r="D642" t="inlineStr">
        <is>
          <t>ÖSTERGÖTLANDS LÄN</t>
        </is>
      </c>
      <c r="E642" t="inlineStr">
        <is>
          <t>KINDA</t>
        </is>
      </c>
      <c r="G642" t="n">
        <v>2.4</v>
      </c>
      <c r="H642" t="n">
        <v>0</v>
      </c>
      <c r="I642" t="n">
        <v>0</v>
      </c>
      <c r="J642" t="n">
        <v>0</v>
      </c>
      <c r="K642" t="n">
        <v>0</v>
      </c>
      <c r="L642" t="n">
        <v>0</v>
      </c>
      <c r="M642" t="n">
        <v>0</v>
      </c>
      <c r="N642" t="n">
        <v>0</v>
      </c>
      <c r="O642" t="n">
        <v>0</v>
      </c>
      <c r="P642" t="n">
        <v>0</v>
      </c>
      <c r="Q642" t="n">
        <v>0</v>
      </c>
      <c r="R642" s="2" t="inlineStr"/>
    </row>
    <row r="643" ht="15" customHeight="1">
      <c r="A643" t="inlineStr">
        <is>
          <t>A 71098-2021</t>
        </is>
      </c>
      <c r="B643" s="1" t="n">
        <v>44539.34103009259</v>
      </c>
      <c r="C643" s="1" t="n">
        <v>46012</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7216-2023</t>
        </is>
      </c>
      <c r="B644" s="1" t="n">
        <v>44970.57682870371</v>
      </c>
      <c r="C644" s="1" t="n">
        <v>46012</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24454-2023</t>
        </is>
      </c>
      <c r="B645" s="1" t="n">
        <v>45082.55885416667</v>
      </c>
      <c r="C645" s="1" t="n">
        <v>46012</v>
      </c>
      <c r="D645" t="inlineStr">
        <is>
          <t>ÖSTERGÖTLANDS LÄN</t>
        </is>
      </c>
      <c r="E645" t="inlineStr">
        <is>
          <t>KINDA</t>
        </is>
      </c>
      <c r="G645" t="n">
        <v>1.6</v>
      </c>
      <c r="H645" t="n">
        <v>0</v>
      </c>
      <c r="I645" t="n">
        <v>0</v>
      </c>
      <c r="J645" t="n">
        <v>0</v>
      </c>
      <c r="K645" t="n">
        <v>0</v>
      </c>
      <c r="L645" t="n">
        <v>0</v>
      </c>
      <c r="M645" t="n">
        <v>0</v>
      </c>
      <c r="N645" t="n">
        <v>0</v>
      </c>
      <c r="O645" t="n">
        <v>0</v>
      </c>
      <c r="P645" t="n">
        <v>0</v>
      </c>
      <c r="Q645" t="n">
        <v>0</v>
      </c>
      <c r="R645" s="2" t="inlineStr"/>
    </row>
    <row r="646" ht="15" customHeight="1">
      <c r="A646" t="inlineStr">
        <is>
          <t>A 4001-2025</t>
        </is>
      </c>
      <c r="B646" s="1" t="n">
        <v>45684.57195601852</v>
      </c>
      <c r="C646" s="1" t="n">
        <v>46012</v>
      </c>
      <c r="D646" t="inlineStr">
        <is>
          <t>ÖSTERGÖTLANDS LÄN</t>
        </is>
      </c>
      <c r="E646" t="inlineStr">
        <is>
          <t>KINDA</t>
        </is>
      </c>
      <c r="G646" t="n">
        <v>10.7</v>
      </c>
      <c r="H646" t="n">
        <v>0</v>
      </c>
      <c r="I646" t="n">
        <v>0</v>
      </c>
      <c r="J646" t="n">
        <v>0</v>
      </c>
      <c r="K646" t="n">
        <v>0</v>
      </c>
      <c r="L646" t="n">
        <v>0</v>
      </c>
      <c r="M646" t="n">
        <v>0</v>
      </c>
      <c r="N646" t="n">
        <v>0</v>
      </c>
      <c r="O646" t="n">
        <v>0</v>
      </c>
      <c r="P646" t="n">
        <v>0</v>
      </c>
      <c r="Q646" t="n">
        <v>0</v>
      </c>
      <c r="R646" s="2" t="inlineStr"/>
    </row>
    <row r="647" ht="15" customHeight="1">
      <c r="A647" t="inlineStr">
        <is>
          <t>A 44303-2023</t>
        </is>
      </c>
      <c r="B647" s="1" t="n">
        <v>45188.64319444444</v>
      </c>
      <c r="C647" s="1" t="n">
        <v>46012</v>
      </c>
      <c r="D647" t="inlineStr">
        <is>
          <t>ÖSTERGÖTLANDS LÄN</t>
        </is>
      </c>
      <c r="E647" t="inlineStr">
        <is>
          <t>KINDA</t>
        </is>
      </c>
      <c r="G647" t="n">
        <v>2.9</v>
      </c>
      <c r="H647" t="n">
        <v>0</v>
      </c>
      <c r="I647" t="n">
        <v>0</v>
      </c>
      <c r="J647" t="n">
        <v>0</v>
      </c>
      <c r="K647" t="n">
        <v>0</v>
      </c>
      <c r="L647" t="n">
        <v>0</v>
      </c>
      <c r="M647" t="n">
        <v>0</v>
      </c>
      <c r="N647" t="n">
        <v>0</v>
      </c>
      <c r="O647" t="n">
        <v>0</v>
      </c>
      <c r="P647" t="n">
        <v>0</v>
      </c>
      <c r="Q647" t="n">
        <v>0</v>
      </c>
      <c r="R647" s="2" t="inlineStr"/>
    </row>
    <row r="648" ht="15" customHeight="1">
      <c r="A648" t="inlineStr">
        <is>
          <t>A 37831-2023</t>
        </is>
      </c>
      <c r="B648" s="1" t="n">
        <v>45160.3425</v>
      </c>
      <c r="C648" s="1" t="n">
        <v>46012</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57690-2021</t>
        </is>
      </c>
      <c r="B649" s="1" t="n">
        <v>44484</v>
      </c>
      <c r="C649" s="1" t="n">
        <v>46012</v>
      </c>
      <c r="D649" t="inlineStr">
        <is>
          <t>ÖSTERGÖTLANDS LÄN</t>
        </is>
      </c>
      <c r="E649" t="inlineStr">
        <is>
          <t>KINDA</t>
        </is>
      </c>
      <c r="G649" t="n">
        <v>2.1</v>
      </c>
      <c r="H649" t="n">
        <v>0</v>
      </c>
      <c r="I649" t="n">
        <v>0</v>
      </c>
      <c r="J649" t="n">
        <v>0</v>
      </c>
      <c r="K649" t="n">
        <v>0</v>
      </c>
      <c r="L649" t="n">
        <v>0</v>
      </c>
      <c r="M649" t="n">
        <v>0</v>
      </c>
      <c r="N649" t="n">
        <v>0</v>
      </c>
      <c r="O649" t="n">
        <v>0</v>
      </c>
      <c r="P649" t="n">
        <v>0</v>
      </c>
      <c r="Q649" t="n">
        <v>0</v>
      </c>
      <c r="R649" s="2" t="inlineStr"/>
    </row>
    <row r="650" ht="15" customHeight="1">
      <c r="A650" t="inlineStr">
        <is>
          <t>A 7749-2024</t>
        </is>
      </c>
      <c r="B650" s="1" t="n">
        <v>45349.48241898148</v>
      </c>
      <c r="C650" s="1" t="n">
        <v>46012</v>
      </c>
      <c r="D650" t="inlineStr">
        <is>
          <t>ÖSTERGÖTLANDS LÄN</t>
        </is>
      </c>
      <c r="E650" t="inlineStr">
        <is>
          <t>KINDA</t>
        </is>
      </c>
      <c r="F650" t="inlineStr">
        <is>
          <t>Övriga Aktiebolag</t>
        </is>
      </c>
      <c r="G650" t="n">
        <v>3.9</v>
      </c>
      <c r="H650" t="n">
        <v>0</v>
      </c>
      <c r="I650" t="n">
        <v>0</v>
      </c>
      <c r="J650" t="n">
        <v>0</v>
      </c>
      <c r="K650" t="n">
        <v>0</v>
      </c>
      <c r="L650" t="n">
        <v>0</v>
      </c>
      <c r="M650" t="n">
        <v>0</v>
      </c>
      <c r="N650" t="n">
        <v>0</v>
      </c>
      <c r="O650" t="n">
        <v>0</v>
      </c>
      <c r="P650" t="n">
        <v>0</v>
      </c>
      <c r="Q650" t="n">
        <v>0</v>
      </c>
      <c r="R650" s="2" t="inlineStr"/>
    </row>
    <row r="651" ht="15" customHeight="1">
      <c r="A651" t="inlineStr">
        <is>
          <t>A 2644-2025</t>
        </is>
      </c>
      <c r="B651" s="1" t="n">
        <v>45676</v>
      </c>
      <c r="C651" s="1" t="n">
        <v>46012</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2645-2025</t>
        </is>
      </c>
      <c r="B652" s="1" t="n">
        <v>45676.49690972222</v>
      </c>
      <c r="C652" s="1" t="n">
        <v>46012</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17366-2023</t>
        </is>
      </c>
      <c r="B653" s="1" t="n">
        <v>45035</v>
      </c>
      <c r="C653" s="1" t="n">
        <v>46012</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57767-2022</t>
        </is>
      </c>
      <c r="B654" s="1" t="n">
        <v>44897.60309027778</v>
      </c>
      <c r="C654" s="1" t="n">
        <v>46012</v>
      </c>
      <c r="D654" t="inlineStr">
        <is>
          <t>ÖSTERGÖTLANDS LÄN</t>
        </is>
      </c>
      <c r="E654" t="inlineStr">
        <is>
          <t>KINDA</t>
        </is>
      </c>
      <c r="G654" t="n">
        <v>6</v>
      </c>
      <c r="H654" t="n">
        <v>0</v>
      </c>
      <c r="I654" t="n">
        <v>0</v>
      </c>
      <c r="J654" t="n">
        <v>0</v>
      </c>
      <c r="K654" t="n">
        <v>0</v>
      </c>
      <c r="L654" t="n">
        <v>0</v>
      </c>
      <c r="M654" t="n">
        <v>0</v>
      </c>
      <c r="N654" t="n">
        <v>0</v>
      </c>
      <c r="O654" t="n">
        <v>0</v>
      </c>
      <c r="P654" t="n">
        <v>0</v>
      </c>
      <c r="Q654" t="n">
        <v>0</v>
      </c>
      <c r="R654" s="2" t="inlineStr"/>
    </row>
    <row r="655" ht="15" customHeight="1">
      <c r="A655" t="inlineStr">
        <is>
          <t>A 19545-2023</t>
        </is>
      </c>
      <c r="B655" s="1" t="n">
        <v>45049</v>
      </c>
      <c r="C655" s="1" t="n">
        <v>46012</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4731-2025</t>
        </is>
      </c>
      <c r="B656" s="1" t="n">
        <v>45688.43620370371</v>
      </c>
      <c r="C656" s="1" t="n">
        <v>46012</v>
      </c>
      <c r="D656" t="inlineStr">
        <is>
          <t>ÖSTERGÖTLANDS LÄN</t>
        </is>
      </c>
      <c r="E656" t="inlineStr">
        <is>
          <t>KINDA</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12016-2021</t>
        </is>
      </c>
      <c r="B657" s="1" t="n">
        <v>44266.44692129629</v>
      </c>
      <c r="C657" s="1" t="n">
        <v>46012</v>
      </c>
      <c r="D657" t="inlineStr">
        <is>
          <t>ÖSTERGÖTLANDS LÄN</t>
        </is>
      </c>
      <c r="E657" t="inlineStr">
        <is>
          <t>KINDA</t>
        </is>
      </c>
      <c r="G657" t="n">
        <v>3.7</v>
      </c>
      <c r="H657" t="n">
        <v>0</v>
      </c>
      <c r="I657" t="n">
        <v>0</v>
      </c>
      <c r="J657" t="n">
        <v>0</v>
      </c>
      <c r="K657" t="n">
        <v>0</v>
      </c>
      <c r="L657" t="n">
        <v>0</v>
      </c>
      <c r="M657" t="n">
        <v>0</v>
      </c>
      <c r="N657" t="n">
        <v>0</v>
      </c>
      <c r="O657" t="n">
        <v>0</v>
      </c>
      <c r="P657" t="n">
        <v>0</v>
      </c>
      <c r="Q657" t="n">
        <v>0</v>
      </c>
      <c r="R657" s="2" t="inlineStr"/>
    </row>
    <row r="658" ht="15" customHeight="1">
      <c r="A658" t="inlineStr">
        <is>
          <t>A 61987-2023</t>
        </is>
      </c>
      <c r="B658" s="1" t="n">
        <v>45266.61387731481</v>
      </c>
      <c r="C658" s="1" t="n">
        <v>46012</v>
      </c>
      <c r="D658" t="inlineStr">
        <is>
          <t>ÖSTERGÖTLANDS LÄN</t>
        </is>
      </c>
      <c r="E658" t="inlineStr">
        <is>
          <t>KINDA</t>
        </is>
      </c>
      <c r="G658" t="n">
        <v>1.3</v>
      </c>
      <c r="H658" t="n">
        <v>0</v>
      </c>
      <c r="I658" t="n">
        <v>0</v>
      </c>
      <c r="J658" t="n">
        <v>0</v>
      </c>
      <c r="K658" t="n">
        <v>0</v>
      </c>
      <c r="L658" t="n">
        <v>0</v>
      </c>
      <c r="M658" t="n">
        <v>0</v>
      </c>
      <c r="N658" t="n">
        <v>0</v>
      </c>
      <c r="O658" t="n">
        <v>0</v>
      </c>
      <c r="P658" t="n">
        <v>0</v>
      </c>
      <c r="Q658" t="n">
        <v>0</v>
      </c>
      <c r="R658" s="2" t="inlineStr"/>
    </row>
    <row r="659" ht="15" customHeight="1">
      <c r="A659" t="inlineStr">
        <is>
          <t>A 22703-2023</t>
        </is>
      </c>
      <c r="B659" s="1" t="n">
        <v>45071</v>
      </c>
      <c r="C659" s="1" t="n">
        <v>46012</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15303-2024</t>
        </is>
      </c>
      <c r="B660" s="1" t="n">
        <v>45400</v>
      </c>
      <c r="C660" s="1" t="n">
        <v>46012</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9568-2023</t>
        </is>
      </c>
      <c r="B661" s="1" t="n">
        <v>44982.5037962963</v>
      </c>
      <c r="C661" s="1" t="n">
        <v>46012</v>
      </c>
      <c r="D661" t="inlineStr">
        <is>
          <t>ÖSTERGÖTLANDS LÄN</t>
        </is>
      </c>
      <c r="E661" t="inlineStr">
        <is>
          <t>KINDA</t>
        </is>
      </c>
      <c r="G661" t="n">
        <v>3</v>
      </c>
      <c r="H661" t="n">
        <v>0</v>
      </c>
      <c r="I661" t="n">
        <v>0</v>
      </c>
      <c r="J661" t="n">
        <v>0</v>
      </c>
      <c r="K661" t="n">
        <v>0</v>
      </c>
      <c r="L661" t="n">
        <v>0</v>
      </c>
      <c r="M661" t="n">
        <v>0</v>
      </c>
      <c r="N661" t="n">
        <v>0</v>
      </c>
      <c r="O661" t="n">
        <v>0</v>
      </c>
      <c r="P661" t="n">
        <v>0</v>
      </c>
      <c r="Q661" t="n">
        <v>0</v>
      </c>
      <c r="R661" s="2" t="inlineStr"/>
    </row>
    <row r="662" ht="15" customHeight="1">
      <c r="A662" t="inlineStr">
        <is>
          <t>A 6403-2025</t>
        </is>
      </c>
      <c r="B662" s="1" t="n">
        <v>45699.45127314814</v>
      </c>
      <c r="C662" s="1" t="n">
        <v>46012</v>
      </c>
      <c r="D662" t="inlineStr">
        <is>
          <t>ÖSTERGÖTLANDS LÄN</t>
        </is>
      </c>
      <c r="E662" t="inlineStr">
        <is>
          <t>KINDA</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6410-2025</t>
        </is>
      </c>
      <c r="B663" s="1" t="n">
        <v>45699.4584837963</v>
      </c>
      <c r="C663" s="1" t="n">
        <v>46012</v>
      </c>
      <c r="D663" t="inlineStr">
        <is>
          <t>ÖSTERGÖTLANDS LÄN</t>
        </is>
      </c>
      <c r="E663" t="inlineStr">
        <is>
          <t>KINDA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25626-2022</t>
        </is>
      </c>
      <c r="B664" s="1" t="n">
        <v>44732</v>
      </c>
      <c r="C664" s="1" t="n">
        <v>46012</v>
      </c>
      <c r="D664" t="inlineStr">
        <is>
          <t>ÖSTERGÖTLANDS LÄN</t>
        </is>
      </c>
      <c r="E664" t="inlineStr">
        <is>
          <t>KINDA</t>
        </is>
      </c>
      <c r="G664" t="n">
        <v>7</v>
      </c>
      <c r="H664" t="n">
        <v>0</v>
      </c>
      <c r="I664" t="n">
        <v>0</v>
      </c>
      <c r="J664" t="n">
        <v>0</v>
      </c>
      <c r="K664" t="n">
        <v>0</v>
      </c>
      <c r="L664" t="n">
        <v>0</v>
      </c>
      <c r="M664" t="n">
        <v>0</v>
      </c>
      <c r="N664" t="n">
        <v>0</v>
      </c>
      <c r="O664" t="n">
        <v>0</v>
      </c>
      <c r="P664" t="n">
        <v>0</v>
      </c>
      <c r="Q664" t="n">
        <v>0</v>
      </c>
      <c r="R664" s="2" t="inlineStr"/>
    </row>
    <row r="665" ht="15" customHeight="1">
      <c r="A665" t="inlineStr">
        <is>
          <t>A 2966-2024</t>
        </is>
      </c>
      <c r="B665" s="1" t="n">
        <v>45315.66575231482</v>
      </c>
      <c r="C665" s="1" t="n">
        <v>46012</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52991-2023</t>
        </is>
      </c>
      <c r="B666" s="1" t="n">
        <v>45226.62546296296</v>
      </c>
      <c r="C666" s="1" t="n">
        <v>46012</v>
      </c>
      <c r="D666" t="inlineStr">
        <is>
          <t>ÖSTERGÖTLANDS LÄN</t>
        </is>
      </c>
      <c r="E666" t="inlineStr">
        <is>
          <t>KINDA</t>
        </is>
      </c>
      <c r="G666" t="n">
        <v>3.8</v>
      </c>
      <c r="H666" t="n">
        <v>0</v>
      </c>
      <c r="I666" t="n">
        <v>0</v>
      </c>
      <c r="J666" t="n">
        <v>0</v>
      </c>
      <c r="K666" t="n">
        <v>0</v>
      </c>
      <c r="L666" t="n">
        <v>0</v>
      </c>
      <c r="M666" t="n">
        <v>0</v>
      </c>
      <c r="N666" t="n">
        <v>0</v>
      </c>
      <c r="O666" t="n">
        <v>0</v>
      </c>
      <c r="P666" t="n">
        <v>0</v>
      </c>
      <c r="Q666" t="n">
        <v>0</v>
      </c>
      <c r="R666" s="2" t="inlineStr"/>
    </row>
    <row r="667" ht="15" customHeight="1">
      <c r="A667" t="inlineStr">
        <is>
          <t>A 15271-2021</t>
        </is>
      </c>
      <c r="B667" s="1" t="n">
        <v>44284.57011574074</v>
      </c>
      <c r="C667" s="1" t="n">
        <v>46012</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3820-2024</t>
        </is>
      </c>
      <c r="B668" s="1" t="n">
        <v>45321.70762731481</v>
      </c>
      <c r="C668" s="1" t="n">
        <v>46012</v>
      </c>
      <c r="D668" t="inlineStr">
        <is>
          <t>ÖSTERGÖTLANDS LÄN</t>
        </is>
      </c>
      <c r="E668" t="inlineStr">
        <is>
          <t>KINDA</t>
        </is>
      </c>
      <c r="G668" t="n">
        <v>3.4</v>
      </c>
      <c r="H668" t="n">
        <v>0</v>
      </c>
      <c r="I668" t="n">
        <v>0</v>
      </c>
      <c r="J668" t="n">
        <v>0</v>
      </c>
      <c r="K668" t="n">
        <v>0</v>
      </c>
      <c r="L668" t="n">
        <v>0</v>
      </c>
      <c r="M668" t="n">
        <v>0</v>
      </c>
      <c r="N668" t="n">
        <v>0</v>
      </c>
      <c r="O668" t="n">
        <v>0</v>
      </c>
      <c r="P668" t="n">
        <v>0</v>
      </c>
      <c r="Q668" t="n">
        <v>0</v>
      </c>
      <c r="R668" s="2" t="inlineStr"/>
    </row>
    <row r="669" ht="15" customHeight="1">
      <c r="A669" t="inlineStr">
        <is>
          <t>A 42084-2024</t>
        </is>
      </c>
      <c r="B669" s="1" t="n">
        <v>45562.3316087963</v>
      </c>
      <c r="C669" s="1" t="n">
        <v>46012</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ht="15" customHeight="1">
      <c r="A670" t="inlineStr">
        <is>
          <t>A 29726-2022</t>
        </is>
      </c>
      <c r="B670" s="1" t="n">
        <v>44755.45060185185</v>
      </c>
      <c r="C670" s="1" t="n">
        <v>46012</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37196-2024</t>
        </is>
      </c>
      <c r="B671" s="1" t="n">
        <v>45539.66679398148</v>
      </c>
      <c r="C671" s="1" t="n">
        <v>46012</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22048-2021</t>
        </is>
      </c>
      <c r="B672" s="1" t="n">
        <v>44323</v>
      </c>
      <c r="C672" s="1" t="n">
        <v>46012</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9203-2023</t>
        </is>
      </c>
      <c r="B673" s="1" t="n">
        <v>44977</v>
      </c>
      <c r="C673" s="1" t="n">
        <v>46012</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39242-2024</t>
        </is>
      </c>
      <c r="B674" s="1" t="n">
        <v>45551.28467592593</v>
      </c>
      <c r="C674" s="1" t="n">
        <v>46012</v>
      </c>
      <c r="D674" t="inlineStr">
        <is>
          <t>ÖSTERGÖTLANDS LÄN</t>
        </is>
      </c>
      <c r="E674" t="inlineStr">
        <is>
          <t>KINDA</t>
        </is>
      </c>
      <c r="G674" t="n">
        <v>3.9</v>
      </c>
      <c r="H674" t="n">
        <v>0</v>
      </c>
      <c r="I674" t="n">
        <v>0</v>
      </c>
      <c r="J674" t="n">
        <v>0</v>
      </c>
      <c r="K674" t="n">
        <v>0</v>
      </c>
      <c r="L674" t="n">
        <v>0</v>
      </c>
      <c r="M674" t="n">
        <v>0</v>
      </c>
      <c r="N674" t="n">
        <v>0</v>
      </c>
      <c r="O674" t="n">
        <v>0</v>
      </c>
      <c r="P674" t="n">
        <v>0</v>
      </c>
      <c r="Q674" t="n">
        <v>0</v>
      </c>
      <c r="R674" s="2" t="inlineStr"/>
    </row>
    <row r="675" ht="15" customHeight="1">
      <c r="A675" t="inlineStr">
        <is>
          <t>A 3907-2023</t>
        </is>
      </c>
      <c r="B675" s="1" t="n">
        <v>44952.00760416667</v>
      </c>
      <c r="C675" s="1" t="n">
        <v>46012</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46925-2023</t>
        </is>
      </c>
      <c r="B676" s="1" t="n">
        <v>45201.40716435185</v>
      </c>
      <c r="C676" s="1" t="n">
        <v>46012</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8228-2025</t>
        </is>
      </c>
      <c r="B677" s="1" t="n">
        <v>45708.46913194445</v>
      </c>
      <c r="C677" s="1" t="n">
        <v>46012</v>
      </c>
      <c r="D677" t="inlineStr">
        <is>
          <t>ÖSTERGÖTLANDS LÄN</t>
        </is>
      </c>
      <c r="E677" t="inlineStr">
        <is>
          <t>KINDA</t>
        </is>
      </c>
      <c r="G677" t="n">
        <v>4.8</v>
      </c>
      <c r="H677" t="n">
        <v>0</v>
      </c>
      <c r="I677" t="n">
        <v>0</v>
      </c>
      <c r="J677" t="n">
        <v>0</v>
      </c>
      <c r="K677" t="n">
        <v>0</v>
      </c>
      <c r="L677" t="n">
        <v>0</v>
      </c>
      <c r="M677" t="n">
        <v>0</v>
      </c>
      <c r="N677" t="n">
        <v>0</v>
      </c>
      <c r="O677" t="n">
        <v>0</v>
      </c>
      <c r="P677" t="n">
        <v>0</v>
      </c>
      <c r="Q677" t="n">
        <v>0</v>
      </c>
      <c r="R677" s="2" t="inlineStr"/>
    </row>
    <row r="678" ht="15" customHeight="1">
      <c r="A678" t="inlineStr">
        <is>
          <t>A 8229-2025</t>
        </is>
      </c>
      <c r="B678" s="1" t="n">
        <v>45708.46960648148</v>
      </c>
      <c r="C678" s="1" t="n">
        <v>46012</v>
      </c>
      <c r="D678" t="inlineStr">
        <is>
          <t>ÖSTERGÖTLANDS LÄN</t>
        </is>
      </c>
      <c r="E678" t="inlineStr">
        <is>
          <t>KINDA</t>
        </is>
      </c>
      <c r="G678" t="n">
        <v>2.8</v>
      </c>
      <c r="H678" t="n">
        <v>0</v>
      </c>
      <c r="I678" t="n">
        <v>0</v>
      </c>
      <c r="J678" t="n">
        <v>0</v>
      </c>
      <c r="K678" t="n">
        <v>0</v>
      </c>
      <c r="L678" t="n">
        <v>0</v>
      </c>
      <c r="M678" t="n">
        <v>0</v>
      </c>
      <c r="N678" t="n">
        <v>0</v>
      </c>
      <c r="O678" t="n">
        <v>0</v>
      </c>
      <c r="P678" t="n">
        <v>0</v>
      </c>
      <c r="Q678" t="n">
        <v>0</v>
      </c>
      <c r="R678" s="2" t="inlineStr"/>
    </row>
    <row r="679" ht="15" customHeight="1">
      <c r="A679" t="inlineStr">
        <is>
          <t>A 32978-2024</t>
        </is>
      </c>
      <c r="B679" s="1" t="n">
        <v>45517.44506944445</v>
      </c>
      <c r="C679" s="1" t="n">
        <v>46012</v>
      </c>
      <c r="D679" t="inlineStr">
        <is>
          <t>ÖSTERGÖTLANDS LÄN</t>
        </is>
      </c>
      <c r="E679" t="inlineStr">
        <is>
          <t>KINDA</t>
        </is>
      </c>
      <c r="G679" t="n">
        <v>0.7</v>
      </c>
      <c r="H679" t="n">
        <v>0</v>
      </c>
      <c r="I679" t="n">
        <v>0</v>
      </c>
      <c r="J679" t="n">
        <v>0</v>
      </c>
      <c r="K679" t="n">
        <v>0</v>
      </c>
      <c r="L679" t="n">
        <v>0</v>
      </c>
      <c r="M679" t="n">
        <v>0</v>
      </c>
      <c r="N679" t="n">
        <v>0</v>
      </c>
      <c r="O679" t="n">
        <v>0</v>
      </c>
      <c r="P679" t="n">
        <v>0</v>
      </c>
      <c r="Q679" t="n">
        <v>0</v>
      </c>
      <c r="R679" s="2" t="inlineStr"/>
    </row>
    <row r="680" ht="15" customHeight="1">
      <c r="A680" t="inlineStr">
        <is>
          <t>A 4555-2023</t>
        </is>
      </c>
      <c r="B680" s="1" t="n">
        <v>44956</v>
      </c>
      <c r="C680" s="1" t="n">
        <v>46012</v>
      </c>
      <c r="D680" t="inlineStr">
        <is>
          <t>ÖSTERGÖTLANDS LÄN</t>
        </is>
      </c>
      <c r="E680" t="inlineStr">
        <is>
          <t>KINDA</t>
        </is>
      </c>
      <c r="G680" t="n">
        <v>1.1</v>
      </c>
      <c r="H680" t="n">
        <v>0</v>
      </c>
      <c r="I680" t="n">
        <v>0</v>
      </c>
      <c r="J680" t="n">
        <v>0</v>
      </c>
      <c r="K680" t="n">
        <v>0</v>
      </c>
      <c r="L680" t="n">
        <v>0</v>
      </c>
      <c r="M680" t="n">
        <v>0</v>
      </c>
      <c r="N680" t="n">
        <v>0</v>
      </c>
      <c r="O680" t="n">
        <v>0</v>
      </c>
      <c r="P680" t="n">
        <v>0</v>
      </c>
      <c r="Q680" t="n">
        <v>0</v>
      </c>
      <c r="R680" s="2" t="inlineStr"/>
    </row>
    <row r="681" ht="15" customHeight="1">
      <c r="A681" t="inlineStr">
        <is>
          <t>A 55950-2023</t>
        </is>
      </c>
      <c r="B681" s="1" t="n">
        <v>45240.34232638889</v>
      </c>
      <c r="C681" s="1" t="n">
        <v>46012</v>
      </c>
      <c r="D681" t="inlineStr">
        <is>
          <t>ÖSTERGÖTLANDS LÄN</t>
        </is>
      </c>
      <c r="E681" t="inlineStr">
        <is>
          <t>KINDA</t>
        </is>
      </c>
      <c r="G681" t="n">
        <v>0.8</v>
      </c>
      <c r="H681" t="n">
        <v>0</v>
      </c>
      <c r="I681" t="n">
        <v>0</v>
      </c>
      <c r="J681" t="n">
        <v>0</v>
      </c>
      <c r="K681" t="n">
        <v>0</v>
      </c>
      <c r="L681" t="n">
        <v>0</v>
      </c>
      <c r="M681" t="n">
        <v>0</v>
      </c>
      <c r="N681" t="n">
        <v>0</v>
      </c>
      <c r="O681" t="n">
        <v>0</v>
      </c>
      <c r="P681" t="n">
        <v>0</v>
      </c>
      <c r="Q681" t="n">
        <v>0</v>
      </c>
      <c r="R681" s="2" t="inlineStr"/>
    </row>
    <row r="682" ht="15" customHeight="1">
      <c r="A682" t="inlineStr">
        <is>
          <t>A 3911-2023</t>
        </is>
      </c>
      <c r="B682" s="1" t="n">
        <v>44952</v>
      </c>
      <c r="C682" s="1" t="n">
        <v>46012</v>
      </c>
      <c r="D682" t="inlineStr">
        <is>
          <t>ÖSTERGÖTLANDS LÄN</t>
        </is>
      </c>
      <c r="E682" t="inlineStr">
        <is>
          <t>KINDA</t>
        </is>
      </c>
      <c r="G682" t="n">
        <v>1.4</v>
      </c>
      <c r="H682" t="n">
        <v>0</v>
      </c>
      <c r="I682" t="n">
        <v>0</v>
      </c>
      <c r="J682" t="n">
        <v>0</v>
      </c>
      <c r="K682" t="n">
        <v>0</v>
      </c>
      <c r="L682" t="n">
        <v>0</v>
      </c>
      <c r="M682" t="n">
        <v>0</v>
      </c>
      <c r="N682" t="n">
        <v>0</v>
      </c>
      <c r="O682" t="n">
        <v>0</v>
      </c>
      <c r="P682" t="n">
        <v>0</v>
      </c>
      <c r="Q682" t="n">
        <v>0</v>
      </c>
      <c r="R682" s="2" t="inlineStr"/>
    </row>
    <row r="683" ht="15" customHeight="1">
      <c r="A683" t="inlineStr">
        <is>
          <t>A 38596-2023</t>
        </is>
      </c>
      <c r="B683" s="1" t="n">
        <v>45162</v>
      </c>
      <c r="C683" s="1" t="n">
        <v>46012</v>
      </c>
      <c r="D683" t="inlineStr">
        <is>
          <t>ÖSTERGÖTLANDS LÄN</t>
        </is>
      </c>
      <c r="E683" t="inlineStr">
        <is>
          <t>KINDA</t>
        </is>
      </c>
      <c r="F683" t="inlineStr">
        <is>
          <t>Allmännings- och besparingsskogar</t>
        </is>
      </c>
      <c r="G683" t="n">
        <v>12.2</v>
      </c>
      <c r="H683" t="n">
        <v>0</v>
      </c>
      <c r="I683" t="n">
        <v>0</v>
      </c>
      <c r="J683" t="n">
        <v>0</v>
      </c>
      <c r="K683" t="n">
        <v>0</v>
      </c>
      <c r="L683" t="n">
        <v>0</v>
      </c>
      <c r="M683" t="n">
        <v>0</v>
      </c>
      <c r="N683" t="n">
        <v>0</v>
      </c>
      <c r="O683" t="n">
        <v>0</v>
      </c>
      <c r="P683" t="n">
        <v>0</v>
      </c>
      <c r="Q683" t="n">
        <v>0</v>
      </c>
      <c r="R683" s="2" t="inlineStr"/>
    </row>
    <row r="684" ht="15" customHeight="1">
      <c r="A684" t="inlineStr">
        <is>
          <t>A 61955-2022</t>
        </is>
      </c>
      <c r="B684" s="1" t="n">
        <v>44918.3396875</v>
      </c>
      <c r="C684" s="1" t="n">
        <v>46012</v>
      </c>
      <c r="D684" t="inlineStr">
        <is>
          <t>ÖSTERGÖTLANDS LÄN</t>
        </is>
      </c>
      <c r="E684" t="inlineStr">
        <is>
          <t>KINDA</t>
        </is>
      </c>
      <c r="G684" t="n">
        <v>6.4</v>
      </c>
      <c r="H684" t="n">
        <v>0</v>
      </c>
      <c r="I684" t="n">
        <v>0</v>
      </c>
      <c r="J684" t="n">
        <v>0</v>
      </c>
      <c r="K684" t="n">
        <v>0</v>
      </c>
      <c r="L684" t="n">
        <v>0</v>
      </c>
      <c r="M684" t="n">
        <v>0</v>
      </c>
      <c r="N684" t="n">
        <v>0</v>
      </c>
      <c r="O684" t="n">
        <v>0</v>
      </c>
      <c r="P684" t="n">
        <v>0</v>
      </c>
      <c r="Q684" t="n">
        <v>0</v>
      </c>
      <c r="R684" s="2" t="inlineStr"/>
    </row>
    <row r="685" ht="15" customHeight="1">
      <c r="A685" t="inlineStr">
        <is>
          <t>A 13968-2023</t>
        </is>
      </c>
      <c r="B685" s="1" t="n">
        <v>45008</v>
      </c>
      <c r="C685" s="1" t="n">
        <v>46012</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57987-2024</t>
        </is>
      </c>
      <c r="B686" s="1" t="n">
        <v>45631.62002314815</v>
      </c>
      <c r="C686" s="1" t="n">
        <v>46012</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32610-2023</t>
        </is>
      </c>
      <c r="B687" s="1" t="n">
        <v>45111</v>
      </c>
      <c r="C687" s="1" t="n">
        <v>46012</v>
      </c>
      <c r="D687" t="inlineStr">
        <is>
          <t>ÖSTERGÖTLANDS LÄN</t>
        </is>
      </c>
      <c r="E687" t="inlineStr">
        <is>
          <t>KINDA</t>
        </is>
      </c>
      <c r="G687" t="n">
        <v>8.9</v>
      </c>
      <c r="H687" t="n">
        <v>0</v>
      </c>
      <c r="I687" t="n">
        <v>0</v>
      </c>
      <c r="J687" t="n">
        <v>0</v>
      </c>
      <c r="K687" t="n">
        <v>0</v>
      </c>
      <c r="L687" t="n">
        <v>0</v>
      </c>
      <c r="M687" t="n">
        <v>0</v>
      </c>
      <c r="N687" t="n">
        <v>0</v>
      </c>
      <c r="O687" t="n">
        <v>0</v>
      </c>
      <c r="P687" t="n">
        <v>0</v>
      </c>
      <c r="Q687" t="n">
        <v>0</v>
      </c>
      <c r="R687" s="2" t="inlineStr"/>
    </row>
    <row r="688" ht="15" customHeight="1">
      <c r="A688" t="inlineStr">
        <is>
          <t>A 343-2025</t>
        </is>
      </c>
      <c r="B688" s="1" t="n">
        <v>45660.71824074074</v>
      </c>
      <c r="C688" s="1" t="n">
        <v>46012</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19645-2025</t>
        </is>
      </c>
      <c r="B689" s="1" t="n">
        <v>45770.65983796296</v>
      </c>
      <c r="C689" s="1" t="n">
        <v>46012</v>
      </c>
      <c r="D689" t="inlineStr">
        <is>
          <t>ÖSTERGÖTLANDS LÄN</t>
        </is>
      </c>
      <c r="E689" t="inlineStr">
        <is>
          <t>KINDA</t>
        </is>
      </c>
      <c r="F689" t="inlineStr">
        <is>
          <t>Allmännings- och besparingsskogar</t>
        </is>
      </c>
      <c r="G689" t="n">
        <v>2.4</v>
      </c>
      <c r="H689" t="n">
        <v>0</v>
      </c>
      <c r="I689" t="n">
        <v>0</v>
      </c>
      <c r="J689" t="n">
        <v>0</v>
      </c>
      <c r="K689" t="n">
        <v>0</v>
      </c>
      <c r="L689" t="n">
        <v>0</v>
      </c>
      <c r="M689" t="n">
        <v>0</v>
      </c>
      <c r="N689" t="n">
        <v>0</v>
      </c>
      <c r="O689" t="n">
        <v>0</v>
      </c>
      <c r="P689" t="n">
        <v>0</v>
      </c>
      <c r="Q689" t="n">
        <v>0</v>
      </c>
      <c r="R689" s="2" t="inlineStr"/>
    </row>
    <row r="690" ht="15" customHeight="1">
      <c r="A690" t="inlineStr">
        <is>
          <t>A 20701-2025</t>
        </is>
      </c>
      <c r="B690" s="1" t="n">
        <v>45776.47818287037</v>
      </c>
      <c r="C690" s="1" t="n">
        <v>46012</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row>
    <row r="691" ht="15" customHeight="1">
      <c r="A691" t="inlineStr">
        <is>
          <t>A 20677-2025</t>
        </is>
      </c>
      <c r="B691" s="1" t="n">
        <v>45776.44575231482</v>
      </c>
      <c r="C691" s="1" t="n">
        <v>46012</v>
      </c>
      <c r="D691" t="inlineStr">
        <is>
          <t>ÖSTERGÖTLANDS LÄN</t>
        </is>
      </c>
      <c r="E691" t="inlineStr">
        <is>
          <t>KINDA</t>
        </is>
      </c>
      <c r="G691" t="n">
        <v>5.1</v>
      </c>
      <c r="H691" t="n">
        <v>0</v>
      </c>
      <c r="I691" t="n">
        <v>0</v>
      </c>
      <c r="J691" t="n">
        <v>0</v>
      </c>
      <c r="K691" t="n">
        <v>0</v>
      </c>
      <c r="L691" t="n">
        <v>0</v>
      </c>
      <c r="M691" t="n">
        <v>0</v>
      </c>
      <c r="N691" t="n">
        <v>0</v>
      </c>
      <c r="O691" t="n">
        <v>0</v>
      </c>
      <c r="P691" t="n">
        <v>0</v>
      </c>
      <c r="Q691" t="n">
        <v>0</v>
      </c>
      <c r="R691" s="2" t="inlineStr"/>
    </row>
    <row r="692" ht="15" customHeight="1">
      <c r="A692" t="inlineStr">
        <is>
          <t>A 20711-2025</t>
        </is>
      </c>
      <c r="B692" s="1" t="n">
        <v>45776.48627314815</v>
      </c>
      <c r="C692" s="1" t="n">
        <v>46012</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21049-2025</t>
        </is>
      </c>
      <c r="B693" s="1" t="n">
        <v>45777.55960648148</v>
      </c>
      <c r="C693" s="1" t="n">
        <v>46012</v>
      </c>
      <c r="D693" t="inlineStr">
        <is>
          <t>ÖSTERGÖTLANDS LÄN</t>
        </is>
      </c>
      <c r="E693" t="inlineStr">
        <is>
          <t>KINDA</t>
        </is>
      </c>
      <c r="G693" t="n">
        <v>2</v>
      </c>
      <c r="H693" t="n">
        <v>0</v>
      </c>
      <c r="I693" t="n">
        <v>0</v>
      </c>
      <c r="J693" t="n">
        <v>0</v>
      </c>
      <c r="K693" t="n">
        <v>0</v>
      </c>
      <c r="L693" t="n">
        <v>0</v>
      </c>
      <c r="M693" t="n">
        <v>0</v>
      </c>
      <c r="N693" t="n">
        <v>0</v>
      </c>
      <c r="O693" t="n">
        <v>0</v>
      </c>
      <c r="P693" t="n">
        <v>0</v>
      </c>
      <c r="Q693" t="n">
        <v>0</v>
      </c>
      <c r="R693" s="2" t="inlineStr"/>
    </row>
    <row r="694" ht="15" customHeight="1">
      <c r="A694" t="inlineStr">
        <is>
          <t>A 20997-2025</t>
        </is>
      </c>
      <c r="B694" s="1" t="n">
        <v>45777.48113425926</v>
      </c>
      <c r="C694" s="1" t="n">
        <v>46012</v>
      </c>
      <c r="D694" t="inlineStr">
        <is>
          <t>ÖSTERGÖTLANDS LÄN</t>
        </is>
      </c>
      <c r="E694" t="inlineStr">
        <is>
          <t>KINDA</t>
        </is>
      </c>
      <c r="G694" t="n">
        <v>1.6</v>
      </c>
      <c r="H694" t="n">
        <v>0</v>
      </c>
      <c r="I694" t="n">
        <v>0</v>
      </c>
      <c r="J694" t="n">
        <v>0</v>
      </c>
      <c r="K694" t="n">
        <v>0</v>
      </c>
      <c r="L694" t="n">
        <v>0</v>
      </c>
      <c r="M694" t="n">
        <v>0</v>
      </c>
      <c r="N694" t="n">
        <v>0</v>
      </c>
      <c r="O694" t="n">
        <v>0</v>
      </c>
      <c r="P694" t="n">
        <v>0</v>
      </c>
      <c r="Q694" t="n">
        <v>0</v>
      </c>
      <c r="R694" s="2" t="inlineStr"/>
    </row>
    <row r="695" ht="15" customHeight="1">
      <c r="A695" t="inlineStr">
        <is>
          <t>A 21948-2025</t>
        </is>
      </c>
      <c r="B695" s="1" t="n">
        <v>45784.59287037037</v>
      </c>
      <c r="C695" s="1" t="n">
        <v>46012</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9615-2024</t>
        </is>
      </c>
      <c r="B696" s="1" t="n">
        <v>45361.75074074074</v>
      </c>
      <c r="C696" s="1" t="n">
        <v>46012</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10621-2023</t>
        </is>
      </c>
      <c r="B697" s="1" t="n">
        <v>44988</v>
      </c>
      <c r="C697" s="1" t="n">
        <v>46012</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22473-2025</t>
        </is>
      </c>
      <c r="B698" s="1" t="n">
        <v>45786.62056712963</v>
      </c>
      <c r="C698" s="1" t="n">
        <v>46012</v>
      </c>
      <c r="D698" t="inlineStr">
        <is>
          <t>ÖSTERGÖTLANDS LÄN</t>
        </is>
      </c>
      <c r="E698" t="inlineStr">
        <is>
          <t>KINDA</t>
        </is>
      </c>
      <c r="G698" t="n">
        <v>3.1</v>
      </c>
      <c r="H698" t="n">
        <v>0</v>
      </c>
      <c r="I698" t="n">
        <v>0</v>
      </c>
      <c r="J698" t="n">
        <v>0</v>
      </c>
      <c r="K698" t="n">
        <v>0</v>
      </c>
      <c r="L698" t="n">
        <v>0</v>
      </c>
      <c r="M698" t="n">
        <v>0</v>
      </c>
      <c r="N698" t="n">
        <v>0</v>
      </c>
      <c r="O698" t="n">
        <v>0</v>
      </c>
      <c r="P698" t="n">
        <v>0</v>
      </c>
      <c r="Q698" t="n">
        <v>0</v>
      </c>
      <c r="R698" s="2" t="inlineStr"/>
    </row>
    <row r="699" ht="15" customHeight="1">
      <c r="A699" t="inlineStr">
        <is>
          <t>A 17047-2025</t>
        </is>
      </c>
      <c r="B699" s="1" t="n">
        <v>45755.59559027778</v>
      </c>
      <c r="C699" s="1" t="n">
        <v>46012</v>
      </c>
      <c r="D699" t="inlineStr">
        <is>
          <t>ÖSTERGÖTLANDS LÄN</t>
        </is>
      </c>
      <c r="E699" t="inlineStr">
        <is>
          <t>KINDA</t>
        </is>
      </c>
      <c r="G699" t="n">
        <v>2.4</v>
      </c>
      <c r="H699" t="n">
        <v>0</v>
      </c>
      <c r="I699" t="n">
        <v>0</v>
      </c>
      <c r="J699" t="n">
        <v>0</v>
      </c>
      <c r="K699" t="n">
        <v>0</v>
      </c>
      <c r="L699" t="n">
        <v>0</v>
      </c>
      <c r="M699" t="n">
        <v>0</v>
      </c>
      <c r="N699" t="n">
        <v>0</v>
      </c>
      <c r="O699" t="n">
        <v>0</v>
      </c>
      <c r="P699" t="n">
        <v>0</v>
      </c>
      <c r="Q699" t="n">
        <v>0</v>
      </c>
      <c r="R699" s="2" t="inlineStr"/>
    </row>
    <row r="700" ht="15" customHeight="1">
      <c r="A700" t="inlineStr">
        <is>
          <t>A 17046-2025</t>
        </is>
      </c>
      <c r="B700" s="1" t="n">
        <v>45755.59457175926</v>
      </c>
      <c r="C700" s="1" t="n">
        <v>46012</v>
      </c>
      <c r="D700" t="inlineStr">
        <is>
          <t>ÖSTERGÖTLANDS LÄN</t>
        </is>
      </c>
      <c r="E700" t="inlineStr">
        <is>
          <t>KINDA</t>
        </is>
      </c>
      <c r="G700" t="n">
        <v>1</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46012</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22044-2025</t>
        </is>
      </c>
      <c r="B702" s="1" t="n">
        <v>45785.34126157407</v>
      </c>
      <c r="C702" s="1" t="n">
        <v>46012</v>
      </c>
      <c r="D702" t="inlineStr">
        <is>
          <t>ÖSTERGÖTLANDS LÄN</t>
        </is>
      </c>
      <c r="E702" t="inlineStr">
        <is>
          <t>KINDA</t>
        </is>
      </c>
      <c r="G702" t="n">
        <v>0.9</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46012</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34661-2024</t>
        </is>
      </c>
      <c r="B704" s="1" t="n">
        <v>45526</v>
      </c>
      <c r="C704" s="1" t="n">
        <v>46012</v>
      </c>
      <c r="D704" t="inlineStr">
        <is>
          <t>ÖSTERGÖTLANDS LÄN</t>
        </is>
      </c>
      <c r="E704" t="inlineStr">
        <is>
          <t>KINDA</t>
        </is>
      </c>
      <c r="G704" t="n">
        <v>2.1</v>
      </c>
      <c r="H704" t="n">
        <v>0</v>
      </c>
      <c r="I704" t="n">
        <v>0</v>
      </c>
      <c r="J704" t="n">
        <v>0</v>
      </c>
      <c r="K704" t="n">
        <v>0</v>
      </c>
      <c r="L704" t="n">
        <v>0</v>
      </c>
      <c r="M704" t="n">
        <v>0</v>
      </c>
      <c r="N704" t="n">
        <v>0</v>
      </c>
      <c r="O704" t="n">
        <v>0</v>
      </c>
      <c r="P704" t="n">
        <v>0</v>
      </c>
      <c r="Q704" t="n">
        <v>0</v>
      </c>
      <c r="R704" s="2" t="inlineStr"/>
    </row>
    <row r="705" ht="15" customHeight="1">
      <c r="A705" t="inlineStr">
        <is>
          <t>A 22804-2025</t>
        </is>
      </c>
      <c r="B705" s="1" t="n">
        <v>45789.67196759259</v>
      </c>
      <c r="C705" s="1" t="n">
        <v>46012</v>
      </c>
      <c r="D705" t="inlineStr">
        <is>
          <t>ÖSTERGÖTLANDS LÄN</t>
        </is>
      </c>
      <c r="E705" t="inlineStr">
        <is>
          <t>KINDA</t>
        </is>
      </c>
      <c r="G705" t="n">
        <v>2.5</v>
      </c>
      <c r="H705" t="n">
        <v>0</v>
      </c>
      <c r="I705" t="n">
        <v>0</v>
      </c>
      <c r="J705" t="n">
        <v>0</v>
      </c>
      <c r="K705" t="n">
        <v>0</v>
      </c>
      <c r="L705" t="n">
        <v>0</v>
      </c>
      <c r="M705" t="n">
        <v>0</v>
      </c>
      <c r="N705" t="n">
        <v>0</v>
      </c>
      <c r="O705" t="n">
        <v>0</v>
      </c>
      <c r="P705" t="n">
        <v>0</v>
      </c>
      <c r="Q705" t="n">
        <v>0</v>
      </c>
      <c r="R705" s="2" t="inlineStr"/>
    </row>
    <row r="706" ht="15" customHeight="1">
      <c r="A706" t="inlineStr">
        <is>
          <t>A 23437-2025</t>
        </is>
      </c>
      <c r="B706" s="1" t="n">
        <v>45792.37238425926</v>
      </c>
      <c r="C706" s="1" t="n">
        <v>46012</v>
      </c>
      <c r="D706" t="inlineStr">
        <is>
          <t>ÖSTERGÖTLANDS LÄN</t>
        </is>
      </c>
      <c r="E706" t="inlineStr">
        <is>
          <t>KINDA</t>
        </is>
      </c>
      <c r="G706" t="n">
        <v>5.2</v>
      </c>
      <c r="H706" t="n">
        <v>0</v>
      </c>
      <c r="I706" t="n">
        <v>0</v>
      </c>
      <c r="J706" t="n">
        <v>0</v>
      </c>
      <c r="K706" t="n">
        <v>0</v>
      </c>
      <c r="L706" t="n">
        <v>0</v>
      </c>
      <c r="M706" t="n">
        <v>0</v>
      </c>
      <c r="N706" t="n">
        <v>0</v>
      </c>
      <c r="O706" t="n">
        <v>0</v>
      </c>
      <c r="P706" t="n">
        <v>0</v>
      </c>
      <c r="Q706" t="n">
        <v>0</v>
      </c>
      <c r="R706" s="2" t="inlineStr"/>
    </row>
    <row r="707">
      <c r="A707" t="inlineStr">
        <is>
          <t>A 23372-2025</t>
        </is>
      </c>
      <c r="B707" s="1" t="n">
        <v>45791</v>
      </c>
      <c r="C707" s="1" t="n">
        <v>46012</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2025-12-21T10:37:48Z</dcterms:created>
  <dcterms:modified xmlns:dcterms="http://purl.org/dc/terms/" xmlns:xsi="http://www.w3.org/2001/XMLSchema-instance" xsi:type="dcterms:W3CDTF">2025-12-21T10:37:49Z</dcterms:modified>
</cp:coreProperties>
</file>