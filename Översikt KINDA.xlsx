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46126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46126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46126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46126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46126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46126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46126</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46126</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46126</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46126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46126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46126</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46126</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41583-2025</t>
        </is>
      </c>
      <c r="B15" s="1" t="n">
        <v>45901.62307870371</v>
      </c>
      <c r="C15" s="1" t="n">
        <v>46126</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46126</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52898-2025</t>
        </is>
      </c>
      <c r="B17" s="1" t="n">
        <v>45957.58760416666</v>
      </c>
      <c r="C17" s="1" t="n">
        <v>46126</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46126</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46126</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8356-2026</t>
        </is>
      </c>
      <c r="B20" s="1" t="n">
        <v>46064.65232638889</v>
      </c>
      <c r="C20" s="1" t="n">
        <v>46126</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6298-2025</t>
        </is>
      </c>
      <c r="B21" s="1" t="n">
        <v>45698.67474537037</v>
      </c>
      <c r="C21" s="1" t="n">
        <v>46126</v>
      </c>
      <c r="D21" t="inlineStr">
        <is>
          <t>ÖSTERGÖTLANDS LÄN</t>
        </is>
      </c>
      <c r="E21" t="inlineStr">
        <is>
          <t>KINDA</t>
        </is>
      </c>
      <c r="G21" t="n">
        <v>1.5</v>
      </c>
      <c r="H21" t="n">
        <v>0</v>
      </c>
      <c r="I21" t="n">
        <v>1</v>
      </c>
      <c r="J21" t="n">
        <v>1</v>
      </c>
      <c r="K21" t="n">
        <v>0</v>
      </c>
      <c r="L21" t="n">
        <v>0</v>
      </c>
      <c r="M21" t="n">
        <v>0</v>
      </c>
      <c r="N21" t="n">
        <v>0</v>
      </c>
      <c r="O21" t="n">
        <v>1</v>
      </c>
      <c r="P21" t="n">
        <v>0</v>
      </c>
      <c r="Q21" t="n">
        <v>2</v>
      </c>
      <c r="R21" s="2" t="inlineStr">
        <is>
          <t>Vedtrappmossa
Bronshjon</t>
        </is>
      </c>
      <c r="S21">
        <f>HYPERLINK("https://klasma.github.io/Logging_0513/artfynd/A 6298-2025 artfynd.xlsx", "A 6298-2025")</f>
        <v/>
      </c>
      <c r="T21">
        <f>HYPERLINK("https://klasma.github.io/Logging_0513/kartor/A 6298-2025 karta.png", "A 6298-2025")</f>
        <v/>
      </c>
      <c r="V21">
        <f>HYPERLINK("https://klasma.github.io/Logging_0513/klagomål/A 6298-2025 FSC-klagomål.docx", "A 6298-2025")</f>
        <v/>
      </c>
      <c r="W21">
        <f>HYPERLINK("https://klasma.github.io/Logging_0513/klagomålsmail/A 6298-2025 FSC-klagomål mail.docx", "A 6298-2025")</f>
        <v/>
      </c>
      <c r="X21">
        <f>HYPERLINK("https://klasma.github.io/Logging_0513/tillsyn/A 6298-2025 tillsynsbegäran.docx", "A 6298-2025")</f>
        <v/>
      </c>
      <c r="Y21">
        <f>HYPERLINK("https://klasma.github.io/Logging_0513/tillsynsmail/A 6298-2025 tillsynsbegäran mail.docx", "A 6298-2025")</f>
        <v/>
      </c>
    </row>
    <row r="22" ht="15" customHeight="1">
      <c r="A22" t="inlineStr">
        <is>
          <t>A 22006-2025</t>
        </is>
      </c>
      <c r="B22" s="1" t="n">
        <v>45784.71938657408</v>
      </c>
      <c r="C22" s="1" t="n">
        <v>46126</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878-2024</t>
        </is>
      </c>
      <c r="B23" s="1" t="n">
        <v>45301</v>
      </c>
      <c r="C23" s="1" t="n">
        <v>46126</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46126</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53708-2025</t>
        </is>
      </c>
      <c r="B25" s="1" t="n">
        <v>45960.61328703703</v>
      </c>
      <c r="C25" s="1" t="n">
        <v>46126</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5588-2025</t>
        </is>
      </c>
      <c r="B26" s="1" t="n">
        <v>45693.56063657408</v>
      </c>
      <c r="C26" s="1" t="n">
        <v>46126</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46126</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46126</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46154-2023</t>
        </is>
      </c>
      <c r="B29" s="1" t="n">
        <v>45196</v>
      </c>
      <c r="C29" s="1" t="n">
        <v>46126</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46126</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29627-2022</t>
        </is>
      </c>
      <c r="B31" s="1" t="n">
        <v>44754</v>
      </c>
      <c r="C31" s="1" t="n">
        <v>46126</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46126</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46126</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40100-2021</t>
        </is>
      </c>
      <c r="B34" s="1" t="n">
        <v>44418</v>
      </c>
      <c r="C34" s="1" t="n">
        <v>46126</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3417-2025</t>
        </is>
      </c>
      <c r="B35" s="1" t="n">
        <v>45680.41096064815</v>
      </c>
      <c r="C35" s="1" t="n">
        <v>46126</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21473-2022</t>
        </is>
      </c>
      <c r="B36" s="1" t="n">
        <v>44706</v>
      </c>
      <c r="C36" s="1" t="n">
        <v>46126</v>
      </c>
      <c r="D36" t="inlineStr">
        <is>
          <t>ÖSTERGÖTLANDS LÄN</t>
        </is>
      </c>
      <c r="E36" t="inlineStr">
        <is>
          <t>KINDA</t>
        </is>
      </c>
      <c r="G36" t="n">
        <v>6.4</v>
      </c>
      <c r="H36" t="n">
        <v>1</v>
      </c>
      <c r="I36" t="n">
        <v>0</v>
      </c>
      <c r="J36" t="n">
        <v>0</v>
      </c>
      <c r="K36" t="n">
        <v>0</v>
      </c>
      <c r="L36" t="n">
        <v>0</v>
      </c>
      <c r="M36" t="n">
        <v>0</v>
      </c>
      <c r="N36" t="n">
        <v>0</v>
      </c>
      <c r="O36" t="n">
        <v>0</v>
      </c>
      <c r="P36" t="n">
        <v>0</v>
      </c>
      <c r="Q36" t="n">
        <v>1</v>
      </c>
      <c r="R36" s="2" t="inlineStr">
        <is>
          <t>Revlummer</t>
        </is>
      </c>
      <c r="S36">
        <f>HYPERLINK("https://klasma.github.io/Logging_0513/artfynd/A 21473-2022 artfynd.xlsx", "A 21473-2022")</f>
        <v/>
      </c>
      <c r="T36">
        <f>HYPERLINK("https://klasma.github.io/Logging_0513/kartor/A 21473-2022 karta.png", "A 21473-2022")</f>
        <v/>
      </c>
      <c r="V36">
        <f>HYPERLINK("https://klasma.github.io/Logging_0513/klagomål/A 21473-2022 FSC-klagomål.docx", "A 21473-2022")</f>
        <v/>
      </c>
      <c r="W36">
        <f>HYPERLINK("https://klasma.github.io/Logging_0513/klagomålsmail/A 21473-2022 FSC-klagomål mail.docx", "A 21473-2022")</f>
        <v/>
      </c>
      <c r="X36">
        <f>HYPERLINK("https://klasma.github.io/Logging_0513/tillsyn/A 21473-2022 tillsynsbegäran.docx", "A 21473-2022")</f>
        <v/>
      </c>
      <c r="Y36">
        <f>HYPERLINK("https://klasma.github.io/Logging_0513/tillsynsmail/A 21473-2022 tillsynsbegäran mail.docx", "A 21473-2022")</f>
        <v/>
      </c>
    </row>
    <row r="37" ht="15" customHeight="1">
      <c r="A37" t="inlineStr">
        <is>
          <t>A 12801-2022</t>
        </is>
      </c>
      <c r="B37" s="1" t="n">
        <v>44642</v>
      </c>
      <c r="C37" s="1" t="n">
        <v>46126</v>
      </c>
      <c r="D37" t="inlineStr">
        <is>
          <t>ÖSTERGÖTLANDS LÄN</t>
        </is>
      </c>
      <c r="E37" t="inlineStr">
        <is>
          <t>KINDA</t>
        </is>
      </c>
      <c r="G37" t="n">
        <v>3.9</v>
      </c>
      <c r="H37" t="n">
        <v>1</v>
      </c>
      <c r="I37" t="n">
        <v>0</v>
      </c>
      <c r="J37" t="n">
        <v>0</v>
      </c>
      <c r="K37" t="n">
        <v>0</v>
      </c>
      <c r="L37" t="n">
        <v>0</v>
      </c>
      <c r="M37" t="n">
        <v>0</v>
      </c>
      <c r="N37" t="n">
        <v>0</v>
      </c>
      <c r="O37" t="n">
        <v>0</v>
      </c>
      <c r="P37" t="n">
        <v>0</v>
      </c>
      <c r="Q37" t="n">
        <v>1</v>
      </c>
      <c r="R37" s="2" t="inlineStr">
        <is>
          <t>Revlummer</t>
        </is>
      </c>
      <c r="S37">
        <f>HYPERLINK("https://klasma.github.io/Logging_0513/artfynd/A 12801-2022 artfynd.xlsx", "A 12801-2022")</f>
        <v/>
      </c>
      <c r="T37">
        <f>HYPERLINK("https://klasma.github.io/Logging_0513/kartor/A 12801-2022 karta.png", "A 12801-2022")</f>
        <v/>
      </c>
      <c r="V37">
        <f>HYPERLINK("https://klasma.github.io/Logging_0513/klagomål/A 12801-2022 FSC-klagomål.docx", "A 12801-2022")</f>
        <v/>
      </c>
      <c r="W37">
        <f>HYPERLINK("https://klasma.github.io/Logging_0513/klagomålsmail/A 12801-2022 FSC-klagomål mail.docx", "A 12801-2022")</f>
        <v/>
      </c>
      <c r="X37">
        <f>HYPERLINK("https://klasma.github.io/Logging_0513/tillsyn/A 12801-2022 tillsynsbegäran.docx", "A 12801-2022")</f>
        <v/>
      </c>
      <c r="Y37">
        <f>HYPERLINK("https://klasma.github.io/Logging_0513/tillsynsmail/A 12801-2022 tillsynsbegäran mail.docx", "A 12801-2022")</f>
        <v/>
      </c>
    </row>
    <row r="38" ht="15" customHeight="1">
      <c r="A38" t="inlineStr">
        <is>
          <t>A 31824-2025</t>
        </is>
      </c>
      <c r="B38" s="1" t="n">
        <v>45834.58208333333</v>
      </c>
      <c r="C38" s="1" t="n">
        <v>46126</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3378-2024</t>
        </is>
      </c>
      <c r="B39" s="1" t="n">
        <v>45317</v>
      </c>
      <c r="C39" s="1" t="n">
        <v>46126</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48448-2021</t>
        </is>
      </c>
      <c r="B40" s="1" t="n">
        <v>44452</v>
      </c>
      <c r="C40" s="1" t="n">
        <v>46126</v>
      </c>
      <c r="D40" t="inlineStr">
        <is>
          <t>ÖSTERGÖTLANDS LÄN</t>
        </is>
      </c>
      <c r="E40" t="inlineStr">
        <is>
          <t>KINDA</t>
        </is>
      </c>
      <c r="F40" t="inlineStr">
        <is>
          <t>Övriga Aktiebolag</t>
        </is>
      </c>
      <c r="G40" t="n">
        <v>4.1</v>
      </c>
      <c r="H40" t="n">
        <v>1</v>
      </c>
      <c r="I40" t="n">
        <v>0</v>
      </c>
      <c r="J40" t="n">
        <v>1</v>
      </c>
      <c r="K40" t="n">
        <v>0</v>
      </c>
      <c r="L40" t="n">
        <v>0</v>
      </c>
      <c r="M40" t="n">
        <v>0</v>
      </c>
      <c r="N40" t="n">
        <v>0</v>
      </c>
      <c r="O40" t="n">
        <v>1</v>
      </c>
      <c r="P40" t="n">
        <v>0</v>
      </c>
      <c r="Q40" t="n">
        <v>1</v>
      </c>
      <c r="R40" s="2" t="inlineStr">
        <is>
          <t>Talltita</t>
        </is>
      </c>
      <c r="S40">
        <f>HYPERLINK("https://klasma.github.io/Logging_0513/artfynd/A 48448-2021 artfynd.xlsx", "A 48448-2021")</f>
        <v/>
      </c>
      <c r="T40">
        <f>HYPERLINK("https://klasma.github.io/Logging_0513/kartor/A 48448-2021 karta.png", "A 48448-2021")</f>
        <v/>
      </c>
      <c r="V40">
        <f>HYPERLINK("https://klasma.github.io/Logging_0513/klagomål/A 48448-2021 FSC-klagomål.docx", "A 48448-2021")</f>
        <v/>
      </c>
      <c r="W40">
        <f>HYPERLINK("https://klasma.github.io/Logging_0513/klagomålsmail/A 48448-2021 FSC-klagomål mail.docx", "A 48448-2021")</f>
        <v/>
      </c>
      <c r="X40">
        <f>HYPERLINK("https://klasma.github.io/Logging_0513/tillsyn/A 48448-2021 tillsynsbegäran.docx", "A 48448-2021")</f>
        <v/>
      </c>
      <c r="Y40">
        <f>HYPERLINK("https://klasma.github.io/Logging_0513/tillsynsmail/A 48448-2021 tillsynsbegäran mail.docx", "A 48448-2021")</f>
        <v/>
      </c>
      <c r="Z40">
        <f>HYPERLINK("https://klasma.github.io/Logging_0513/fåglar/A 48448-2021 prioriterade fågelarter.docx", "A 48448-2021")</f>
        <v/>
      </c>
    </row>
    <row r="41" ht="15" customHeight="1">
      <c r="A41" t="inlineStr">
        <is>
          <t>A 54872-2022</t>
        </is>
      </c>
      <c r="B41" s="1" t="n">
        <v>44886</v>
      </c>
      <c r="C41" s="1" t="n">
        <v>46126</v>
      </c>
      <c r="D41" t="inlineStr">
        <is>
          <t>ÖSTERGÖTLANDS LÄN</t>
        </is>
      </c>
      <c r="E41" t="inlineStr">
        <is>
          <t>KINDA</t>
        </is>
      </c>
      <c r="G41" t="n">
        <v>1.1</v>
      </c>
      <c r="H41" t="n">
        <v>1</v>
      </c>
      <c r="I41" t="n">
        <v>0</v>
      </c>
      <c r="J41" t="n">
        <v>0</v>
      </c>
      <c r="K41" t="n">
        <v>0</v>
      </c>
      <c r="L41" t="n">
        <v>0</v>
      </c>
      <c r="M41" t="n">
        <v>0</v>
      </c>
      <c r="N41" t="n">
        <v>0</v>
      </c>
      <c r="O41" t="n">
        <v>0</v>
      </c>
      <c r="P41" t="n">
        <v>0</v>
      </c>
      <c r="Q41" t="n">
        <v>1</v>
      </c>
      <c r="R41" s="2" t="inlineStr">
        <is>
          <t>Tjäder</t>
        </is>
      </c>
      <c r="S41">
        <f>HYPERLINK("https://klasma.github.io/Logging_0513/artfynd/A 54872-2022 artfynd.xlsx", "A 54872-2022")</f>
        <v/>
      </c>
      <c r="T41">
        <f>HYPERLINK("https://klasma.github.io/Logging_0513/kartor/A 54872-2022 karta.png", "A 54872-2022")</f>
        <v/>
      </c>
      <c r="V41">
        <f>HYPERLINK("https://klasma.github.io/Logging_0513/klagomål/A 54872-2022 FSC-klagomål.docx", "A 54872-2022")</f>
        <v/>
      </c>
      <c r="W41">
        <f>HYPERLINK("https://klasma.github.io/Logging_0513/klagomålsmail/A 54872-2022 FSC-klagomål mail.docx", "A 54872-2022")</f>
        <v/>
      </c>
      <c r="X41">
        <f>HYPERLINK("https://klasma.github.io/Logging_0513/tillsyn/A 54872-2022 tillsynsbegäran.docx", "A 54872-2022")</f>
        <v/>
      </c>
      <c r="Y41">
        <f>HYPERLINK("https://klasma.github.io/Logging_0513/tillsynsmail/A 54872-2022 tillsynsbegäran mail.docx", "A 54872-2022")</f>
        <v/>
      </c>
      <c r="Z41">
        <f>HYPERLINK("https://klasma.github.io/Logging_0513/fåglar/A 54872-2022 prioriterade fågelarter.docx", "A 54872-2022")</f>
        <v/>
      </c>
    </row>
    <row r="42" ht="15" customHeight="1">
      <c r="A42" t="inlineStr">
        <is>
          <t>A 60958-2022</t>
        </is>
      </c>
      <c r="B42" s="1" t="n">
        <v>44914.64768518518</v>
      </c>
      <c r="C42" s="1" t="n">
        <v>46126</v>
      </c>
      <c r="D42" t="inlineStr">
        <is>
          <t>ÖSTERGÖTLANDS LÄN</t>
        </is>
      </c>
      <c r="E42" t="inlineStr">
        <is>
          <t>KINDA</t>
        </is>
      </c>
      <c r="G42" t="n">
        <v>3.2</v>
      </c>
      <c r="H42" t="n">
        <v>0</v>
      </c>
      <c r="I42" t="n">
        <v>0</v>
      </c>
      <c r="J42" t="n">
        <v>0</v>
      </c>
      <c r="K42" t="n">
        <v>0</v>
      </c>
      <c r="L42" t="n">
        <v>1</v>
      </c>
      <c r="M42" t="n">
        <v>0</v>
      </c>
      <c r="N42" t="n">
        <v>0</v>
      </c>
      <c r="O42" t="n">
        <v>1</v>
      </c>
      <c r="P42" t="n">
        <v>1</v>
      </c>
      <c r="Q42" t="n">
        <v>1</v>
      </c>
      <c r="R42" s="2" t="inlineStr">
        <is>
          <t>Puckelmaskros</t>
        </is>
      </c>
      <c r="S42">
        <f>HYPERLINK("https://klasma.github.io/Logging_0513/artfynd/A 60958-2022 artfynd.xlsx", "A 60958-2022")</f>
        <v/>
      </c>
      <c r="T42">
        <f>HYPERLINK("https://klasma.github.io/Logging_0513/kartor/A 60958-2022 karta.png", "A 60958-2022")</f>
        <v/>
      </c>
      <c r="V42">
        <f>HYPERLINK("https://klasma.github.io/Logging_0513/klagomål/A 60958-2022 FSC-klagomål.docx", "A 60958-2022")</f>
        <v/>
      </c>
      <c r="W42">
        <f>HYPERLINK("https://klasma.github.io/Logging_0513/klagomålsmail/A 60958-2022 FSC-klagomål mail.docx", "A 60958-2022")</f>
        <v/>
      </c>
      <c r="X42">
        <f>HYPERLINK("https://klasma.github.io/Logging_0513/tillsyn/A 60958-2022 tillsynsbegäran.docx", "A 60958-2022")</f>
        <v/>
      </c>
      <c r="Y42">
        <f>HYPERLINK("https://klasma.github.io/Logging_0513/tillsynsmail/A 60958-2022 tillsynsbegäran mail.docx", "A 60958-2022")</f>
        <v/>
      </c>
    </row>
    <row r="43" ht="15" customHeight="1">
      <c r="A43" t="inlineStr">
        <is>
          <t>A 10020-2025</t>
        </is>
      </c>
      <c r="B43" s="1" t="n">
        <v>45719.48104166667</v>
      </c>
      <c r="C43" s="1" t="n">
        <v>46126</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19162-2025</t>
        </is>
      </c>
      <c r="B44" s="1" t="n">
        <v>45769.37408564815</v>
      </c>
      <c r="C44" s="1" t="n">
        <v>46126</v>
      </c>
      <c r="D44" t="inlineStr">
        <is>
          <t>ÖSTERGÖTLANDS LÄN</t>
        </is>
      </c>
      <c r="E44" t="inlineStr">
        <is>
          <t>KINDA</t>
        </is>
      </c>
      <c r="F44" t="inlineStr">
        <is>
          <t>Övriga Aktiebolag</t>
        </is>
      </c>
      <c r="G44" t="n">
        <v>1.1</v>
      </c>
      <c r="H44" t="n">
        <v>0</v>
      </c>
      <c r="I44" t="n">
        <v>0</v>
      </c>
      <c r="J44" t="n">
        <v>1</v>
      </c>
      <c r="K44" t="n">
        <v>0</v>
      </c>
      <c r="L44" t="n">
        <v>0</v>
      </c>
      <c r="M44" t="n">
        <v>0</v>
      </c>
      <c r="N44" t="n">
        <v>0</v>
      </c>
      <c r="O44" t="n">
        <v>1</v>
      </c>
      <c r="P44" t="n">
        <v>0</v>
      </c>
      <c r="Q44" t="n">
        <v>1</v>
      </c>
      <c r="R44" s="2" t="inlineStr">
        <is>
          <t>Gullklöver</t>
        </is>
      </c>
      <c r="S44">
        <f>HYPERLINK("https://klasma.github.io/Logging_0513/artfynd/A 19162-2025 artfynd.xlsx", "A 19162-2025")</f>
        <v/>
      </c>
      <c r="T44">
        <f>HYPERLINK("https://klasma.github.io/Logging_0513/kartor/A 19162-2025 karta.png", "A 19162-2025")</f>
        <v/>
      </c>
      <c r="V44">
        <f>HYPERLINK("https://klasma.github.io/Logging_0513/klagomål/A 19162-2025 FSC-klagomål.docx", "A 19162-2025")</f>
        <v/>
      </c>
      <c r="W44">
        <f>HYPERLINK("https://klasma.github.io/Logging_0513/klagomålsmail/A 19162-2025 FSC-klagomål mail.docx", "A 19162-2025")</f>
        <v/>
      </c>
      <c r="X44">
        <f>HYPERLINK("https://klasma.github.io/Logging_0513/tillsyn/A 19162-2025 tillsynsbegäran.docx", "A 19162-2025")</f>
        <v/>
      </c>
      <c r="Y44">
        <f>HYPERLINK("https://klasma.github.io/Logging_0513/tillsynsmail/A 19162-2025 tillsynsbegäran mail.docx", "A 19162-2025")</f>
        <v/>
      </c>
    </row>
    <row r="45" ht="15" customHeight="1">
      <c r="A45" t="inlineStr">
        <is>
          <t>A 52899-2025</t>
        </is>
      </c>
      <c r="B45" s="1" t="n">
        <v>45957.58908564815</v>
      </c>
      <c r="C45" s="1" t="n">
        <v>46126</v>
      </c>
      <c r="D45" t="inlineStr">
        <is>
          <t>ÖSTERGÖTLANDS LÄN</t>
        </is>
      </c>
      <c r="E45" t="inlineStr">
        <is>
          <t>KINDA</t>
        </is>
      </c>
      <c r="G45" t="n">
        <v>1.1</v>
      </c>
      <c r="H45" t="n">
        <v>0</v>
      </c>
      <c r="I45" t="n">
        <v>0</v>
      </c>
      <c r="J45" t="n">
        <v>0</v>
      </c>
      <c r="K45" t="n">
        <v>0</v>
      </c>
      <c r="L45" t="n">
        <v>1</v>
      </c>
      <c r="M45" t="n">
        <v>0</v>
      </c>
      <c r="N45" t="n">
        <v>0</v>
      </c>
      <c r="O45" t="n">
        <v>1</v>
      </c>
      <c r="P45" t="n">
        <v>1</v>
      </c>
      <c r="Q45" t="n">
        <v>1</v>
      </c>
      <c r="R45" s="2" t="inlineStr">
        <is>
          <t>Ask</t>
        </is>
      </c>
      <c r="S45">
        <f>HYPERLINK("https://klasma.github.io/Logging_0513/artfynd/A 52899-2025 artfynd.xlsx", "A 52899-2025")</f>
        <v/>
      </c>
      <c r="T45">
        <f>HYPERLINK("https://klasma.github.io/Logging_0513/kartor/A 52899-2025 karta.png", "A 52899-2025")</f>
        <v/>
      </c>
      <c r="V45">
        <f>HYPERLINK("https://klasma.github.io/Logging_0513/klagomål/A 52899-2025 FSC-klagomål.docx", "A 52899-2025")</f>
        <v/>
      </c>
      <c r="W45">
        <f>HYPERLINK("https://klasma.github.io/Logging_0513/klagomålsmail/A 52899-2025 FSC-klagomål mail.docx", "A 52899-2025")</f>
        <v/>
      </c>
      <c r="X45">
        <f>HYPERLINK("https://klasma.github.io/Logging_0513/tillsyn/A 52899-2025 tillsynsbegäran.docx", "A 52899-2025")</f>
        <v/>
      </c>
      <c r="Y45">
        <f>HYPERLINK("https://klasma.github.io/Logging_0513/tillsynsmail/A 52899-2025 tillsynsbegäran mail.docx", "A 52899-2025")</f>
        <v/>
      </c>
    </row>
    <row r="46" ht="15" customHeight="1">
      <c r="A46" t="inlineStr">
        <is>
          <t>A 54475-2025</t>
        </is>
      </c>
      <c r="B46" s="1" t="n">
        <v>45965.57670138889</v>
      </c>
      <c r="C46" s="1" t="n">
        <v>46126</v>
      </c>
      <c r="D46" t="inlineStr">
        <is>
          <t>ÖSTERGÖTLANDS LÄN</t>
        </is>
      </c>
      <c r="E46" t="inlineStr">
        <is>
          <t>KINDA</t>
        </is>
      </c>
      <c r="G46" t="n">
        <v>1.2</v>
      </c>
      <c r="H46" t="n">
        <v>0</v>
      </c>
      <c r="I46" t="n">
        <v>1</v>
      </c>
      <c r="J46" t="n">
        <v>0</v>
      </c>
      <c r="K46" t="n">
        <v>0</v>
      </c>
      <c r="L46" t="n">
        <v>0</v>
      </c>
      <c r="M46" t="n">
        <v>0</v>
      </c>
      <c r="N46" t="n">
        <v>0</v>
      </c>
      <c r="O46" t="n">
        <v>0</v>
      </c>
      <c r="P46" t="n">
        <v>0</v>
      </c>
      <c r="Q46" t="n">
        <v>1</v>
      </c>
      <c r="R46" s="2" t="inlineStr">
        <is>
          <t>Tibast</t>
        </is>
      </c>
      <c r="S46">
        <f>HYPERLINK("https://klasma.github.io/Logging_0513/artfynd/A 54475-2025 artfynd.xlsx", "A 54475-2025")</f>
        <v/>
      </c>
      <c r="T46">
        <f>HYPERLINK("https://klasma.github.io/Logging_0513/kartor/A 54475-2025 karta.png", "A 54475-2025")</f>
        <v/>
      </c>
      <c r="V46">
        <f>HYPERLINK("https://klasma.github.io/Logging_0513/klagomål/A 54475-2025 FSC-klagomål.docx", "A 54475-2025")</f>
        <v/>
      </c>
      <c r="W46">
        <f>HYPERLINK("https://klasma.github.io/Logging_0513/klagomålsmail/A 54475-2025 FSC-klagomål mail.docx", "A 54475-2025")</f>
        <v/>
      </c>
      <c r="X46">
        <f>HYPERLINK("https://klasma.github.io/Logging_0513/tillsyn/A 54475-2025 tillsynsbegäran.docx", "A 54475-2025")</f>
        <v/>
      </c>
      <c r="Y46">
        <f>HYPERLINK("https://klasma.github.io/Logging_0513/tillsynsmail/A 54475-2025 tillsynsbegäran mail.docx", "A 54475-2025")</f>
        <v/>
      </c>
    </row>
    <row r="47" ht="15" customHeight="1">
      <c r="A47" t="inlineStr">
        <is>
          <t>A 40463-2021</t>
        </is>
      </c>
      <c r="B47" s="1" t="n">
        <v>44419</v>
      </c>
      <c r="C47" s="1" t="n">
        <v>46126</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33595-2025</t>
        </is>
      </c>
      <c r="B48" s="1" t="n">
        <v>45841.6012962963</v>
      </c>
      <c r="C48" s="1" t="n">
        <v>46126</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58113-2025</t>
        </is>
      </c>
      <c r="B49" s="1" t="n">
        <v>45982.6</v>
      </c>
      <c r="C49" s="1" t="n">
        <v>46126</v>
      </c>
      <c r="D49" t="inlineStr">
        <is>
          <t>ÖSTERGÖTLANDS LÄN</t>
        </is>
      </c>
      <c r="E49" t="inlineStr">
        <is>
          <t>KINDA</t>
        </is>
      </c>
      <c r="F49" t="inlineStr">
        <is>
          <t>Övriga Aktiebolag</t>
        </is>
      </c>
      <c r="G49" t="n">
        <v>5.2</v>
      </c>
      <c r="H49" t="n">
        <v>0</v>
      </c>
      <c r="I49" t="n">
        <v>0</v>
      </c>
      <c r="J49" t="n">
        <v>0</v>
      </c>
      <c r="K49" t="n">
        <v>0</v>
      </c>
      <c r="L49" t="n">
        <v>1</v>
      </c>
      <c r="M49" t="n">
        <v>0</v>
      </c>
      <c r="N49" t="n">
        <v>0</v>
      </c>
      <c r="O49" t="n">
        <v>1</v>
      </c>
      <c r="P49" t="n">
        <v>1</v>
      </c>
      <c r="Q49" t="n">
        <v>1</v>
      </c>
      <c r="R49" s="2" t="inlineStr">
        <is>
          <t>Ask</t>
        </is>
      </c>
      <c r="S49">
        <f>HYPERLINK("https://klasma.github.io/Logging_0513/artfynd/A 58113-2025 artfynd.xlsx", "A 58113-2025")</f>
        <v/>
      </c>
      <c r="T49">
        <f>HYPERLINK("https://klasma.github.io/Logging_0513/kartor/A 58113-2025 karta.png", "A 58113-2025")</f>
        <v/>
      </c>
      <c r="V49">
        <f>HYPERLINK("https://klasma.github.io/Logging_0513/klagomål/A 58113-2025 FSC-klagomål.docx", "A 58113-2025")</f>
        <v/>
      </c>
      <c r="W49">
        <f>HYPERLINK("https://klasma.github.io/Logging_0513/klagomålsmail/A 58113-2025 FSC-klagomål mail.docx", "A 58113-2025")</f>
        <v/>
      </c>
      <c r="X49">
        <f>HYPERLINK("https://klasma.github.io/Logging_0513/tillsyn/A 58113-2025 tillsynsbegäran.docx", "A 58113-2025")</f>
        <v/>
      </c>
      <c r="Y49">
        <f>HYPERLINK("https://klasma.github.io/Logging_0513/tillsynsmail/A 58113-2025 tillsynsbegäran mail.docx", "A 58113-2025")</f>
        <v/>
      </c>
    </row>
    <row r="50" ht="15" customHeight="1">
      <c r="A50" t="inlineStr">
        <is>
          <t>A 24071-2025</t>
        </is>
      </c>
      <c r="B50" s="1" t="n">
        <v>45796.54400462963</v>
      </c>
      <c r="C50" s="1" t="n">
        <v>46126</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44552-2021</t>
        </is>
      </c>
      <c r="B51" s="1" t="n">
        <v>44435</v>
      </c>
      <c r="C51" s="1" t="n">
        <v>46126</v>
      </c>
      <c r="D51" t="inlineStr">
        <is>
          <t>ÖSTERGÖTLANDS LÄN</t>
        </is>
      </c>
      <c r="E51" t="inlineStr">
        <is>
          <t>KINDA</t>
        </is>
      </c>
      <c r="G51" t="n">
        <v>3.7</v>
      </c>
      <c r="H51" t="n">
        <v>0</v>
      </c>
      <c r="I51" t="n">
        <v>0</v>
      </c>
      <c r="J51" t="n">
        <v>1</v>
      </c>
      <c r="K51" t="n">
        <v>0</v>
      </c>
      <c r="L51" t="n">
        <v>0</v>
      </c>
      <c r="M51" t="n">
        <v>0</v>
      </c>
      <c r="N51" t="n">
        <v>0</v>
      </c>
      <c r="O51" t="n">
        <v>1</v>
      </c>
      <c r="P51" t="n">
        <v>0</v>
      </c>
      <c r="Q51" t="n">
        <v>1</v>
      </c>
      <c r="R51" s="2" t="inlineStr">
        <is>
          <t>Storgröe</t>
        </is>
      </c>
      <c r="S51">
        <f>HYPERLINK("https://klasma.github.io/Logging_0513/artfynd/A 44552-2021 artfynd.xlsx", "A 44552-2021")</f>
        <v/>
      </c>
      <c r="T51">
        <f>HYPERLINK("https://klasma.github.io/Logging_0513/kartor/A 44552-2021 karta.png", "A 44552-2021")</f>
        <v/>
      </c>
      <c r="V51">
        <f>HYPERLINK("https://klasma.github.io/Logging_0513/klagomål/A 44552-2021 FSC-klagomål.docx", "A 44552-2021")</f>
        <v/>
      </c>
      <c r="W51">
        <f>HYPERLINK("https://klasma.github.io/Logging_0513/klagomålsmail/A 44552-2021 FSC-klagomål mail.docx", "A 44552-2021")</f>
        <v/>
      </c>
      <c r="X51">
        <f>HYPERLINK("https://klasma.github.io/Logging_0513/tillsyn/A 44552-2021 tillsynsbegäran.docx", "A 44552-2021")</f>
        <v/>
      </c>
      <c r="Y51">
        <f>HYPERLINK("https://klasma.github.io/Logging_0513/tillsynsmail/A 44552-2021 tillsynsbegäran mail.docx", "A 44552-2021")</f>
        <v/>
      </c>
    </row>
    <row r="52" ht="15" customHeight="1">
      <c r="A52" t="inlineStr">
        <is>
          <t>A 57522-2024</t>
        </is>
      </c>
      <c r="B52" s="1" t="n">
        <v>45630.41168981481</v>
      </c>
      <c r="C52" s="1" t="n">
        <v>46126</v>
      </c>
      <c r="D52" t="inlineStr">
        <is>
          <t>ÖSTERGÖTLANDS LÄN</t>
        </is>
      </c>
      <c r="E52" t="inlineStr">
        <is>
          <t>KINDA</t>
        </is>
      </c>
      <c r="G52" t="n">
        <v>3.3</v>
      </c>
      <c r="H52" t="n">
        <v>0</v>
      </c>
      <c r="I52" t="n">
        <v>0</v>
      </c>
      <c r="J52" t="n">
        <v>1</v>
      </c>
      <c r="K52" t="n">
        <v>0</v>
      </c>
      <c r="L52" t="n">
        <v>0</v>
      </c>
      <c r="M52" t="n">
        <v>0</v>
      </c>
      <c r="N52" t="n">
        <v>0</v>
      </c>
      <c r="O52" t="n">
        <v>1</v>
      </c>
      <c r="P52" t="n">
        <v>0</v>
      </c>
      <c r="Q52" t="n">
        <v>1</v>
      </c>
      <c r="R52" s="2" t="inlineStr">
        <is>
          <t>Vedskivlav</t>
        </is>
      </c>
      <c r="S52">
        <f>HYPERLINK("https://klasma.github.io/Logging_0513/artfynd/A 57522-2024 artfynd.xlsx", "A 57522-2024")</f>
        <v/>
      </c>
      <c r="T52">
        <f>HYPERLINK("https://klasma.github.io/Logging_0513/kartor/A 57522-2024 karta.png", "A 57522-2024")</f>
        <v/>
      </c>
      <c r="V52">
        <f>HYPERLINK("https://klasma.github.io/Logging_0513/klagomål/A 57522-2024 FSC-klagomål.docx", "A 57522-2024")</f>
        <v/>
      </c>
      <c r="W52">
        <f>HYPERLINK("https://klasma.github.io/Logging_0513/klagomålsmail/A 57522-2024 FSC-klagomål mail.docx", "A 57522-2024")</f>
        <v/>
      </c>
      <c r="X52">
        <f>HYPERLINK("https://klasma.github.io/Logging_0513/tillsyn/A 57522-2024 tillsynsbegäran.docx", "A 57522-2024")</f>
        <v/>
      </c>
      <c r="Y52">
        <f>HYPERLINK("https://klasma.github.io/Logging_0513/tillsynsmail/A 57522-2024 tillsynsbegäran mail.docx", "A 57522-2024")</f>
        <v/>
      </c>
    </row>
    <row r="53" ht="15" customHeight="1">
      <c r="A53" t="inlineStr">
        <is>
          <t>A 35863-2025</t>
        </is>
      </c>
      <c r="B53" s="1" t="n">
        <v>45861</v>
      </c>
      <c r="C53" s="1" t="n">
        <v>46126</v>
      </c>
      <c r="D53" t="inlineStr">
        <is>
          <t>ÖSTERGÖTLANDS LÄN</t>
        </is>
      </c>
      <c r="E53" t="inlineStr">
        <is>
          <t>KINDA</t>
        </is>
      </c>
      <c r="G53" t="n">
        <v>2.8</v>
      </c>
      <c r="H53" t="n">
        <v>0</v>
      </c>
      <c r="I53" t="n">
        <v>1</v>
      </c>
      <c r="J53" t="n">
        <v>0</v>
      </c>
      <c r="K53" t="n">
        <v>0</v>
      </c>
      <c r="L53" t="n">
        <v>0</v>
      </c>
      <c r="M53" t="n">
        <v>0</v>
      </c>
      <c r="N53" t="n">
        <v>0</v>
      </c>
      <c r="O53" t="n">
        <v>0</v>
      </c>
      <c r="P53" t="n">
        <v>0</v>
      </c>
      <c r="Q53" t="n">
        <v>1</v>
      </c>
      <c r="R53" s="2" t="inlineStr">
        <is>
          <t>Tibast</t>
        </is>
      </c>
      <c r="S53">
        <f>HYPERLINK("https://klasma.github.io/Logging_0513/artfynd/A 35863-2025 artfynd.xlsx", "A 35863-2025")</f>
        <v/>
      </c>
      <c r="T53">
        <f>HYPERLINK("https://klasma.github.io/Logging_0513/kartor/A 35863-2025 karta.png", "A 35863-2025")</f>
        <v/>
      </c>
      <c r="V53">
        <f>HYPERLINK("https://klasma.github.io/Logging_0513/klagomål/A 35863-2025 FSC-klagomål.docx", "A 35863-2025")</f>
        <v/>
      </c>
      <c r="W53">
        <f>HYPERLINK("https://klasma.github.io/Logging_0513/klagomålsmail/A 35863-2025 FSC-klagomål mail.docx", "A 35863-2025")</f>
        <v/>
      </c>
      <c r="X53">
        <f>HYPERLINK("https://klasma.github.io/Logging_0513/tillsyn/A 35863-2025 tillsynsbegäran.docx", "A 35863-2025")</f>
        <v/>
      </c>
      <c r="Y53">
        <f>HYPERLINK("https://klasma.github.io/Logging_0513/tillsynsmail/A 35863-2025 tillsynsbegäran mail.docx", "A 35863-2025")</f>
        <v/>
      </c>
    </row>
    <row r="54" ht="15" customHeight="1">
      <c r="A54" t="inlineStr">
        <is>
          <t>A 61704-2025</t>
        </is>
      </c>
      <c r="B54" s="1" t="n">
        <v>46002.5483912037</v>
      </c>
      <c r="C54" s="1" t="n">
        <v>46126</v>
      </c>
      <c r="D54" t="inlineStr">
        <is>
          <t>ÖSTERGÖTLANDS LÄN</t>
        </is>
      </c>
      <c r="E54" t="inlineStr">
        <is>
          <t>KINDA</t>
        </is>
      </c>
      <c r="G54" t="n">
        <v>2.3</v>
      </c>
      <c r="H54" t="n">
        <v>0</v>
      </c>
      <c r="I54" t="n">
        <v>1</v>
      </c>
      <c r="J54" t="n">
        <v>0</v>
      </c>
      <c r="K54" t="n">
        <v>0</v>
      </c>
      <c r="L54" t="n">
        <v>0</v>
      </c>
      <c r="M54" t="n">
        <v>0</v>
      </c>
      <c r="N54" t="n">
        <v>0</v>
      </c>
      <c r="O54" t="n">
        <v>0</v>
      </c>
      <c r="P54" t="n">
        <v>0</v>
      </c>
      <c r="Q54" t="n">
        <v>1</v>
      </c>
      <c r="R54" s="2" t="inlineStr">
        <is>
          <t>Sårläka</t>
        </is>
      </c>
      <c r="S54">
        <f>HYPERLINK("https://klasma.github.io/Logging_0513/artfynd/A 61704-2025 artfynd.xlsx", "A 61704-2025")</f>
        <v/>
      </c>
      <c r="T54">
        <f>HYPERLINK("https://klasma.github.io/Logging_0513/kartor/A 61704-2025 karta.png", "A 61704-2025")</f>
        <v/>
      </c>
      <c r="V54">
        <f>HYPERLINK("https://klasma.github.io/Logging_0513/klagomål/A 61704-2025 FSC-klagomål.docx", "A 61704-2025")</f>
        <v/>
      </c>
      <c r="W54">
        <f>HYPERLINK("https://klasma.github.io/Logging_0513/klagomålsmail/A 61704-2025 FSC-klagomål mail.docx", "A 61704-2025")</f>
        <v/>
      </c>
      <c r="X54">
        <f>HYPERLINK("https://klasma.github.io/Logging_0513/tillsyn/A 61704-2025 tillsynsbegäran.docx", "A 61704-2025")</f>
        <v/>
      </c>
      <c r="Y54">
        <f>HYPERLINK("https://klasma.github.io/Logging_0513/tillsynsmail/A 61704-2025 tillsynsbegäran mail.docx", "A 61704-2025")</f>
        <v/>
      </c>
    </row>
    <row r="55" ht="15" customHeight="1">
      <c r="A55" t="inlineStr">
        <is>
          <t>A 57456-2021</t>
        </is>
      </c>
      <c r="B55" s="1" t="n">
        <v>44483</v>
      </c>
      <c r="C55" s="1" t="n">
        <v>46126</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37058-2025</t>
        </is>
      </c>
      <c r="B56" s="1" t="n">
        <v>45875</v>
      </c>
      <c r="C56" s="1" t="n">
        <v>46126</v>
      </c>
      <c r="D56" t="inlineStr">
        <is>
          <t>ÖSTERGÖTLANDS LÄN</t>
        </is>
      </c>
      <c r="E56" t="inlineStr">
        <is>
          <t>KINDA</t>
        </is>
      </c>
      <c r="G56" t="n">
        <v>1.9</v>
      </c>
      <c r="H56" t="n">
        <v>0</v>
      </c>
      <c r="I56" t="n">
        <v>0</v>
      </c>
      <c r="J56" t="n">
        <v>1</v>
      </c>
      <c r="K56" t="n">
        <v>0</v>
      </c>
      <c r="L56" t="n">
        <v>0</v>
      </c>
      <c r="M56" t="n">
        <v>0</v>
      </c>
      <c r="N56" t="n">
        <v>0</v>
      </c>
      <c r="O56" t="n">
        <v>1</v>
      </c>
      <c r="P56" t="n">
        <v>0</v>
      </c>
      <c r="Q56" t="n">
        <v>1</v>
      </c>
      <c r="R56" s="2" t="inlineStr">
        <is>
          <t>Storgröe</t>
        </is>
      </c>
      <c r="S56">
        <f>HYPERLINK("https://klasma.github.io/Logging_0513/artfynd/A 37058-2025 artfynd.xlsx", "A 37058-2025")</f>
        <v/>
      </c>
      <c r="T56">
        <f>HYPERLINK("https://klasma.github.io/Logging_0513/kartor/A 37058-2025 karta.png", "A 37058-2025")</f>
        <v/>
      </c>
      <c r="V56">
        <f>HYPERLINK("https://klasma.github.io/Logging_0513/klagomål/A 37058-2025 FSC-klagomål.docx", "A 37058-2025")</f>
        <v/>
      </c>
      <c r="W56">
        <f>HYPERLINK("https://klasma.github.io/Logging_0513/klagomålsmail/A 37058-2025 FSC-klagomål mail.docx", "A 37058-2025")</f>
        <v/>
      </c>
      <c r="X56">
        <f>HYPERLINK("https://klasma.github.io/Logging_0513/tillsyn/A 37058-2025 tillsynsbegäran.docx", "A 37058-2025")</f>
        <v/>
      </c>
      <c r="Y56">
        <f>HYPERLINK("https://klasma.github.io/Logging_0513/tillsynsmail/A 37058-2025 tillsynsbegäran mail.docx", "A 37058-2025")</f>
        <v/>
      </c>
    </row>
    <row r="57" ht="15" customHeight="1">
      <c r="A57" t="inlineStr">
        <is>
          <t>A 12170-2022</t>
        </is>
      </c>
      <c r="B57" s="1" t="n">
        <v>44636</v>
      </c>
      <c r="C57" s="1" t="n">
        <v>46126</v>
      </c>
      <c r="D57" t="inlineStr">
        <is>
          <t>ÖSTERGÖTLANDS LÄN</t>
        </is>
      </c>
      <c r="E57" t="inlineStr">
        <is>
          <t>KINDA</t>
        </is>
      </c>
      <c r="F57" t="inlineStr">
        <is>
          <t>Kommuner</t>
        </is>
      </c>
      <c r="G57" t="n">
        <v>1.2</v>
      </c>
      <c r="H57" t="n">
        <v>0</v>
      </c>
      <c r="I57" t="n">
        <v>0</v>
      </c>
      <c r="J57" t="n">
        <v>0</v>
      </c>
      <c r="K57" t="n">
        <v>0</v>
      </c>
      <c r="L57" t="n">
        <v>1</v>
      </c>
      <c r="M57" t="n">
        <v>0</v>
      </c>
      <c r="N57" t="n">
        <v>0</v>
      </c>
      <c r="O57" t="n">
        <v>1</v>
      </c>
      <c r="P57" t="n">
        <v>1</v>
      </c>
      <c r="Q57" t="n">
        <v>1</v>
      </c>
      <c r="R57" s="2" t="inlineStr">
        <is>
          <t>Ask</t>
        </is>
      </c>
      <c r="S57">
        <f>HYPERLINK("https://klasma.github.io/Logging_0513/artfynd/A 12170-2022 artfynd.xlsx", "A 12170-2022")</f>
        <v/>
      </c>
      <c r="T57">
        <f>HYPERLINK("https://klasma.github.io/Logging_0513/kartor/A 12170-2022 karta.png", "A 12170-2022")</f>
        <v/>
      </c>
      <c r="V57">
        <f>HYPERLINK("https://klasma.github.io/Logging_0513/klagomål/A 12170-2022 FSC-klagomål.docx", "A 12170-2022")</f>
        <v/>
      </c>
      <c r="W57">
        <f>HYPERLINK("https://klasma.github.io/Logging_0513/klagomålsmail/A 12170-2022 FSC-klagomål mail.docx", "A 12170-2022")</f>
        <v/>
      </c>
      <c r="X57">
        <f>HYPERLINK("https://klasma.github.io/Logging_0513/tillsyn/A 12170-2022 tillsynsbegäran.docx", "A 12170-2022")</f>
        <v/>
      </c>
      <c r="Y57">
        <f>HYPERLINK("https://klasma.github.io/Logging_0513/tillsynsmail/A 12170-2022 tillsynsbegäran mail.docx", "A 12170-2022")</f>
        <v/>
      </c>
    </row>
    <row r="58" ht="15" customHeight="1">
      <c r="A58" t="inlineStr">
        <is>
          <t>A 29514-2024</t>
        </is>
      </c>
      <c r="B58" s="1" t="n">
        <v>45484</v>
      </c>
      <c r="C58" s="1" t="n">
        <v>46126</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12505-2026</t>
        </is>
      </c>
      <c r="B59" s="1" t="n">
        <v>46090.57803240741</v>
      </c>
      <c r="C59" s="1" t="n">
        <v>46126</v>
      </c>
      <c r="D59" t="inlineStr">
        <is>
          <t>ÖSTERGÖTLANDS LÄN</t>
        </is>
      </c>
      <c r="E59" t="inlineStr">
        <is>
          <t>KINDA</t>
        </is>
      </c>
      <c r="G59" t="n">
        <v>3.8</v>
      </c>
      <c r="H59" t="n">
        <v>0</v>
      </c>
      <c r="I59" t="n">
        <v>0</v>
      </c>
      <c r="J59" t="n">
        <v>0</v>
      </c>
      <c r="K59" t="n">
        <v>1</v>
      </c>
      <c r="L59" t="n">
        <v>0</v>
      </c>
      <c r="M59" t="n">
        <v>0</v>
      </c>
      <c r="N59" t="n">
        <v>0</v>
      </c>
      <c r="O59" t="n">
        <v>1</v>
      </c>
      <c r="P59" t="n">
        <v>1</v>
      </c>
      <c r="Q59" t="n">
        <v>1</v>
      </c>
      <c r="R59" s="2" t="inlineStr">
        <is>
          <t>Vesslefibbla</t>
        </is>
      </c>
      <c r="S59">
        <f>HYPERLINK("https://klasma.github.io/Logging_0513/artfynd/A 12505-2026 artfynd.xlsx", "A 12505-2026")</f>
        <v/>
      </c>
      <c r="T59">
        <f>HYPERLINK("https://klasma.github.io/Logging_0513/kartor/A 12505-2026 karta.png", "A 12505-2026")</f>
        <v/>
      </c>
      <c r="V59">
        <f>HYPERLINK("https://klasma.github.io/Logging_0513/klagomål/A 12505-2026 FSC-klagomål.docx", "A 12505-2026")</f>
        <v/>
      </c>
      <c r="W59">
        <f>HYPERLINK("https://klasma.github.io/Logging_0513/klagomålsmail/A 12505-2026 FSC-klagomål mail.docx", "A 12505-2026")</f>
        <v/>
      </c>
      <c r="X59">
        <f>HYPERLINK("https://klasma.github.io/Logging_0513/tillsyn/A 12505-2026 tillsynsbegäran.docx", "A 12505-2026")</f>
        <v/>
      </c>
      <c r="Y59">
        <f>HYPERLINK("https://klasma.github.io/Logging_0513/tillsynsmail/A 12505-2026 tillsynsbegäran mail.docx", "A 12505-2026")</f>
        <v/>
      </c>
    </row>
    <row r="60" ht="15" customHeight="1">
      <c r="A60" t="inlineStr">
        <is>
          <t>A 52631-2025</t>
        </is>
      </c>
      <c r="B60" s="1" t="n">
        <v>45954.71739583334</v>
      </c>
      <c r="C60" s="1" t="n">
        <v>46126</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19360-2023</t>
        </is>
      </c>
      <c r="B61" s="1" t="n">
        <v>45049</v>
      </c>
      <c r="C61" s="1" t="n">
        <v>46126</v>
      </c>
      <c r="D61" t="inlineStr">
        <is>
          <t>ÖSTERGÖTLANDS LÄN</t>
        </is>
      </c>
      <c r="E61" t="inlineStr">
        <is>
          <t>KINDA</t>
        </is>
      </c>
      <c r="G61" t="n">
        <v>5.8</v>
      </c>
      <c r="H61" t="n">
        <v>0</v>
      </c>
      <c r="I61" t="n">
        <v>1</v>
      </c>
      <c r="J61" t="n">
        <v>0</v>
      </c>
      <c r="K61" t="n">
        <v>0</v>
      </c>
      <c r="L61" t="n">
        <v>0</v>
      </c>
      <c r="M61" t="n">
        <v>0</v>
      </c>
      <c r="N61" t="n">
        <v>0</v>
      </c>
      <c r="O61" t="n">
        <v>0</v>
      </c>
      <c r="P61" t="n">
        <v>0</v>
      </c>
      <c r="Q61" t="n">
        <v>1</v>
      </c>
      <c r="R61" s="2" t="inlineStr">
        <is>
          <t>Sårläka</t>
        </is>
      </c>
      <c r="S61">
        <f>HYPERLINK("https://klasma.github.io/Logging_0513/artfynd/A 19360-2023 artfynd.xlsx", "A 19360-2023")</f>
        <v/>
      </c>
      <c r="T61">
        <f>HYPERLINK("https://klasma.github.io/Logging_0513/kartor/A 19360-2023 karta.png", "A 19360-2023")</f>
        <v/>
      </c>
      <c r="V61">
        <f>HYPERLINK("https://klasma.github.io/Logging_0513/klagomål/A 19360-2023 FSC-klagomål.docx", "A 19360-2023")</f>
        <v/>
      </c>
      <c r="W61">
        <f>HYPERLINK("https://klasma.github.io/Logging_0513/klagomålsmail/A 19360-2023 FSC-klagomål mail.docx", "A 19360-2023")</f>
        <v/>
      </c>
      <c r="X61">
        <f>HYPERLINK("https://klasma.github.io/Logging_0513/tillsyn/A 19360-2023 tillsynsbegäran.docx", "A 19360-2023")</f>
        <v/>
      </c>
      <c r="Y61">
        <f>HYPERLINK("https://klasma.github.io/Logging_0513/tillsynsmail/A 19360-2023 tillsynsbegäran mail.docx", "A 19360-2023")</f>
        <v/>
      </c>
    </row>
    <row r="62" ht="15" customHeight="1">
      <c r="A62" t="inlineStr">
        <is>
          <t>A 33003-2024</t>
        </is>
      </c>
      <c r="B62" s="1" t="n">
        <v>45517</v>
      </c>
      <c r="C62" s="1" t="n">
        <v>46126</v>
      </c>
      <c r="D62" t="inlineStr">
        <is>
          <t>ÖSTERGÖTLANDS LÄN</t>
        </is>
      </c>
      <c r="E62" t="inlineStr">
        <is>
          <t>KINDA</t>
        </is>
      </c>
      <c r="G62" t="n">
        <v>2.4</v>
      </c>
      <c r="H62" t="n">
        <v>1</v>
      </c>
      <c r="I62" t="n">
        <v>0</v>
      </c>
      <c r="J62" t="n">
        <v>1</v>
      </c>
      <c r="K62" t="n">
        <v>0</v>
      </c>
      <c r="L62" t="n">
        <v>0</v>
      </c>
      <c r="M62" t="n">
        <v>0</v>
      </c>
      <c r="N62" t="n">
        <v>0</v>
      </c>
      <c r="O62" t="n">
        <v>1</v>
      </c>
      <c r="P62" t="n">
        <v>0</v>
      </c>
      <c r="Q62" t="n">
        <v>1</v>
      </c>
      <c r="R62" s="2" t="inlineStr">
        <is>
          <t>Sävsparv</t>
        </is>
      </c>
      <c r="S62">
        <f>HYPERLINK("https://klasma.github.io/Logging_0513/artfynd/A 33003-2024 artfynd.xlsx", "A 33003-2024")</f>
        <v/>
      </c>
      <c r="T62">
        <f>HYPERLINK("https://klasma.github.io/Logging_0513/kartor/A 33003-2024 karta.png", "A 33003-2024")</f>
        <v/>
      </c>
      <c r="V62">
        <f>HYPERLINK("https://klasma.github.io/Logging_0513/klagomål/A 33003-2024 FSC-klagomål.docx", "A 33003-2024")</f>
        <v/>
      </c>
      <c r="W62">
        <f>HYPERLINK("https://klasma.github.io/Logging_0513/klagomålsmail/A 33003-2024 FSC-klagomål mail.docx", "A 33003-2024")</f>
        <v/>
      </c>
      <c r="X62">
        <f>HYPERLINK("https://klasma.github.io/Logging_0513/tillsyn/A 33003-2024 tillsynsbegäran.docx", "A 33003-2024")</f>
        <v/>
      </c>
      <c r="Y62">
        <f>HYPERLINK("https://klasma.github.io/Logging_0513/tillsynsmail/A 33003-2024 tillsynsbegäran mail.docx", "A 33003-2024")</f>
        <v/>
      </c>
      <c r="Z62">
        <f>HYPERLINK("https://klasma.github.io/Logging_0513/fåglar/A 33003-2024 prioriterade fågelarter.docx", "A 33003-2024")</f>
        <v/>
      </c>
    </row>
    <row r="63" ht="15" customHeight="1">
      <c r="A63" t="inlineStr">
        <is>
          <t>A 7801-2022</t>
        </is>
      </c>
      <c r="B63" s="1" t="n">
        <v>44608.4999537037</v>
      </c>
      <c r="C63" s="1" t="n">
        <v>46126</v>
      </c>
      <c r="D63" t="inlineStr">
        <is>
          <t>ÖSTERGÖTLANDS LÄN</t>
        </is>
      </c>
      <c r="E63" t="inlineStr">
        <is>
          <t>KINDA</t>
        </is>
      </c>
      <c r="F63" t="inlineStr">
        <is>
          <t>Sveaskog</t>
        </is>
      </c>
      <c r="G63" t="n">
        <v>11.4</v>
      </c>
      <c r="H63" t="n">
        <v>0</v>
      </c>
      <c r="I63" t="n">
        <v>0</v>
      </c>
      <c r="J63" t="n">
        <v>0</v>
      </c>
      <c r="K63" t="n">
        <v>0</v>
      </c>
      <c r="L63" t="n">
        <v>1</v>
      </c>
      <c r="M63" t="n">
        <v>0</v>
      </c>
      <c r="N63" t="n">
        <v>0</v>
      </c>
      <c r="O63" t="n">
        <v>1</v>
      </c>
      <c r="P63" t="n">
        <v>1</v>
      </c>
      <c r="Q63" t="n">
        <v>1</v>
      </c>
      <c r="R63" s="2" t="inlineStr">
        <is>
          <t>Ask</t>
        </is>
      </c>
      <c r="S63">
        <f>HYPERLINK("https://klasma.github.io/Logging_0513/artfynd/A 7801-2022 artfynd.xlsx", "A 7801-2022")</f>
        <v/>
      </c>
      <c r="T63">
        <f>HYPERLINK("https://klasma.github.io/Logging_0513/kartor/A 7801-2022 karta.png", "A 7801-2022")</f>
        <v/>
      </c>
      <c r="V63">
        <f>HYPERLINK("https://klasma.github.io/Logging_0513/klagomål/A 7801-2022 FSC-klagomål.docx", "A 7801-2022")</f>
        <v/>
      </c>
      <c r="W63">
        <f>HYPERLINK("https://klasma.github.io/Logging_0513/klagomålsmail/A 7801-2022 FSC-klagomål mail.docx", "A 7801-2022")</f>
        <v/>
      </c>
      <c r="X63">
        <f>HYPERLINK("https://klasma.github.io/Logging_0513/tillsyn/A 7801-2022 tillsynsbegäran.docx", "A 7801-2022")</f>
        <v/>
      </c>
      <c r="Y63">
        <f>HYPERLINK("https://klasma.github.io/Logging_0513/tillsynsmail/A 7801-2022 tillsynsbegäran mail.docx", "A 7801-2022")</f>
        <v/>
      </c>
    </row>
    <row r="64" ht="15" customHeight="1">
      <c r="A64" t="inlineStr">
        <is>
          <t>A 46145-2023</t>
        </is>
      </c>
      <c r="B64" s="1" t="n">
        <v>45196.57292824074</v>
      </c>
      <c r="C64" s="1" t="n">
        <v>46126</v>
      </c>
      <c r="D64" t="inlineStr">
        <is>
          <t>ÖSTERGÖTLANDS LÄN</t>
        </is>
      </c>
      <c r="E64" t="inlineStr">
        <is>
          <t>KINDA</t>
        </is>
      </c>
      <c r="G64" t="n">
        <v>4.2</v>
      </c>
      <c r="H64" t="n">
        <v>0</v>
      </c>
      <c r="I64" t="n">
        <v>1</v>
      </c>
      <c r="J64" t="n">
        <v>0</v>
      </c>
      <c r="K64" t="n">
        <v>0</v>
      </c>
      <c r="L64" t="n">
        <v>0</v>
      </c>
      <c r="M64" t="n">
        <v>0</v>
      </c>
      <c r="N64" t="n">
        <v>0</v>
      </c>
      <c r="O64" t="n">
        <v>0</v>
      </c>
      <c r="P64" t="n">
        <v>0</v>
      </c>
      <c r="Q64" t="n">
        <v>1</v>
      </c>
      <c r="R64" s="2" t="inlineStr">
        <is>
          <t>Svart trolldruva</t>
        </is>
      </c>
      <c r="S64">
        <f>HYPERLINK("https://klasma.github.io/Logging_0513/artfynd/A 46145-2023 artfynd.xlsx", "A 46145-2023")</f>
        <v/>
      </c>
      <c r="T64">
        <f>HYPERLINK("https://klasma.github.io/Logging_0513/kartor/A 46145-2023 karta.png", "A 46145-2023")</f>
        <v/>
      </c>
      <c r="V64">
        <f>HYPERLINK("https://klasma.github.io/Logging_0513/klagomål/A 46145-2023 FSC-klagomål.docx", "A 46145-2023")</f>
        <v/>
      </c>
      <c r="W64">
        <f>HYPERLINK("https://klasma.github.io/Logging_0513/klagomålsmail/A 46145-2023 FSC-klagomål mail.docx", "A 46145-2023")</f>
        <v/>
      </c>
      <c r="X64">
        <f>HYPERLINK("https://klasma.github.io/Logging_0513/tillsyn/A 46145-2023 tillsynsbegäran.docx", "A 46145-2023")</f>
        <v/>
      </c>
      <c r="Y64">
        <f>HYPERLINK("https://klasma.github.io/Logging_0513/tillsynsmail/A 46145-2023 tillsynsbegäran mail.docx", "A 46145-2023")</f>
        <v/>
      </c>
    </row>
    <row r="65" ht="15" customHeight="1">
      <c r="A65" t="inlineStr">
        <is>
          <t>A 145-2024</t>
        </is>
      </c>
      <c r="B65" s="1" t="n">
        <v>45294</v>
      </c>
      <c r="C65" s="1" t="n">
        <v>46126</v>
      </c>
      <c r="D65" t="inlineStr">
        <is>
          <t>ÖSTERGÖTLANDS LÄN</t>
        </is>
      </c>
      <c r="E65" t="inlineStr">
        <is>
          <t>KINDA</t>
        </is>
      </c>
      <c r="G65" t="n">
        <v>4.9</v>
      </c>
      <c r="H65" t="n">
        <v>0</v>
      </c>
      <c r="I65" t="n">
        <v>0</v>
      </c>
      <c r="J65" t="n">
        <v>1</v>
      </c>
      <c r="K65" t="n">
        <v>0</v>
      </c>
      <c r="L65" t="n">
        <v>0</v>
      </c>
      <c r="M65" t="n">
        <v>0</v>
      </c>
      <c r="N65" t="n">
        <v>0</v>
      </c>
      <c r="O65" t="n">
        <v>1</v>
      </c>
      <c r="P65" t="n">
        <v>0</v>
      </c>
      <c r="Q65" t="n">
        <v>1</v>
      </c>
      <c r="R65" s="2" t="inlineStr">
        <is>
          <t>Ekgetingbock</t>
        </is>
      </c>
      <c r="S65">
        <f>HYPERLINK("https://klasma.github.io/Logging_0513/artfynd/A 145-2024 artfynd.xlsx", "A 145-2024")</f>
        <v/>
      </c>
      <c r="T65">
        <f>HYPERLINK("https://klasma.github.io/Logging_0513/kartor/A 145-2024 karta.png", "A 145-2024")</f>
        <v/>
      </c>
      <c r="V65">
        <f>HYPERLINK("https://klasma.github.io/Logging_0513/klagomål/A 145-2024 FSC-klagomål.docx", "A 145-2024")</f>
        <v/>
      </c>
      <c r="W65">
        <f>HYPERLINK("https://klasma.github.io/Logging_0513/klagomålsmail/A 145-2024 FSC-klagomål mail.docx", "A 145-2024")</f>
        <v/>
      </c>
      <c r="X65">
        <f>HYPERLINK("https://klasma.github.io/Logging_0513/tillsyn/A 145-2024 tillsynsbegäran.docx", "A 145-2024")</f>
        <v/>
      </c>
      <c r="Y65">
        <f>HYPERLINK("https://klasma.github.io/Logging_0513/tillsynsmail/A 145-2024 tillsynsbegäran mail.docx", "A 145-2024")</f>
        <v/>
      </c>
    </row>
    <row r="66" ht="15" customHeight="1">
      <c r="A66" t="inlineStr">
        <is>
          <t>A 3474-2023</t>
        </is>
      </c>
      <c r="B66" s="1" t="n">
        <v>44949</v>
      </c>
      <c r="C66" s="1" t="n">
        <v>46126</v>
      </c>
      <c r="D66" t="inlineStr">
        <is>
          <t>ÖSTERGÖTLANDS LÄN</t>
        </is>
      </c>
      <c r="E66" t="inlineStr">
        <is>
          <t>KINDA</t>
        </is>
      </c>
      <c r="G66" t="n">
        <v>2.5</v>
      </c>
      <c r="H66" t="n">
        <v>0</v>
      </c>
      <c r="I66" t="n">
        <v>1</v>
      </c>
      <c r="J66" t="n">
        <v>0</v>
      </c>
      <c r="K66" t="n">
        <v>0</v>
      </c>
      <c r="L66" t="n">
        <v>0</v>
      </c>
      <c r="M66" t="n">
        <v>0</v>
      </c>
      <c r="N66" t="n">
        <v>0</v>
      </c>
      <c r="O66" t="n">
        <v>0</v>
      </c>
      <c r="P66" t="n">
        <v>0</v>
      </c>
      <c r="Q66" t="n">
        <v>1</v>
      </c>
      <c r="R66" s="2" t="inlineStr">
        <is>
          <t>Blåmossa</t>
        </is>
      </c>
      <c r="S66">
        <f>HYPERLINK("https://klasma.github.io/Logging_0513/artfynd/A 3474-2023 artfynd.xlsx", "A 3474-2023")</f>
        <v/>
      </c>
      <c r="T66">
        <f>HYPERLINK("https://klasma.github.io/Logging_0513/kartor/A 3474-2023 karta.png", "A 3474-2023")</f>
        <v/>
      </c>
      <c r="V66">
        <f>HYPERLINK("https://klasma.github.io/Logging_0513/klagomål/A 3474-2023 FSC-klagomål.docx", "A 3474-2023")</f>
        <v/>
      </c>
      <c r="W66">
        <f>HYPERLINK("https://klasma.github.io/Logging_0513/klagomålsmail/A 3474-2023 FSC-klagomål mail.docx", "A 3474-2023")</f>
        <v/>
      </c>
      <c r="X66">
        <f>HYPERLINK("https://klasma.github.io/Logging_0513/tillsyn/A 3474-2023 tillsynsbegäran.docx", "A 3474-2023")</f>
        <v/>
      </c>
      <c r="Y66">
        <f>HYPERLINK("https://klasma.github.io/Logging_0513/tillsynsmail/A 3474-2023 tillsynsbegäran mail.docx", "A 3474-2023")</f>
        <v/>
      </c>
    </row>
    <row r="67" ht="15" customHeight="1">
      <c r="A67" t="inlineStr">
        <is>
          <t>A 29509-2024</t>
        </is>
      </c>
      <c r="B67" s="1" t="n">
        <v>45484</v>
      </c>
      <c r="C67" s="1" t="n">
        <v>46126</v>
      </c>
      <c r="D67" t="inlineStr">
        <is>
          <t>ÖSTERGÖTLANDS LÄN</t>
        </is>
      </c>
      <c r="E67" t="inlineStr">
        <is>
          <t>KINDA</t>
        </is>
      </c>
      <c r="G67" t="n">
        <v>10.4</v>
      </c>
      <c r="H67" t="n">
        <v>0</v>
      </c>
      <c r="I67" t="n">
        <v>0</v>
      </c>
      <c r="J67" t="n">
        <v>1</v>
      </c>
      <c r="K67" t="n">
        <v>0</v>
      </c>
      <c r="L67" t="n">
        <v>0</v>
      </c>
      <c r="M67" t="n">
        <v>0</v>
      </c>
      <c r="N67" t="n">
        <v>0</v>
      </c>
      <c r="O67" t="n">
        <v>1</v>
      </c>
      <c r="P67" t="n">
        <v>0</v>
      </c>
      <c r="Q67" t="n">
        <v>1</v>
      </c>
      <c r="R67" s="2" t="inlineStr">
        <is>
          <t>Månlåsbräken</t>
        </is>
      </c>
      <c r="S67">
        <f>HYPERLINK("https://klasma.github.io/Logging_0513/artfynd/A 29509-2024 artfynd.xlsx", "A 29509-2024")</f>
        <v/>
      </c>
      <c r="T67">
        <f>HYPERLINK("https://klasma.github.io/Logging_0513/kartor/A 29509-2024 karta.png", "A 29509-2024")</f>
        <v/>
      </c>
      <c r="V67">
        <f>HYPERLINK("https://klasma.github.io/Logging_0513/klagomål/A 29509-2024 FSC-klagomål.docx", "A 29509-2024")</f>
        <v/>
      </c>
      <c r="W67">
        <f>HYPERLINK("https://klasma.github.io/Logging_0513/klagomålsmail/A 29509-2024 FSC-klagomål mail.docx", "A 29509-2024")</f>
        <v/>
      </c>
      <c r="X67">
        <f>HYPERLINK("https://klasma.github.io/Logging_0513/tillsyn/A 29509-2024 tillsynsbegäran.docx", "A 29509-2024")</f>
        <v/>
      </c>
      <c r="Y67">
        <f>HYPERLINK("https://klasma.github.io/Logging_0513/tillsynsmail/A 29509-2024 tillsynsbegäran mail.docx", "A 29509-2024")</f>
        <v/>
      </c>
    </row>
    <row r="68" ht="15" customHeight="1">
      <c r="A68" t="inlineStr">
        <is>
          <t>A 67789-2021</t>
        </is>
      </c>
      <c r="B68" s="1" t="n">
        <v>44525</v>
      </c>
      <c r="C68" s="1" t="n">
        <v>46126</v>
      </c>
      <c r="D68" t="inlineStr">
        <is>
          <t>ÖSTERGÖTLANDS LÄN</t>
        </is>
      </c>
      <c r="E68" t="inlineStr">
        <is>
          <t>KINDA</t>
        </is>
      </c>
      <c r="G68" t="n">
        <v>19.4</v>
      </c>
      <c r="H68" t="n">
        <v>1</v>
      </c>
      <c r="I68" t="n">
        <v>0</v>
      </c>
      <c r="J68" t="n">
        <v>1</v>
      </c>
      <c r="K68" t="n">
        <v>0</v>
      </c>
      <c r="L68" t="n">
        <v>0</v>
      </c>
      <c r="M68" t="n">
        <v>0</v>
      </c>
      <c r="N68" t="n">
        <v>0</v>
      </c>
      <c r="O68" t="n">
        <v>1</v>
      </c>
      <c r="P68" t="n">
        <v>0</v>
      </c>
      <c r="Q68" t="n">
        <v>1</v>
      </c>
      <c r="R68" s="2" t="inlineStr">
        <is>
          <t>Havsörn</t>
        </is>
      </c>
      <c r="S68">
        <f>HYPERLINK("https://klasma.github.io/Logging_0513/artfynd/A 67789-2021 artfynd.xlsx", "A 67789-2021")</f>
        <v/>
      </c>
      <c r="T68">
        <f>HYPERLINK("https://klasma.github.io/Logging_0513/kartor/A 67789-2021 karta.png", "A 67789-2021")</f>
        <v/>
      </c>
      <c r="V68">
        <f>HYPERLINK("https://klasma.github.io/Logging_0513/klagomål/A 67789-2021 FSC-klagomål.docx", "A 67789-2021")</f>
        <v/>
      </c>
      <c r="W68">
        <f>HYPERLINK("https://klasma.github.io/Logging_0513/klagomålsmail/A 67789-2021 FSC-klagomål mail.docx", "A 67789-2021")</f>
        <v/>
      </c>
      <c r="X68">
        <f>HYPERLINK("https://klasma.github.io/Logging_0513/tillsyn/A 67789-2021 tillsynsbegäran.docx", "A 67789-2021")</f>
        <v/>
      </c>
      <c r="Y68">
        <f>HYPERLINK("https://klasma.github.io/Logging_0513/tillsynsmail/A 67789-2021 tillsynsbegäran mail.docx", "A 67789-2021")</f>
        <v/>
      </c>
      <c r="Z68">
        <f>HYPERLINK("https://klasma.github.io/Logging_0513/fåglar/A 67789-2021 prioriterade fågelarter.docx", "A 67789-2021")</f>
        <v/>
      </c>
    </row>
    <row r="69" ht="15" customHeight="1">
      <c r="A69" t="inlineStr">
        <is>
          <t>A 25288-2021</t>
        </is>
      </c>
      <c r="B69" s="1" t="n">
        <v>44342</v>
      </c>
      <c r="C69" s="1" t="n">
        <v>46126</v>
      </c>
      <c r="D69" t="inlineStr">
        <is>
          <t>ÖSTERGÖTLANDS LÄN</t>
        </is>
      </c>
      <c r="E69" t="inlineStr">
        <is>
          <t>KINDA</t>
        </is>
      </c>
      <c r="G69" t="n">
        <v>3.3</v>
      </c>
      <c r="H69" t="n">
        <v>0</v>
      </c>
      <c r="I69" t="n">
        <v>0</v>
      </c>
      <c r="J69" t="n">
        <v>1</v>
      </c>
      <c r="K69" t="n">
        <v>0</v>
      </c>
      <c r="L69" t="n">
        <v>0</v>
      </c>
      <c r="M69" t="n">
        <v>0</v>
      </c>
      <c r="N69" t="n">
        <v>0</v>
      </c>
      <c r="O69" t="n">
        <v>1</v>
      </c>
      <c r="P69" t="n">
        <v>0</v>
      </c>
      <c r="Q69" t="n">
        <v>1</v>
      </c>
      <c r="R69" s="2" t="inlineStr">
        <is>
          <t>Smalsprötad bastardsvärmare</t>
        </is>
      </c>
      <c r="S69">
        <f>HYPERLINK("https://klasma.github.io/Logging_0513/artfynd/A 25288-2021 artfynd.xlsx", "A 25288-2021")</f>
        <v/>
      </c>
      <c r="T69">
        <f>HYPERLINK("https://klasma.github.io/Logging_0513/kartor/A 25288-2021 karta.png", "A 25288-2021")</f>
        <v/>
      </c>
      <c r="V69">
        <f>HYPERLINK("https://klasma.github.io/Logging_0513/klagomål/A 25288-2021 FSC-klagomål.docx", "A 25288-2021")</f>
        <v/>
      </c>
      <c r="W69">
        <f>HYPERLINK("https://klasma.github.io/Logging_0513/klagomålsmail/A 25288-2021 FSC-klagomål mail.docx", "A 25288-2021")</f>
        <v/>
      </c>
      <c r="X69">
        <f>HYPERLINK("https://klasma.github.io/Logging_0513/tillsyn/A 25288-2021 tillsynsbegäran.docx", "A 25288-2021")</f>
        <v/>
      </c>
      <c r="Y69">
        <f>HYPERLINK("https://klasma.github.io/Logging_0513/tillsynsmail/A 25288-2021 tillsynsbegäran mail.docx", "A 25288-2021")</f>
        <v/>
      </c>
    </row>
    <row r="70" ht="15" customHeight="1">
      <c r="A70" t="inlineStr">
        <is>
          <t>A 30255-2024</t>
        </is>
      </c>
      <c r="B70" s="1" t="n">
        <v>45490.56811342593</v>
      </c>
      <c r="C70" s="1" t="n">
        <v>46126</v>
      </c>
      <c r="D70" t="inlineStr">
        <is>
          <t>ÖSTERGÖTLANDS LÄN</t>
        </is>
      </c>
      <c r="E70" t="inlineStr">
        <is>
          <t>KINDA</t>
        </is>
      </c>
      <c r="G70" t="n">
        <v>6.3</v>
      </c>
      <c r="H70" t="n">
        <v>0</v>
      </c>
      <c r="I70" t="n">
        <v>0</v>
      </c>
      <c r="J70" t="n">
        <v>0</v>
      </c>
      <c r="K70" t="n">
        <v>1</v>
      </c>
      <c r="L70" t="n">
        <v>0</v>
      </c>
      <c r="M70" t="n">
        <v>0</v>
      </c>
      <c r="N70" t="n">
        <v>0</v>
      </c>
      <c r="O70" t="n">
        <v>1</v>
      </c>
      <c r="P70" t="n">
        <v>1</v>
      </c>
      <c r="Q70" t="n">
        <v>1</v>
      </c>
      <c r="R70" s="2" t="inlineStr">
        <is>
          <t>Späd fetfibbla</t>
        </is>
      </c>
      <c r="S70">
        <f>HYPERLINK("https://klasma.github.io/Logging_0513/artfynd/A 30255-2024 artfynd.xlsx", "A 30255-2024")</f>
        <v/>
      </c>
      <c r="T70">
        <f>HYPERLINK("https://klasma.github.io/Logging_0513/kartor/A 30255-2024 karta.png", "A 30255-2024")</f>
        <v/>
      </c>
      <c r="V70">
        <f>HYPERLINK("https://klasma.github.io/Logging_0513/klagomål/A 30255-2024 FSC-klagomål.docx", "A 30255-2024")</f>
        <v/>
      </c>
      <c r="W70">
        <f>HYPERLINK("https://klasma.github.io/Logging_0513/klagomålsmail/A 30255-2024 FSC-klagomål mail.docx", "A 30255-2024")</f>
        <v/>
      </c>
      <c r="X70">
        <f>HYPERLINK("https://klasma.github.io/Logging_0513/tillsyn/A 30255-2024 tillsynsbegäran.docx", "A 30255-2024")</f>
        <v/>
      </c>
      <c r="Y70">
        <f>HYPERLINK("https://klasma.github.io/Logging_0513/tillsynsmail/A 30255-2024 tillsynsbegäran mail.docx", "A 30255-2024")</f>
        <v/>
      </c>
    </row>
    <row r="71" ht="15" customHeight="1">
      <c r="A71" t="inlineStr">
        <is>
          <t>A 36789-2022</t>
        </is>
      </c>
      <c r="B71" s="1" t="n">
        <v>44805</v>
      </c>
      <c r="C71" s="1" t="n">
        <v>46126</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46126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46126</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46126</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46126</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46126</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46126</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46126</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46126</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46126</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46126</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46126</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46126</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46126</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46126</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46126</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46126</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46126</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46126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46126</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46126</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46126</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46126</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46126</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46126</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46126</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46126</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46126</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46126</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46126</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46126</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46126</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46126</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46126</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46126</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46126</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46126</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46126</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46126</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46126</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46126</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46126</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46126</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46126</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46126</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46126</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46126</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46126</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46126</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46126</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46126</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46126</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46126</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46126</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46126</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22687-2022</t>
        </is>
      </c>
      <c r="B126" s="1" t="n">
        <v>44714.53115740741</v>
      </c>
      <c r="C126" s="1" t="n">
        <v>46126</v>
      </c>
      <c r="D126" t="inlineStr">
        <is>
          <t>ÖSTERGÖTLANDS LÄN</t>
        </is>
      </c>
      <c r="E126" t="inlineStr">
        <is>
          <t>KINDA</t>
        </is>
      </c>
      <c r="G126" t="n">
        <v>0.4</v>
      </c>
      <c r="H126" t="n">
        <v>0</v>
      </c>
      <c r="I126" t="n">
        <v>0</v>
      </c>
      <c r="J126" t="n">
        <v>0</v>
      </c>
      <c r="K126" t="n">
        <v>0</v>
      </c>
      <c r="L126" t="n">
        <v>0</v>
      </c>
      <c r="M126" t="n">
        <v>0</v>
      </c>
      <c r="N126" t="n">
        <v>0</v>
      </c>
      <c r="O126" t="n">
        <v>0</v>
      </c>
      <c r="P126" t="n">
        <v>0</v>
      </c>
      <c r="Q126" t="n">
        <v>0</v>
      </c>
      <c r="R126" s="2" t="inlineStr"/>
    </row>
    <row r="127" ht="15" customHeight="1">
      <c r="A127" t="inlineStr">
        <is>
          <t>A 7142-2022</t>
        </is>
      </c>
      <c r="B127" s="1" t="n">
        <v>44603.75377314815</v>
      </c>
      <c r="C127" s="1" t="n">
        <v>46126</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61954-2022</t>
        </is>
      </c>
      <c r="B128" s="1" t="n">
        <v>44918.33840277778</v>
      </c>
      <c r="C128" s="1" t="n">
        <v>46126</v>
      </c>
      <c r="D128" t="inlineStr">
        <is>
          <t>ÖSTERGÖTLANDS LÄN</t>
        </is>
      </c>
      <c r="E128" t="inlineStr">
        <is>
          <t>KINDA</t>
        </is>
      </c>
      <c r="G128" t="n">
        <v>6.2</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46126</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49440-2021</t>
        </is>
      </c>
      <c r="B130" s="1" t="n">
        <v>44454</v>
      </c>
      <c r="C130" s="1" t="n">
        <v>46126</v>
      </c>
      <c r="D130" t="inlineStr">
        <is>
          <t>ÖSTERGÖTLANDS LÄN</t>
        </is>
      </c>
      <c r="E130" t="inlineStr">
        <is>
          <t>KINDA</t>
        </is>
      </c>
      <c r="G130" t="n">
        <v>2.9</v>
      </c>
      <c r="H130" t="n">
        <v>0</v>
      </c>
      <c r="I130" t="n">
        <v>0</v>
      </c>
      <c r="J130" t="n">
        <v>0</v>
      </c>
      <c r="K130" t="n">
        <v>0</v>
      </c>
      <c r="L130" t="n">
        <v>0</v>
      </c>
      <c r="M130" t="n">
        <v>0</v>
      </c>
      <c r="N130" t="n">
        <v>0</v>
      </c>
      <c r="O130" t="n">
        <v>0</v>
      </c>
      <c r="P130" t="n">
        <v>0</v>
      </c>
      <c r="Q130" t="n">
        <v>0</v>
      </c>
      <c r="R130" s="2" t="inlineStr"/>
    </row>
    <row r="131" ht="15" customHeight="1">
      <c r="A131" t="inlineStr">
        <is>
          <t>A 915-2024</t>
        </is>
      </c>
      <c r="B131" s="1" t="n">
        <v>45301.47129629629</v>
      </c>
      <c r="C131" s="1" t="n">
        <v>46126</v>
      </c>
      <c r="D131" t="inlineStr">
        <is>
          <t>ÖSTERGÖTLANDS LÄN</t>
        </is>
      </c>
      <c r="E131" t="inlineStr">
        <is>
          <t>KINDA</t>
        </is>
      </c>
      <c r="G131" t="n">
        <v>2.5</v>
      </c>
      <c r="H131" t="n">
        <v>0</v>
      </c>
      <c r="I131" t="n">
        <v>0</v>
      </c>
      <c r="J131" t="n">
        <v>0</v>
      </c>
      <c r="K131" t="n">
        <v>0</v>
      </c>
      <c r="L131" t="n">
        <v>0</v>
      </c>
      <c r="M131" t="n">
        <v>0</v>
      </c>
      <c r="N131" t="n">
        <v>0</v>
      </c>
      <c r="O131" t="n">
        <v>0</v>
      </c>
      <c r="P131" t="n">
        <v>0</v>
      </c>
      <c r="Q131" t="n">
        <v>0</v>
      </c>
      <c r="R131" s="2" t="inlineStr"/>
    </row>
    <row r="132" ht="15" customHeight="1">
      <c r="A132" t="inlineStr">
        <is>
          <t>A 5707-2024</t>
        </is>
      </c>
      <c r="B132" s="1" t="n">
        <v>45334</v>
      </c>
      <c r="C132" s="1" t="n">
        <v>46126</v>
      </c>
      <c r="D132" t="inlineStr">
        <is>
          <t>ÖSTERGÖTLANDS LÄN</t>
        </is>
      </c>
      <c r="E132" t="inlineStr">
        <is>
          <t>KINDA</t>
        </is>
      </c>
      <c r="G132" t="n">
        <v>6.2</v>
      </c>
      <c r="H132" t="n">
        <v>0</v>
      </c>
      <c r="I132" t="n">
        <v>0</v>
      </c>
      <c r="J132" t="n">
        <v>0</v>
      </c>
      <c r="K132" t="n">
        <v>0</v>
      </c>
      <c r="L132" t="n">
        <v>0</v>
      </c>
      <c r="M132" t="n">
        <v>0</v>
      </c>
      <c r="N132" t="n">
        <v>0</v>
      </c>
      <c r="O132" t="n">
        <v>0</v>
      </c>
      <c r="P132" t="n">
        <v>0</v>
      </c>
      <c r="Q132" t="n">
        <v>0</v>
      </c>
      <c r="R132" s="2" t="inlineStr"/>
    </row>
    <row r="133" ht="15" customHeight="1">
      <c r="A133" t="inlineStr">
        <is>
          <t>A 48386-2021</t>
        </is>
      </c>
      <c r="B133" s="1" t="n">
        <v>44451.97046296296</v>
      </c>
      <c r="C133" s="1" t="n">
        <v>46126</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57497-2021</t>
        </is>
      </c>
      <c r="B134" s="1" t="n">
        <v>44483</v>
      </c>
      <c r="C134" s="1" t="n">
        <v>46126</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52662-2021</t>
        </is>
      </c>
      <c r="B135" s="1" t="n">
        <v>44466.67340277778</v>
      </c>
      <c r="C135" s="1" t="n">
        <v>46126</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52663-2021</t>
        </is>
      </c>
      <c r="B136" s="1" t="n">
        <v>44466.67462962963</v>
      </c>
      <c r="C136" s="1" t="n">
        <v>46126</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6409-2025</t>
        </is>
      </c>
      <c r="B137" s="1" t="n">
        <v>45699.45700231481</v>
      </c>
      <c r="C137" s="1" t="n">
        <v>46126</v>
      </c>
      <c r="D137" t="inlineStr">
        <is>
          <t>ÖSTERGÖTLANDS LÄN</t>
        </is>
      </c>
      <c r="E137" t="inlineStr">
        <is>
          <t>KINDA</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40246-2021</t>
        </is>
      </c>
      <c r="B138" s="1" t="n">
        <v>44419</v>
      </c>
      <c r="C138" s="1" t="n">
        <v>46126</v>
      </c>
      <c r="D138" t="inlineStr">
        <is>
          <t>ÖSTERGÖTLANDS LÄN</t>
        </is>
      </c>
      <c r="E138" t="inlineStr">
        <is>
          <t>KINDA</t>
        </is>
      </c>
      <c r="G138" t="n">
        <v>0.6</v>
      </c>
      <c r="H138" t="n">
        <v>0</v>
      </c>
      <c r="I138" t="n">
        <v>0</v>
      </c>
      <c r="J138" t="n">
        <v>0</v>
      </c>
      <c r="K138" t="n">
        <v>0</v>
      </c>
      <c r="L138" t="n">
        <v>0</v>
      </c>
      <c r="M138" t="n">
        <v>0</v>
      </c>
      <c r="N138" t="n">
        <v>0</v>
      </c>
      <c r="O138" t="n">
        <v>0</v>
      </c>
      <c r="P138" t="n">
        <v>0</v>
      </c>
      <c r="Q138" t="n">
        <v>0</v>
      </c>
      <c r="R138" s="2" t="inlineStr"/>
    </row>
    <row r="139" ht="15" customHeight="1">
      <c r="A139" t="inlineStr">
        <is>
          <t>A 48386-2024</t>
        </is>
      </c>
      <c r="B139" s="1" t="n">
        <v>45590.59793981481</v>
      </c>
      <c r="C139" s="1" t="n">
        <v>46126</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46126</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46126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43467-2022</t>
        </is>
      </c>
      <c r="B142" s="1" t="n">
        <v>44836.74738425926</v>
      </c>
      <c r="C142" s="1" t="n">
        <v>46126</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46126</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46126</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23248-2022</t>
        </is>
      </c>
      <c r="B145" s="1" t="n">
        <v>44720</v>
      </c>
      <c r="C145" s="1" t="n">
        <v>46126</v>
      </c>
      <c r="D145" t="inlineStr">
        <is>
          <t>ÖSTERGÖTLANDS LÄN</t>
        </is>
      </c>
      <c r="E145" t="inlineStr">
        <is>
          <t>KINDA</t>
        </is>
      </c>
      <c r="G145" t="n">
        <v>1.7</v>
      </c>
      <c r="H145" t="n">
        <v>0</v>
      </c>
      <c r="I145" t="n">
        <v>0</v>
      </c>
      <c r="J145" t="n">
        <v>0</v>
      </c>
      <c r="K145" t="n">
        <v>0</v>
      </c>
      <c r="L145" t="n">
        <v>0</v>
      </c>
      <c r="M145" t="n">
        <v>0</v>
      </c>
      <c r="N145" t="n">
        <v>0</v>
      </c>
      <c r="O145" t="n">
        <v>0</v>
      </c>
      <c r="P145" t="n">
        <v>0</v>
      </c>
      <c r="Q145" t="n">
        <v>0</v>
      </c>
      <c r="R145" s="2" t="inlineStr"/>
    </row>
    <row r="146" ht="15" customHeight="1">
      <c r="A146" t="inlineStr">
        <is>
          <t>A 53239-2023</t>
        </is>
      </c>
      <c r="B146" s="1" t="n">
        <v>45229</v>
      </c>
      <c r="C146" s="1" t="n">
        <v>46126</v>
      </c>
      <c r="D146" t="inlineStr">
        <is>
          <t>ÖSTERGÖTLANDS LÄN</t>
        </is>
      </c>
      <c r="E146" t="inlineStr">
        <is>
          <t>KINDA</t>
        </is>
      </c>
      <c r="F146" t="inlineStr">
        <is>
          <t>Allmännings- och besparingsskogar</t>
        </is>
      </c>
      <c r="G146" t="n">
        <v>10.3</v>
      </c>
      <c r="H146" t="n">
        <v>0</v>
      </c>
      <c r="I146" t="n">
        <v>0</v>
      </c>
      <c r="J146" t="n">
        <v>0</v>
      </c>
      <c r="K146" t="n">
        <v>0</v>
      </c>
      <c r="L146" t="n">
        <v>0</v>
      </c>
      <c r="M146" t="n">
        <v>0</v>
      </c>
      <c r="N146" t="n">
        <v>0</v>
      </c>
      <c r="O146" t="n">
        <v>0</v>
      </c>
      <c r="P146" t="n">
        <v>0</v>
      </c>
      <c r="Q146" t="n">
        <v>0</v>
      </c>
      <c r="R146" s="2" t="inlineStr"/>
    </row>
    <row r="147" ht="15" customHeight="1">
      <c r="A147" t="inlineStr">
        <is>
          <t>A 44303-2022</t>
        </is>
      </c>
      <c r="B147" s="1" t="n">
        <v>44839.62386574074</v>
      </c>
      <c r="C147" s="1" t="n">
        <v>46126</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46126</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46126</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44789.39914351852</v>
      </c>
      <c r="C150" s="1" t="n">
        <v>46126</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62565-2021</t>
        </is>
      </c>
      <c r="B151" s="1" t="n">
        <v>44502</v>
      </c>
      <c r="C151" s="1" t="n">
        <v>46126</v>
      </c>
      <c r="D151" t="inlineStr">
        <is>
          <t>ÖSTERGÖTLANDS LÄN</t>
        </is>
      </c>
      <c r="E151" t="inlineStr">
        <is>
          <t>KINDA</t>
        </is>
      </c>
      <c r="G151" t="n">
        <v>1.5</v>
      </c>
      <c r="H151" t="n">
        <v>0</v>
      </c>
      <c r="I151" t="n">
        <v>0</v>
      </c>
      <c r="J151" t="n">
        <v>0</v>
      </c>
      <c r="K151" t="n">
        <v>0</v>
      </c>
      <c r="L151" t="n">
        <v>0</v>
      </c>
      <c r="M151" t="n">
        <v>0</v>
      </c>
      <c r="N151" t="n">
        <v>0</v>
      </c>
      <c r="O151" t="n">
        <v>0</v>
      </c>
      <c r="P151" t="n">
        <v>0</v>
      </c>
      <c r="Q151" t="n">
        <v>0</v>
      </c>
      <c r="R151" s="2" t="inlineStr"/>
    </row>
    <row r="152" ht="15" customHeight="1">
      <c r="A152" t="inlineStr">
        <is>
          <t>A 19897-2022</t>
        </is>
      </c>
      <c r="B152" s="1" t="n">
        <v>44697</v>
      </c>
      <c r="C152" s="1" t="n">
        <v>46126</v>
      </c>
      <c r="D152" t="inlineStr">
        <is>
          <t>ÖSTERGÖTLANDS LÄN</t>
        </is>
      </c>
      <c r="E152" t="inlineStr">
        <is>
          <t>KINDA</t>
        </is>
      </c>
      <c r="G152" t="n">
        <v>0.9</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46126</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46126</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46126</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46126</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46126</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25670-2022</t>
        </is>
      </c>
      <c r="B158" s="1" t="n">
        <v>44733.01248842593</v>
      </c>
      <c r="C158" s="1" t="n">
        <v>46126</v>
      </c>
      <c r="D158" t="inlineStr">
        <is>
          <t>ÖSTERGÖTLANDS LÄN</t>
        </is>
      </c>
      <c r="E158" t="inlineStr">
        <is>
          <t>KINDA</t>
        </is>
      </c>
      <c r="G158" t="n">
        <v>0.7</v>
      </c>
      <c r="H158" t="n">
        <v>0</v>
      </c>
      <c r="I158" t="n">
        <v>0</v>
      </c>
      <c r="J158" t="n">
        <v>0</v>
      </c>
      <c r="K158" t="n">
        <v>0</v>
      </c>
      <c r="L158" t="n">
        <v>0</v>
      </c>
      <c r="M158" t="n">
        <v>0</v>
      </c>
      <c r="N158" t="n">
        <v>0</v>
      </c>
      <c r="O158" t="n">
        <v>0</v>
      </c>
      <c r="P158" t="n">
        <v>0</v>
      </c>
      <c r="Q158" t="n">
        <v>0</v>
      </c>
      <c r="R158" s="2" t="inlineStr"/>
    </row>
    <row r="159" ht="15" customHeight="1">
      <c r="A159" t="inlineStr">
        <is>
          <t>A 24711-2023</t>
        </is>
      </c>
      <c r="B159" s="1" t="n">
        <v>45078</v>
      </c>
      <c r="C159" s="1" t="n">
        <v>46126</v>
      </c>
      <c r="D159" t="inlineStr">
        <is>
          <t>ÖSTERGÖTLANDS LÄN</t>
        </is>
      </c>
      <c r="E159" t="inlineStr">
        <is>
          <t>KINDA</t>
        </is>
      </c>
      <c r="G159" t="n">
        <v>0.6</v>
      </c>
      <c r="H159" t="n">
        <v>0</v>
      </c>
      <c r="I159" t="n">
        <v>0</v>
      </c>
      <c r="J159" t="n">
        <v>0</v>
      </c>
      <c r="K159" t="n">
        <v>0</v>
      </c>
      <c r="L159" t="n">
        <v>0</v>
      </c>
      <c r="M159" t="n">
        <v>0</v>
      </c>
      <c r="N159" t="n">
        <v>0</v>
      </c>
      <c r="O159" t="n">
        <v>0</v>
      </c>
      <c r="P159" t="n">
        <v>0</v>
      </c>
      <c r="Q159" t="n">
        <v>0</v>
      </c>
      <c r="R159" s="2" t="inlineStr"/>
    </row>
    <row r="160" ht="15" customHeight="1">
      <c r="A160" t="inlineStr">
        <is>
          <t>A 8409-2025</t>
        </is>
      </c>
      <c r="B160" s="1" t="n">
        <v>45709.38978009259</v>
      </c>
      <c r="C160" s="1" t="n">
        <v>46126</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c r="U160">
        <f>HYPERLINK("https://klasma.github.io/Logging_0513/knärot/A 8409-2025 karta knärot.png", "A 8409-2025")</f>
        <v/>
      </c>
      <c r="V160">
        <f>HYPERLINK("https://klasma.github.io/Logging_0513/klagomål/A 8409-2025 FSC-klagomål.docx", "A 8409-2025")</f>
        <v/>
      </c>
      <c r="W160">
        <f>HYPERLINK("https://klasma.github.io/Logging_0513/klagomålsmail/A 8409-2025 FSC-klagomål mail.docx", "A 8409-2025")</f>
        <v/>
      </c>
      <c r="X160">
        <f>HYPERLINK("https://klasma.github.io/Logging_0513/tillsyn/A 8409-2025 tillsynsbegäran.docx", "A 8409-2025")</f>
        <v/>
      </c>
      <c r="Y160">
        <f>HYPERLINK("https://klasma.github.io/Logging_0513/tillsynsmail/A 8409-2025 tillsynsbegäran mail.docx", "A 8409-2025")</f>
        <v/>
      </c>
    </row>
    <row r="161" ht="15" customHeight="1">
      <c r="A161" t="inlineStr">
        <is>
          <t>A 30364-2021</t>
        </is>
      </c>
      <c r="B161" s="1" t="n">
        <v>44364.44892361111</v>
      </c>
      <c r="C161" s="1" t="n">
        <v>46126</v>
      </c>
      <c r="D161" t="inlineStr">
        <is>
          <t>ÖSTERGÖTLANDS LÄN</t>
        </is>
      </c>
      <c r="E161" t="inlineStr">
        <is>
          <t>KINDA</t>
        </is>
      </c>
      <c r="G161" t="n">
        <v>1.2</v>
      </c>
      <c r="H161" t="n">
        <v>0</v>
      </c>
      <c r="I161" t="n">
        <v>0</v>
      </c>
      <c r="J161" t="n">
        <v>0</v>
      </c>
      <c r="K161" t="n">
        <v>0</v>
      </c>
      <c r="L161" t="n">
        <v>0</v>
      </c>
      <c r="M161" t="n">
        <v>0</v>
      </c>
      <c r="N161" t="n">
        <v>0</v>
      </c>
      <c r="O161" t="n">
        <v>0</v>
      </c>
      <c r="P161" t="n">
        <v>0</v>
      </c>
      <c r="Q161" t="n">
        <v>0</v>
      </c>
      <c r="R161" s="2" t="inlineStr"/>
    </row>
    <row r="162" ht="15" customHeight="1">
      <c r="A162" t="inlineStr">
        <is>
          <t>A 36826-2022</t>
        </is>
      </c>
      <c r="B162" s="1" t="n">
        <v>44805.56214120371</v>
      </c>
      <c r="C162" s="1" t="n">
        <v>46126</v>
      </c>
      <c r="D162" t="inlineStr">
        <is>
          <t>ÖSTERGÖTLANDS LÄN</t>
        </is>
      </c>
      <c r="E162" t="inlineStr">
        <is>
          <t>KINDA</t>
        </is>
      </c>
      <c r="G162" t="n">
        <v>0.6</v>
      </c>
      <c r="H162" t="n">
        <v>0</v>
      </c>
      <c r="I162" t="n">
        <v>0</v>
      </c>
      <c r="J162" t="n">
        <v>0</v>
      </c>
      <c r="K162" t="n">
        <v>0</v>
      </c>
      <c r="L162" t="n">
        <v>0</v>
      </c>
      <c r="M162" t="n">
        <v>0</v>
      </c>
      <c r="N162" t="n">
        <v>0</v>
      </c>
      <c r="O162" t="n">
        <v>0</v>
      </c>
      <c r="P162" t="n">
        <v>0</v>
      </c>
      <c r="Q162" t="n">
        <v>0</v>
      </c>
      <c r="R162" s="2" t="inlineStr"/>
    </row>
    <row r="163" ht="15" customHeight="1">
      <c r="A163" t="inlineStr">
        <is>
          <t>A 21148-2022</t>
        </is>
      </c>
      <c r="B163" s="1" t="n">
        <v>44704.65763888889</v>
      </c>
      <c r="C163" s="1" t="n">
        <v>46126</v>
      </c>
      <c r="D163" t="inlineStr">
        <is>
          <t>ÖSTERGÖTLANDS LÄN</t>
        </is>
      </c>
      <c r="E163" t="inlineStr">
        <is>
          <t>KINDA</t>
        </is>
      </c>
      <c r="G163" t="n">
        <v>2.9</v>
      </c>
      <c r="H163" t="n">
        <v>0</v>
      </c>
      <c r="I163" t="n">
        <v>0</v>
      </c>
      <c r="J163" t="n">
        <v>0</v>
      </c>
      <c r="K163" t="n">
        <v>0</v>
      </c>
      <c r="L163" t="n">
        <v>0</v>
      </c>
      <c r="M163" t="n">
        <v>0</v>
      </c>
      <c r="N163" t="n">
        <v>0</v>
      </c>
      <c r="O163" t="n">
        <v>0</v>
      </c>
      <c r="P163" t="n">
        <v>0</v>
      </c>
      <c r="Q163" t="n">
        <v>0</v>
      </c>
      <c r="R163" s="2" t="inlineStr"/>
    </row>
    <row r="164" ht="15" customHeight="1">
      <c r="A164" t="inlineStr">
        <is>
          <t>A 53493-2022</t>
        </is>
      </c>
      <c r="B164" s="1" t="n">
        <v>44874</v>
      </c>
      <c r="C164" s="1" t="n">
        <v>46126</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35213-2023</t>
        </is>
      </c>
      <c r="B165" s="1" t="n">
        <v>45145.63927083334</v>
      </c>
      <c r="C165" s="1" t="n">
        <v>46126</v>
      </c>
      <c r="D165" t="inlineStr">
        <is>
          <t>ÖSTERGÖTLANDS LÄN</t>
        </is>
      </c>
      <c r="E165" t="inlineStr">
        <is>
          <t>KINDA</t>
        </is>
      </c>
      <c r="G165" t="n">
        <v>2.4</v>
      </c>
      <c r="H165" t="n">
        <v>0</v>
      </c>
      <c r="I165" t="n">
        <v>0</v>
      </c>
      <c r="J165" t="n">
        <v>0</v>
      </c>
      <c r="K165" t="n">
        <v>0</v>
      </c>
      <c r="L165" t="n">
        <v>0</v>
      </c>
      <c r="M165" t="n">
        <v>0</v>
      </c>
      <c r="N165" t="n">
        <v>0</v>
      </c>
      <c r="O165" t="n">
        <v>0</v>
      </c>
      <c r="P165" t="n">
        <v>0</v>
      </c>
      <c r="Q165" t="n">
        <v>0</v>
      </c>
      <c r="R165" s="2" t="inlineStr"/>
    </row>
    <row r="166" ht="15" customHeight="1">
      <c r="A166" t="inlineStr">
        <is>
          <t>A 71098-2021</t>
        </is>
      </c>
      <c r="B166" s="1" t="n">
        <v>44539.34103009259</v>
      </c>
      <c r="C166" s="1" t="n">
        <v>46126</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row>
    <row r="167" ht="15" customHeight="1">
      <c r="A167" t="inlineStr">
        <is>
          <t>A 7216-2023</t>
        </is>
      </c>
      <c r="B167" s="1" t="n">
        <v>44970.57682870371</v>
      </c>
      <c r="C167" s="1" t="n">
        <v>46126</v>
      </c>
      <c r="D167" t="inlineStr">
        <is>
          <t>ÖSTERGÖTLANDS LÄN</t>
        </is>
      </c>
      <c r="E167" t="inlineStr">
        <is>
          <t>KINDA</t>
        </is>
      </c>
      <c r="G167" t="n">
        <v>1.6</v>
      </c>
      <c r="H167" t="n">
        <v>0</v>
      </c>
      <c r="I167" t="n">
        <v>0</v>
      </c>
      <c r="J167" t="n">
        <v>0</v>
      </c>
      <c r="K167" t="n">
        <v>0</v>
      </c>
      <c r="L167" t="n">
        <v>0</v>
      </c>
      <c r="M167" t="n">
        <v>0</v>
      </c>
      <c r="N167" t="n">
        <v>0</v>
      </c>
      <c r="O167" t="n">
        <v>0</v>
      </c>
      <c r="P167" t="n">
        <v>0</v>
      </c>
      <c r="Q167" t="n">
        <v>0</v>
      </c>
      <c r="R167" s="2" t="inlineStr"/>
    </row>
    <row r="168" ht="15" customHeight="1">
      <c r="A168" t="inlineStr">
        <is>
          <t>A 5706-2024</t>
        </is>
      </c>
      <c r="B168" s="1" t="n">
        <v>45334.82431712963</v>
      </c>
      <c r="C168" s="1" t="n">
        <v>46126</v>
      </c>
      <c r="D168" t="inlineStr">
        <is>
          <t>ÖSTERGÖTLANDS LÄN</t>
        </is>
      </c>
      <c r="E168" t="inlineStr">
        <is>
          <t>KINDA</t>
        </is>
      </c>
      <c r="G168" t="n">
        <v>5.3</v>
      </c>
      <c r="H168" t="n">
        <v>0</v>
      </c>
      <c r="I168" t="n">
        <v>0</v>
      </c>
      <c r="J168" t="n">
        <v>0</v>
      </c>
      <c r="K168" t="n">
        <v>0</v>
      </c>
      <c r="L168" t="n">
        <v>0</v>
      </c>
      <c r="M168" t="n">
        <v>0</v>
      </c>
      <c r="N168" t="n">
        <v>0</v>
      </c>
      <c r="O168" t="n">
        <v>0</v>
      </c>
      <c r="P168" t="n">
        <v>0</v>
      </c>
      <c r="Q168" t="n">
        <v>0</v>
      </c>
      <c r="R168" s="2" t="inlineStr"/>
    </row>
    <row r="169" ht="15" customHeight="1">
      <c r="A169" t="inlineStr">
        <is>
          <t>A 24454-2023</t>
        </is>
      </c>
      <c r="B169" s="1" t="n">
        <v>45082.55885416667</v>
      </c>
      <c r="C169" s="1" t="n">
        <v>46126</v>
      </c>
      <c r="D169" t="inlineStr">
        <is>
          <t>ÖSTERGÖTLANDS LÄN</t>
        </is>
      </c>
      <c r="E169" t="inlineStr">
        <is>
          <t>KINDA</t>
        </is>
      </c>
      <c r="G169" t="n">
        <v>1.6</v>
      </c>
      <c r="H169" t="n">
        <v>0</v>
      </c>
      <c r="I169" t="n">
        <v>0</v>
      </c>
      <c r="J169" t="n">
        <v>0</v>
      </c>
      <c r="K169" t="n">
        <v>0</v>
      </c>
      <c r="L169" t="n">
        <v>0</v>
      </c>
      <c r="M169" t="n">
        <v>0</v>
      </c>
      <c r="N169" t="n">
        <v>0</v>
      </c>
      <c r="O169" t="n">
        <v>0</v>
      </c>
      <c r="P169" t="n">
        <v>0</v>
      </c>
      <c r="Q169" t="n">
        <v>0</v>
      </c>
      <c r="R169" s="2" t="inlineStr"/>
    </row>
    <row r="170" ht="15" customHeight="1">
      <c r="A170" t="inlineStr">
        <is>
          <t>A 4001-2025</t>
        </is>
      </c>
      <c r="B170" s="1" t="n">
        <v>45684.57195601852</v>
      </c>
      <c r="C170" s="1" t="n">
        <v>46126</v>
      </c>
      <c r="D170" t="inlineStr">
        <is>
          <t>ÖSTERGÖTLANDS LÄN</t>
        </is>
      </c>
      <c r="E170" t="inlineStr">
        <is>
          <t>KINDA</t>
        </is>
      </c>
      <c r="G170" t="n">
        <v>10.7</v>
      </c>
      <c r="H170" t="n">
        <v>0</v>
      </c>
      <c r="I170" t="n">
        <v>0</v>
      </c>
      <c r="J170" t="n">
        <v>0</v>
      </c>
      <c r="K170" t="n">
        <v>0</v>
      </c>
      <c r="L170" t="n">
        <v>0</v>
      </c>
      <c r="M170" t="n">
        <v>0</v>
      </c>
      <c r="N170" t="n">
        <v>0</v>
      </c>
      <c r="O170" t="n">
        <v>0</v>
      </c>
      <c r="P170" t="n">
        <v>0</v>
      </c>
      <c r="Q170" t="n">
        <v>0</v>
      </c>
      <c r="R170" s="2" t="inlineStr"/>
    </row>
    <row r="171" ht="15" customHeight="1">
      <c r="A171" t="inlineStr">
        <is>
          <t>A 57449-2021</t>
        </is>
      </c>
      <c r="B171" s="1" t="n">
        <v>44483</v>
      </c>
      <c r="C171" s="1" t="n">
        <v>46126</v>
      </c>
      <c r="D171" t="inlineStr">
        <is>
          <t>ÖSTERGÖTLANDS LÄN</t>
        </is>
      </c>
      <c r="E171" t="inlineStr">
        <is>
          <t>KINDA</t>
        </is>
      </c>
      <c r="G171" t="n">
        <v>5.3</v>
      </c>
      <c r="H171" t="n">
        <v>0</v>
      </c>
      <c r="I171" t="n">
        <v>0</v>
      </c>
      <c r="J171" t="n">
        <v>0</v>
      </c>
      <c r="K171" t="n">
        <v>0</v>
      </c>
      <c r="L171" t="n">
        <v>0</v>
      </c>
      <c r="M171" t="n">
        <v>0</v>
      </c>
      <c r="N171" t="n">
        <v>0</v>
      </c>
      <c r="O171" t="n">
        <v>0</v>
      </c>
      <c r="P171" t="n">
        <v>0</v>
      </c>
      <c r="Q171" t="n">
        <v>0</v>
      </c>
      <c r="R171" s="2" t="inlineStr"/>
    </row>
    <row r="172" ht="15" customHeight="1">
      <c r="A172" t="inlineStr">
        <is>
          <t>A 37880-2022</t>
        </is>
      </c>
      <c r="B172" s="1" t="n">
        <v>44811.38229166667</v>
      </c>
      <c r="C172" s="1" t="n">
        <v>46126</v>
      </c>
      <c r="D172" t="inlineStr">
        <is>
          <t>ÖSTERGÖTLANDS LÄN</t>
        </is>
      </c>
      <c r="E172" t="inlineStr">
        <is>
          <t>KINDA</t>
        </is>
      </c>
      <c r="G172" t="n">
        <v>4.1</v>
      </c>
      <c r="H172" t="n">
        <v>0</v>
      </c>
      <c r="I172" t="n">
        <v>0</v>
      </c>
      <c r="J172" t="n">
        <v>0</v>
      </c>
      <c r="K172" t="n">
        <v>0</v>
      </c>
      <c r="L172" t="n">
        <v>0</v>
      </c>
      <c r="M172" t="n">
        <v>0</v>
      </c>
      <c r="N172" t="n">
        <v>0</v>
      </c>
      <c r="O172" t="n">
        <v>0</v>
      </c>
      <c r="P172" t="n">
        <v>0</v>
      </c>
      <c r="Q172" t="n">
        <v>0</v>
      </c>
      <c r="R172" s="2" t="inlineStr"/>
    </row>
    <row r="173" ht="15" customHeight="1">
      <c r="A173" t="inlineStr">
        <is>
          <t>A 44303-2023</t>
        </is>
      </c>
      <c r="B173" s="1" t="n">
        <v>45188.64319444444</v>
      </c>
      <c r="C173" s="1" t="n">
        <v>46126</v>
      </c>
      <c r="D173" t="inlineStr">
        <is>
          <t>ÖSTERGÖTLANDS LÄN</t>
        </is>
      </c>
      <c r="E173" t="inlineStr">
        <is>
          <t>KINDA</t>
        </is>
      </c>
      <c r="G173" t="n">
        <v>2.9</v>
      </c>
      <c r="H173" t="n">
        <v>0</v>
      </c>
      <c r="I173" t="n">
        <v>0</v>
      </c>
      <c r="J173" t="n">
        <v>0</v>
      </c>
      <c r="K173" t="n">
        <v>0</v>
      </c>
      <c r="L173" t="n">
        <v>0</v>
      </c>
      <c r="M173" t="n">
        <v>0</v>
      </c>
      <c r="N173" t="n">
        <v>0</v>
      </c>
      <c r="O173" t="n">
        <v>0</v>
      </c>
      <c r="P173" t="n">
        <v>0</v>
      </c>
      <c r="Q173" t="n">
        <v>0</v>
      </c>
      <c r="R173" s="2" t="inlineStr"/>
    </row>
    <row r="174" ht="15" customHeight="1">
      <c r="A174" t="inlineStr">
        <is>
          <t>A 2430-2025</t>
        </is>
      </c>
      <c r="B174" s="1" t="n">
        <v>45674.40616898148</v>
      </c>
      <c r="C174" s="1" t="n">
        <v>46126</v>
      </c>
      <c r="D174" t="inlineStr">
        <is>
          <t>ÖSTERGÖTLANDS LÄN</t>
        </is>
      </c>
      <c r="E174" t="inlineStr">
        <is>
          <t>KINDA</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20920-2021</t>
        </is>
      </c>
      <c r="B175" s="1" t="n">
        <v>44319</v>
      </c>
      <c r="C175" s="1" t="n">
        <v>46126</v>
      </c>
      <c r="D175" t="inlineStr">
        <is>
          <t>ÖSTERGÖTLANDS LÄN</t>
        </is>
      </c>
      <c r="E175" t="inlineStr">
        <is>
          <t>KINDA</t>
        </is>
      </c>
      <c r="G175" t="n">
        <v>0.6</v>
      </c>
      <c r="H175" t="n">
        <v>0</v>
      </c>
      <c r="I175" t="n">
        <v>0</v>
      </c>
      <c r="J175" t="n">
        <v>0</v>
      </c>
      <c r="K175" t="n">
        <v>0</v>
      </c>
      <c r="L175" t="n">
        <v>0</v>
      </c>
      <c r="M175" t="n">
        <v>0</v>
      </c>
      <c r="N175" t="n">
        <v>0</v>
      </c>
      <c r="O175" t="n">
        <v>0</v>
      </c>
      <c r="P175" t="n">
        <v>0</v>
      </c>
      <c r="Q175" t="n">
        <v>0</v>
      </c>
      <c r="R175" s="2" t="inlineStr"/>
    </row>
    <row r="176" ht="15" customHeight="1">
      <c r="A176" t="inlineStr">
        <is>
          <t>A 9573-2024</t>
        </is>
      </c>
      <c r="B176" s="1" t="n">
        <v>45360.40449074074</v>
      </c>
      <c r="C176" s="1" t="n">
        <v>46126</v>
      </c>
      <c r="D176" t="inlineStr">
        <is>
          <t>ÖSTERGÖTLANDS LÄN</t>
        </is>
      </c>
      <c r="E176" t="inlineStr">
        <is>
          <t>KINDA</t>
        </is>
      </c>
      <c r="G176" t="n">
        <v>0.3</v>
      </c>
      <c r="H176" t="n">
        <v>0</v>
      </c>
      <c r="I176" t="n">
        <v>0</v>
      </c>
      <c r="J176" t="n">
        <v>0</v>
      </c>
      <c r="K176" t="n">
        <v>0</v>
      </c>
      <c r="L176" t="n">
        <v>0</v>
      </c>
      <c r="M176" t="n">
        <v>0</v>
      </c>
      <c r="N176" t="n">
        <v>0</v>
      </c>
      <c r="O176" t="n">
        <v>0</v>
      </c>
      <c r="P176" t="n">
        <v>0</v>
      </c>
      <c r="Q176" t="n">
        <v>0</v>
      </c>
      <c r="R176" s="2" t="inlineStr"/>
    </row>
    <row r="177" ht="15" customHeight="1">
      <c r="A177" t="inlineStr">
        <is>
          <t>A 9578-2024</t>
        </is>
      </c>
      <c r="B177" s="1" t="n">
        <v>45360.41894675926</v>
      </c>
      <c r="C177" s="1" t="n">
        <v>46126</v>
      </c>
      <c r="D177" t="inlineStr">
        <is>
          <t>ÖSTERGÖTLANDS LÄN</t>
        </is>
      </c>
      <c r="E177" t="inlineStr">
        <is>
          <t>KINDA</t>
        </is>
      </c>
      <c r="G177" t="n">
        <v>0.9</v>
      </c>
      <c r="H177" t="n">
        <v>0</v>
      </c>
      <c r="I177" t="n">
        <v>0</v>
      </c>
      <c r="J177" t="n">
        <v>0</v>
      </c>
      <c r="K177" t="n">
        <v>0</v>
      </c>
      <c r="L177" t="n">
        <v>0</v>
      </c>
      <c r="M177" t="n">
        <v>0</v>
      </c>
      <c r="N177" t="n">
        <v>0</v>
      </c>
      <c r="O177" t="n">
        <v>0</v>
      </c>
      <c r="P177" t="n">
        <v>0</v>
      </c>
      <c r="Q177" t="n">
        <v>0</v>
      </c>
      <c r="R177" s="2" t="inlineStr"/>
    </row>
    <row r="178" ht="15" customHeight="1">
      <c r="A178" t="inlineStr">
        <is>
          <t>A 24067-2022</t>
        </is>
      </c>
      <c r="B178" s="1" t="n">
        <v>44725.33693287037</v>
      </c>
      <c r="C178" s="1" t="n">
        <v>46126</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61544-2024</t>
        </is>
      </c>
      <c r="B179" s="1" t="n">
        <v>45646.5981712963</v>
      </c>
      <c r="C179" s="1" t="n">
        <v>46126</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37831-2023</t>
        </is>
      </c>
      <c r="B180" s="1" t="n">
        <v>45160.3425</v>
      </c>
      <c r="C180" s="1" t="n">
        <v>46126</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38136-2025</t>
        </is>
      </c>
      <c r="B181" s="1" t="n">
        <v>45882.56710648148</v>
      </c>
      <c r="C181" s="1" t="n">
        <v>46126</v>
      </c>
      <c r="D181" t="inlineStr">
        <is>
          <t>ÖSTERGÖTLANDS LÄN</t>
        </is>
      </c>
      <c r="E181" t="inlineStr">
        <is>
          <t>KINDA</t>
        </is>
      </c>
      <c r="G181" t="n">
        <v>0.3</v>
      </c>
      <c r="H181" t="n">
        <v>0</v>
      </c>
      <c r="I181" t="n">
        <v>0</v>
      </c>
      <c r="J181" t="n">
        <v>0</v>
      </c>
      <c r="K181" t="n">
        <v>0</v>
      </c>
      <c r="L181" t="n">
        <v>0</v>
      </c>
      <c r="M181" t="n">
        <v>0</v>
      </c>
      <c r="N181" t="n">
        <v>0</v>
      </c>
      <c r="O181" t="n">
        <v>0</v>
      </c>
      <c r="P181" t="n">
        <v>0</v>
      </c>
      <c r="Q181" t="n">
        <v>0</v>
      </c>
      <c r="R181" s="2" t="inlineStr"/>
    </row>
    <row r="182" ht="15" customHeight="1">
      <c r="A182" t="inlineStr">
        <is>
          <t>A 38250-2025</t>
        </is>
      </c>
      <c r="B182" s="1" t="n">
        <v>45883.3749537037</v>
      </c>
      <c r="C182" s="1" t="n">
        <v>46126</v>
      </c>
      <c r="D182" t="inlineStr">
        <is>
          <t>ÖSTERGÖTLANDS LÄN</t>
        </is>
      </c>
      <c r="E182" t="inlineStr">
        <is>
          <t>KINDA</t>
        </is>
      </c>
      <c r="G182" t="n">
        <v>3.1</v>
      </c>
      <c r="H182" t="n">
        <v>0</v>
      </c>
      <c r="I182" t="n">
        <v>0</v>
      </c>
      <c r="J182" t="n">
        <v>0</v>
      </c>
      <c r="K182" t="n">
        <v>0</v>
      </c>
      <c r="L182" t="n">
        <v>0</v>
      </c>
      <c r="M182" t="n">
        <v>0</v>
      </c>
      <c r="N182" t="n">
        <v>0</v>
      </c>
      <c r="O182" t="n">
        <v>0</v>
      </c>
      <c r="P182" t="n">
        <v>0</v>
      </c>
      <c r="Q182" t="n">
        <v>0</v>
      </c>
      <c r="R182" s="2" t="inlineStr"/>
    </row>
    <row r="183" ht="15" customHeight="1">
      <c r="A183" t="inlineStr">
        <is>
          <t>A 57690-2021</t>
        </is>
      </c>
      <c r="B183" s="1" t="n">
        <v>44484</v>
      </c>
      <c r="C183" s="1" t="n">
        <v>46126</v>
      </c>
      <c r="D183" t="inlineStr">
        <is>
          <t>ÖSTERGÖTLANDS LÄN</t>
        </is>
      </c>
      <c r="E183" t="inlineStr">
        <is>
          <t>KINDA</t>
        </is>
      </c>
      <c r="G183" t="n">
        <v>2.1</v>
      </c>
      <c r="H183" t="n">
        <v>0</v>
      </c>
      <c r="I183" t="n">
        <v>0</v>
      </c>
      <c r="J183" t="n">
        <v>0</v>
      </c>
      <c r="K183" t="n">
        <v>0</v>
      </c>
      <c r="L183" t="n">
        <v>0</v>
      </c>
      <c r="M183" t="n">
        <v>0</v>
      </c>
      <c r="N183" t="n">
        <v>0</v>
      </c>
      <c r="O183" t="n">
        <v>0</v>
      </c>
      <c r="P183" t="n">
        <v>0</v>
      </c>
      <c r="Q183" t="n">
        <v>0</v>
      </c>
      <c r="R183" s="2" t="inlineStr"/>
    </row>
    <row r="184" ht="15" customHeight="1">
      <c r="A184" t="inlineStr">
        <is>
          <t>A 38258-2025</t>
        </is>
      </c>
      <c r="B184" s="1" t="n">
        <v>45883.38797453704</v>
      </c>
      <c r="C184" s="1" t="n">
        <v>46126</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20343-2025</t>
        </is>
      </c>
      <c r="B185" s="1" t="n">
        <v>45775</v>
      </c>
      <c r="C185" s="1" t="n">
        <v>46126</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19324-2021</t>
        </is>
      </c>
      <c r="B186" s="1" t="n">
        <v>44309</v>
      </c>
      <c r="C186" s="1" t="n">
        <v>46126</v>
      </c>
      <c r="D186" t="inlineStr">
        <is>
          <t>ÖSTERGÖTLANDS LÄN</t>
        </is>
      </c>
      <c r="E186" t="inlineStr">
        <is>
          <t>KINDA</t>
        </is>
      </c>
      <c r="G186" t="n">
        <v>0.5</v>
      </c>
      <c r="H186" t="n">
        <v>0</v>
      </c>
      <c r="I186" t="n">
        <v>0</v>
      </c>
      <c r="J186" t="n">
        <v>0</v>
      </c>
      <c r="K186" t="n">
        <v>0</v>
      </c>
      <c r="L186" t="n">
        <v>0</v>
      </c>
      <c r="M186" t="n">
        <v>0</v>
      </c>
      <c r="N186" t="n">
        <v>0</v>
      </c>
      <c r="O186" t="n">
        <v>0</v>
      </c>
      <c r="P186" t="n">
        <v>0</v>
      </c>
      <c r="Q186" t="n">
        <v>0</v>
      </c>
      <c r="R186" s="2" t="inlineStr"/>
    </row>
    <row r="187" ht="15" customHeight="1">
      <c r="A187" t="inlineStr">
        <is>
          <t>A 7749-2024</t>
        </is>
      </c>
      <c r="B187" s="1" t="n">
        <v>45349.48241898148</v>
      </c>
      <c r="C187" s="1" t="n">
        <v>46126</v>
      </c>
      <c r="D187" t="inlineStr">
        <is>
          <t>ÖSTERGÖTLANDS LÄN</t>
        </is>
      </c>
      <c r="E187" t="inlineStr">
        <is>
          <t>KINDA</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2644-2025</t>
        </is>
      </c>
      <c r="B188" s="1" t="n">
        <v>45676</v>
      </c>
      <c r="C188" s="1" t="n">
        <v>46126</v>
      </c>
      <c r="D188" t="inlineStr">
        <is>
          <t>ÖSTERGÖTLANDS LÄN</t>
        </is>
      </c>
      <c r="E188" t="inlineStr">
        <is>
          <t>KINDA</t>
        </is>
      </c>
      <c r="G188" t="n">
        <v>1.6</v>
      </c>
      <c r="H188" t="n">
        <v>0</v>
      </c>
      <c r="I188" t="n">
        <v>0</v>
      </c>
      <c r="J188" t="n">
        <v>0</v>
      </c>
      <c r="K188" t="n">
        <v>0</v>
      </c>
      <c r="L188" t="n">
        <v>0</v>
      </c>
      <c r="M188" t="n">
        <v>0</v>
      </c>
      <c r="N188" t="n">
        <v>0</v>
      </c>
      <c r="O188" t="n">
        <v>0</v>
      </c>
      <c r="P188" t="n">
        <v>0</v>
      </c>
      <c r="Q188" t="n">
        <v>0</v>
      </c>
      <c r="R188" s="2" t="inlineStr"/>
    </row>
    <row r="189" ht="15" customHeight="1">
      <c r="A189" t="inlineStr">
        <is>
          <t>A 2645-2025</t>
        </is>
      </c>
      <c r="B189" s="1" t="n">
        <v>45676.49690972222</v>
      </c>
      <c r="C189" s="1" t="n">
        <v>46126</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17366-2023</t>
        </is>
      </c>
      <c r="B190" s="1" t="n">
        <v>45035</v>
      </c>
      <c r="C190" s="1" t="n">
        <v>46126</v>
      </c>
      <c r="D190" t="inlineStr">
        <is>
          <t>ÖSTERGÖTLANDS LÄN</t>
        </is>
      </c>
      <c r="E190" t="inlineStr">
        <is>
          <t>KINDA</t>
        </is>
      </c>
      <c r="G190" t="n">
        <v>0.5</v>
      </c>
      <c r="H190" t="n">
        <v>0</v>
      </c>
      <c r="I190" t="n">
        <v>0</v>
      </c>
      <c r="J190" t="n">
        <v>0</v>
      </c>
      <c r="K190" t="n">
        <v>0</v>
      </c>
      <c r="L190" t="n">
        <v>0</v>
      </c>
      <c r="M190" t="n">
        <v>0</v>
      </c>
      <c r="N190" t="n">
        <v>0</v>
      </c>
      <c r="O190" t="n">
        <v>0</v>
      </c>
      <c r="P190" t="n">
        <v>0</v>
      </c>
      <c r="Q190" t="n">
        <v>0</v>
      </c>
      <c r="R190" s="2" t="inlineStr"/>
    </row>
    <row r="191" ht="15" customHeight="1">
      <c r="A191" t="inlineStr">
        <is>
          <t>A 57767-2022</t>
        </is>
      </c>
      <c r="B191" s="1" t="n">
        <v>44897.60309027778</v>
      </c>
      <c r="C191" s="1" t="n">
        <v>46126</v>
      </c>
      <c r="D191" t="inlineStr">
        <is>
          <t>ÖSTERGÖTLANDS LÄN</t>
        </is>
      </c>
      <c r="E191" t="inlineStr">
        <is>
          <t>KINDA</t>
        </is>
      </c>
      <c r="G191" t="n">
        <v>6</v>
      </c>
      <c r="H191" t="n">
        <v>0</v>
      </c>
      <c r="I191" t="n">
        <v>0</v>
      </c>
      <c r="J191" t="n">
        <v>0</v>
      </c>
      <c r="K191" t="n">
        <v>0</v>
      </c>
      <c r="L191" t="n">
        <v>0</v>
      </c>
      <c r="M191" t="n">
        <v>0</v>
      </c>
      <c r="N191" t="n">
        <v>0</v>
      </c>
      <c r="O191" t="n">
        <v>0</v>
      </c>
      <c r="P191" t="n">
        <v>0</v>
      </c>
      <c r="Q191" t="n">
        <v>0</v>
      </c>
      <c r="R191" s="2" t="inlineStr"/>
    </row>
    <row r="192" ht="15" customHeight="1">
      <c r="A192" t="inlineStr">
        <is>
          <t>A 26625-2022</t>
        </is>
      </c>
      <c r="B192" s="1" t="n">
        <v>44739.5850462963</v>
      </c>
      <c r="C192" s="1" t="n">
        <v>46126</v>
      </c>
      <c r="D192" t="inlineStr">
        <is>
          <t>ÖSTERGÖTLANDS LÄN</t>
        </is>
      </c>
      <c r="E192" t="inlineStr">
        <is>
          <t>KINDA</t>
        </is>
      </c>
      <c r="G192" t="n">
        <v>3.2</v>
      </c>
      <c r="H192" t="n">
        <v>0</v>
      </c>
      <c r="I192" t="n">
        <v>0</v>
      </c>
      <c r="J192" t="n">
        <v>0</v>
      </c>
      <c r="K192" t="n">
        <v>0</v>
      </c>
      <c r="L192" t="n">
        <v>0</v>
      </c>
      <c r="M192" t="n">
        <v>0</v>
      </c>
      <c r="N192" t="n">
        <v>0</v>
      </c>
      <c r="O192" t="n">
        <v>0</v>
      </c>
      <c r="P192" t="n">
        <v>0</v>
      </c>
      <c r="Q192" t="n">
        <v>0</v>
      </c>
      <c r="R192" s="2" t="inlineStr"/>
    </row>
    <row r="193" ht="15" customHeight="1">
      <c r="A193" t="inlineStr">
        <is>
          <t>A 19545-2023</t>
        </is>
      </c>
      <c r="B193" s="1" t="n">
        <v>45049</v>
      </c>
      <c r="C193" s="1" t="n">
        <v>46126</v>
      </c>
      <c r="D193" t="inlineStr">
        <is>
          <t>ÖSTERGÖTLANDS LÄN</t>
        </is>
      </c>
      <c r="E193" t="inlineStr">
        <is>
          <t>KINDA</t>
        </is>
      </c>
      <c r="G193" t="n">
        <v>2.6</v>
      </c>
      <c r="H193" t="n">
        <v>0</v>
      </c>
      <c r="I193" t="n">
        <v>0</v>
      </c>
      <c r="J193" t="n">
        <v>0</v>
      </c>
      <c r="K193" t="n">
        <v>0</v>
      </c>
      <c r="L193" t="n">
        <v>0</v>
      </c>
      <c r="M193" t="n">
        <v>0</v>
      </c>
      <c r="N193" t="n">
        <v>0</v>
      </c>
      <c r="O193" t="n">
        <v>0</v>
      </c>
      <c r="P193" t="n">
        <v>0</v>
      </c>
      <c r="Q193" t="n">
        <v>0</v>
      </c>
      <c r="R193" s="2" t="inlineStr"/>
    </row>
    <row r="194" ht="15" customHeight="1">
      <c r="A194" t="inlineStr">
        <is>
          <t>A 38261-2025</t>
        </is>
      </c>
      <c r="B194" s="1" t="n">
        <v>45883.39684027778</v>
      </c>
      <c r="C194" s="1" t="n">
        <v>46126</v>
      </c>
      <c r="D194" t="inlineStr">
        <is>
          <t>ÖSTERGÖTLANDS LÄN</t>
        </is>
      </c>
      <c r="E194" t="inlineStr">
        <is>
          <t>KINDA</t>
        </is>
      </c>
      <c r="G194" t="n">
        <v>1.7</v>
      </c>
      <c r="H194" t="n">
        <v>0</v>
      </c>
      <c r="I194" t="n">
        <v>0</v>
      </c>
      <c r="J194" t="n">
        <v>0</v>
      </c>
      <c r="K194" t="n">
        <v>0</v>
      </c>
      <c r="L194" t="n">
        <v>0</v>
      </c>
      <c r="M194" t="n">
        <v>0</v>
      </c>
      <c r="N194" t="n">
        <v>0</v>
      </c>
      <c r="O194" t="n">
        <v>0</v>
      </c>
      <c r="P194" t="n">
        <v>0</v>
      </c>
      <c r="Q194" t="n">
        <v>0</v>
      </c>
      <c r="R194" s="2" t="inlineStr"/>
    </row>
    <row r="195" ht="15" customHeight="1">
      <c r="A195" t="inlineStr">
        <is>
          <t>A 23883-2023</t>
        </is>
      </c>
      <c r="B195" s="1" t="n">
        <v>45078.51806712963</v>
      </c>
      <c r="C195" s="1" t="n">
        <v>46126</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12461-2024</t>
        </is>
      </c>
      <c r="B196" s="1" t="n">
        <v>45379</v>
      </c>
      <c r="C196" s="1" t="n">
        <v>46126</v>
      </c>
      <c r="D196" t="inlineStr">
        <is>
          <t>ÖSTERGÖTLANDS LÄN</t>
        </is>
      </c>
      <c r="E196" t="inlineStr">
        <is>
          <t>KINDA</t>
        </is>
      </c>
      <c r="G196" t="n">
        <v>1.9</v>
      </c>
      <c r="H196" t="n">
        <v>0</v>
      </c>
      <c r="I196" t="n">
        <v>0</v>
      </c>
      <c r="J196" t="n">
        <v>0</v>
      </c>
      <c r="K196" t="n">
        <v>0</v>
      </c>
      <c r="L196" t="n">
        <v>0</v>
      </c>
      <c r="M196" t="n">
        <v>0</v>
      </c>
      <c r="N196" t="n">
        <v>0</v>
      </c>
      <c r="O196" t="n">
        <v>0</v>
      </c>
      <c r="P196" t="n">
        <v>0</v>
      </c>
      <c r="Q196" t="n">
        <v>0</v>
      </c>
      <c r="R196" s="2" t="inlineStr"/>
    </row>
    <row r="197" ht="15" customHeight="1">
      <c r="A197" t="inlineStr">
        <is>
          <t>A 4731-2025</t>
        </is>
      </c>
      <c r="B197" s="1" t="n">
        <v>45688.43620370371</v>
      </c>
      <c r="C197" s="1" t="n">
        <v>46126</v>
      </c>
      <c r="D197" t="inlineStr">
        <is>
          <t>ÖSTERGÖTLANDS LÄN</t>
        </is>
      </c>
      <c r="E197" t="inlineStr">
        <is>
          <t>KINDA</t>
        </is>
      </c>
      <c r="F197" t="inlineStr">
        <is>
          <t>Övriga Aktiebolag</t>
        </is>
      </c>
      <c r="G197" t="n">
        <v>6.3</v>
      </c>
      <c r="H197" t="n">
        <v>0</v>
      </c>
      <c r="I197" t="n">
        <v>0</v>
      </c>
      <c r="J197" t="n">
        <v>0</v>
      </c>
      <c r="K197" t="n">
        <v>0</v>
      </c>
      <c r="L197" t="n">
        <v>0</v>
      </c>
      <c r="M197" t="n">
        <v>0</v>
      </c>
      <c r="N197" t="n">
        <v>0</v>
      </c>
      <c r="O197" t="n">
        <v>0</v>
      </c>
      <c r="P197" t="n">
        <v>0</v>
      </c>
      <c r="Q197" t="n">
        <v>0</v>
      </c>
      <c r="R197" s="2" t="inlineStr"/>
    </row>
    <row r="198" ht="15" customHeight="1">
      <c r="A198" t="inlineStr">
        <is>
          <t>A 14493-2025</t>
        </is>
      </c>
      <c r="B198" s="1" t="n">
        <v>45741.61278935185</v>
      </c>
      <c r="C198" s="1" t="n">
        <v>46126</v>
      </c>
      <c r="D198" t="inlineStr">
        <is>
          <t>ÖSTERGÖTLANDS LÄN</t>
        </is>
      </c>
      <c r="E198" t="inlineStr">
        <is>
          <t>KINDA</t>
        </is>
      </c>
      <c r="G198" t="n">
        <v>5.1</v>
      </c>
      <c r="H198" t="n">
        <v>0</v>
      </c>
      <c r="I198" t="n">
        <v>0</v>
      </c>
      <c r="J198" t="n">
        <v>0</v>
      </c>
      <c r="K198" t="n">
        <v>0</v>
      </c>
      <c r="L198" t="n">
        <v>0</v>
      </c>
      <c r="M198" t="n">
        <v>0</v>
      </c>
      <c r="N198" t="n">
        <v>0</v>
      </c>
      <c r="O198" t="n">
        <v>0</v>
      </c>
      <c r="P198" t="n">
        <v>0</v>
      </c>
      <c r="Q198" t="n">
        <v>0</v>
      </c>
      <c r="R198" s="2" t="inlineStr"/>
    </row>
    <row r="199" ht="15" customHeight="1">
      <c r="A199" t="inlineStr">
        <is>
          <t>A 44278-2022</t>
        </is>
      </c>
      <c r="B199" s="1" t="n">
        <v>44839.58741898148</v>
      </c>
      <c r="C199" s="1" t="n">
        <v>46126</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61987-2023</t>
        </is>
      </c>
      <c r="B200" s="1" t="n">
        <v>45266.61387731481</v>
      </c>
      <c r="C200" s="1" t="n">
        <v>46126</v>
      </c>
      <c r="D200" t="inlineStr">
        <is>
          <t>ÖSTERGÖTLANDS LÄN</t>
        </is>
      </c>
      <c r="E200" t="inlineStr">
        <is>
          <t>KINDA</t>
        </is>
      </c>
      <c r="G200" t="n">
        <v>1.3</v>
      </c>
      <c r="H200" t="n">
        <v>0</v>
      </c>
      <c r="I200" t="n">
        <v>0</v>
      </c>
      <c r="J200" t="n">
        <v>0</v>
      </c>
      <c r="K200" t="n">
        <v>0</v>
      </c>
      <c r="L200" t="n">
        <v>0</v>
      </c>
      <c r="M200" t="n">
        <v>0</v>
      </c>
      <c r="N200" t="n">
        <v>0</v>
      </c>
      <c r="O200" t="n">
        <v>0</v>
      </c>
      <c r="P200" t="n">
        <v>0</v>
      </c>
      <c r="Q200" t="n">
        <v>0</v>
      </c>
      <c r="R200" s="2" t="inlineStr"/>
    </row>
    <row r="201" ht="15" customHeight="1">
      <c r="A201" t="inlineStr">
        <is>
          <t>A 22703-2023</t>
        </is>
      </c>
      <c r="B201" s="1" t="n">
        <v>45071</v>
      </c>
      <c r="C201" s="1" t="n">
        <v>46126</v>
      </c>
      <c r="D201" t="inlineStr">
        <is>
          <t>ÖSTERGÖTLANDS LÄN</t>
        </is>
      </c>
      <c r="E201" t="inlineStr">
        <is>
          <t>KINDA</t>
        </is>
      </c>
      <c r="G201" t="n">
        <v>1.1</v>
      </c>
      <c r="H201" t="n">
        <v>0</v>
      </c>
      <c r="I201" t="n">
        <v>0</v>
      </c>
      <c r="J201" t="n">
        <v>0</v>
      </c>
      <c r="K201" t="n">
        <v>0</v>
      </c>
      <c r="L201" t="n">
        <v>0</v>
      </c>
      <c r="M201" t="n">
        <v>0</v>
      </c>
      <c r="N201" t="n">
        <v>0</v>
      </c>
      <c r="O201" t="n">
        <v>0</v>
      </c>
      <c r="P201" t="n">
        <v>0</v>
      </c>
      <c r="Q201" t="n">
        <v>0</v>
      </c>
      <c r="R201" s="2" t="inlineStr"/>
    </row>
    <row r="202" ht="15" customHeight="1">
      <c r="A202" t="inlineStr">
        <is>
          <t>A 34135-2021</t>
        </is>
      </c>
      <c r="B202" s="1" t="n">
        <v>44379</v>
      </c>
      <c r="C202" s="1" t="n">
        <v>46126</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15303-2024</t>
        </is>
      </c>
      <c r="B203" s="1" t="n">
        <v>45400</v>
      </c>
      <c r="C203" s="1" t="n">
        <v>46126</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9568-2023</t>
        </is>
      </c>
      <c r="B204" s="1" t="n">
        <v>44982.5037962963</v>
      </c>
      <c r="C204" s="1" t="n">
        <v>46126</v>
      </c>
      <c r="D204" t="inlineStr">
        <is>
          <t>ÖSTERGÖTLANDS LÄN</t>
        </is>
      </c>
      <c r="E204" t="inlineStr">
        <is>
          <t>KINDA</t>
        </is>
      </c>
      <c r="G204" t="n">
        <v>3</v>
      </c>
      <c r="H204" t="n">
        <v>0</v>
      </c>
      <c r="I204" t="n">
        <v>0</v>
      </c>
      <c r="J204" t="n">
        <v>0</v>
      </c>
      <c r="K204" t="n">
        <v>0</v>
      </c>
      <c r="L204" t="n">
        <v>0</v>
      </c>
      <c r="M204" t="n">
        <v>0</v>
      </c>
      <c r="N204" t="n">
        <v>0</v>
      </c>
      <c r="O204" t="n">
        <v>0</v>
      </c>
      <c r="P204" t="n">
        <v>0</v>
      </c>
      <c r="Q204" t="n">
        <v>0</v>
      </c>
      <c r="R204" s="2" t="inlineStr"/>
    </row>
    <row r="205" ht="15" customHeight="1">
      <c r="A205" t="inlineStr">
        <is>
          <t>A 13064-2024</t>
        </is>
      </c>
      <c r="B205" s="1" t="n">
        <v>45385</v>
      </c>
      <c r="C205" s="1" t="n">
        <v>46126</v>
      </c>
      <c r="D205" t="inlineStr">
        <is>
          <t>ÖSTERGÖTLANDS LÄN</t>
        </is>
      </c>
      <c r="E205" t="inlineStr">
        <is>
          <t>KINDA</t>
        </is>
      </c>
      <c r="G205" t="n">
        <v>1.7</v>
      </c>
      <c r="H205" t="n">
        <v>0</v>
      </c>
      <c r="I205" t="n">
        <v>0</v>
      </c>
      <c r="J205" t="n">
        <v>0</v>
      </c>
      <c r="K205" t="n">
        <v>0</v>
      </c>
      <c r="L205" t="n">
        <v>0</v>
      </c>
      <c r="M205" t="n">
        <v>0</v>
      </c>
      <c r="N205" t="n">
        <v>0</v>
      </c>
      <c r="O205" t="n">
        <v>0</v>
      </c>
      <c r="P205" t="n">
        <v>0</v>
      </c>
      <c r="Q205" t="n">
        <v>0</v>
      </c>
      <c r="R205" s="2" t="inlineStr"/>
    </row>
    <row r="206" ht="15" customHeight="1">
      <c r="A206" t="inlineStr">
        <is>
          <t>A 6403-2025</t>
        </is>
      </c>
      <c r="B206" s="1" t="n">
        <v>45699.45127314814</v>
      </c>
      <c r="C206" s="1" t="n">
        <v>46126</v>
      </c>
      <c r="D206" t="inlineStr">
        <is>
          <t>ÖSTERGÖTLANDS LÄN</t>
        </is>
      </c>
      <c r="E206" t="inlineStr">
        <is>
          <t>KINDA</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6410-2025</t>
        </is>
      </c>
      <c r="B207" s="1" t="n">
        <v>45699.4584837963</v>
      </c>
      <c r="C207" s="1" t="n">
        <v>46126</v>
      </c>
      <c r="D207" t="inlineStr">
        <is>
          <t>ÖSTERGÖTLANDS LÄN</t>
        </is>
      </c>
      <c r="E207" t="inlineStr">
        <is>
          <t>KINDA</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25626-2022</t>
        </is>
      </c>
      <c r="B208" s="1" t="n">
        <v>44732</v>
      </c>
      <c r="C208" s="1" t="n">
        <v>46126</v>
      </c>
      <c r="D208" t="inlineStr">
        <is>
          <t>ÖSTERGÖTLANDS LÄN</t>
        </is>
      </c>
      <c r="E208" t="inlineStr">
        <is>
          <t>KINDA</t>
        </is>
      </c>
      <c r="G208" t="n">
        <v>7</v>
      </c>
      <c r="H208" t="n">
        <v>0</v>
      </c>
      <c r="I208" t="n">
        <v>0</v>
      </c>
      <c r="J208" t="n">
        <v>0</v>
      </c>
      <c r="K208" t="n">
        <v>0</v>
      </c>
      <c r="L208" t="n">
        <v>0</v>
      </c>
      <c r="M208" t="n">
        <v>0</v>
      </c>
      <c r="N208" t="n">
        <v>0</v>
      </c>
      <c r="O208" t="n">
        <v>0</v>
      </c>
      <c r="P208" t="n">
        <v>0</v>
      </c>
      <c r="Q208" t="n">
        <v>0</v>
      </c>
      <c r="R208" s="2" t="inlineStr"/>
    </row>
    <row r="209" ht="15" customHeight="1">
      <c r="A209" t="inlineStr">
        <is>
          <t>A 49798-2024</t>
        </is>
      </c>
      <c r="B209" s="1" t="n">
        <v>45597.37384259259</v>
      </c>
      <c r="C209" s="1" t="n">
        <v>46126</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58738-2024</t>
        </is>
      </c>
      <c r="B210" s="1" t="n">
        <v>45635.6921875</v>
      </c>
      <c r="C210" s="1" t="n">
        <v>46126</v>
      </c>
      <c r="D210" t="inlineStr">
        <is>
          <t>ÖSTERGÖTLANDS LÄN</t>
        </is>
      </c>
      <c r="E210" t="inlineStr">
        <is>
          <t>KINDA</t>
        </is>
      </c>
      <c r="G210" t="n">
        <v>0.7</v>
      </c>
      <c r="H210" t="n">
        <v>0</v>
      </c>
      <c r="I210" t="n">
        <v>0</v>
      </c>
      <c r="J210" t="n">
        <v>0</v>
      </c>
      <c r="K210" t="n">
        <v>0</v>
      </c>
      <c r="L210" t="n">
        <v>0</v>
      </c>
      <c r="M210" t="n">
        <v>0</v>
      </c>
      <c r="N210" t="n">
        <v>0</v>
      </c>
      <c r="O210" t="n">
        <v>0</v>
      </c>
      <c r="P210" t="n">
        <v>0</v>
      </c>
      <c r="Q210" t="n">
        <v>0</v>
      </c>
      <c r="R210" s="2" t="inlineStr"/>
      <c r="U210">
        <f>HYPERLINK("https://klasma.github.io/Logging_0513/knärot/A 58738-2024 karta knärot.png", "A 58738-2024")</f>
        <v/>
      </c>
      <c r="V210">
        <f>HYPERLINK("https://klasma.github.io/Logging_0513/klagomål/A 58738-2024 FSC-klagomål.docx", "A 58738-2024")</f>
        <v/>
      </c>
      <c r="W210">
        <f>HYPERLINK("https://klasma.github.io/Logging_0513/klagomålsmail/A 58738-2024 FSC-klagomål mail.docx", "A 58738-2024")</f>
        <v/>
      </c>
      <c r="X210">
        <f>HYPERLINK("https://klasma.github.io/Logging_0513/tillsyn/A 58738-2024 tillsynsbegäran.docx", "A 58738-2024")</f>
        <v/>
      </c>
      <c r="Y210">
        <f>HYPERLINK("https://klasma.github.io/Logging_0513/tillsynsmail/A 58738-2024 tillsynsbegäran mail.docx", "A 58738-2024")</f>
        <v/>
      </c>
    </row>
    <row r="211" ht="15" customHeight="1">
      <c r="A211" t="inlineStr">
        <is>
          <t>A 3988-2025</t>
        </is>
      </c>
      <c r="B211" s="1" t="n">
        <v>45684.55570601852</v>
      </c>
      <c r="C211" s="1" t="n">
        <v>46126</v>
      </c>
      <c r="D211" t="inlineStr">
        <is>
          <t>ÖSTERGÖTLANDS LÄN</t>
        </is>
      </c>
      <c r="E211" t="inlineStr">
        <is>
          <t>KINDA</t>
        </is>
      </c>
      <c r="G211" t="n">
        <v>2.7</v>
      </c>
      <c r="H211" t="n">
        <v>0</v>
      </c>
      <c r="I211" t="n">
        <v>0</v>
      </c>
      <c r="J211" t="n">
        <v>0</v>
      </c>
      <c r="K211" t="n">
        <v>0</v>
      </c>
      <c r="L211" t="n">
        <v>0</v>
      </c>
      <c r="M211" t="n">
        <v>0</v>
      </c>
      <c r="N211" t="n">
        <v>0</v>
      </c>
      <c r="O211" t="n">
        <v>0</v>
      </c>
      <c r="P211" t="n">
        <v>0</v>
      </c>
      <c r="Q211" t="n">
        <v>0</v>
      </c>
      <c r="R211" s="2" t="inlineStr"/>
    </row>
    <row r="212" ht="15" customHeight="1">
      <c r="A212" t="inlineStr">
        <is>
          <t>A 24844-2024</t>
        </is>
      </c>
      <c r="B212" s="1" t="n">
        <v>45461.42116898148</v>
      </c>
      <c r="C212" s="1" t="n">
        <v>46126</v>
      </c>
      <c r="D212" t="inlineStr">
        <is>
          <t>ÖSTERGÖTLANDS LÄN</t>
        </is>
      </c>
      <c r="E212" t="inlineStr">
        <is>
          <t>KINDA</t>
        </is>
      </c>
      <c r="G212" t="n">
        <v>0.9</v>
      </c>
      <c r="H212" t="n">
        <v>0</v>
      </c>
      <c r="I212" t="n">
        <v>0</v>
      </c>
      <c r="J212" t="n">
        <v>0</v>
      </c>
      <c r="K212" t="n">
        <v>0</v>
      </c>
      <c r="L212" t="n">
        <v>0</v>
      </c>
      <c r="M212" t="n">
        <v>0</v>
      </c>
      <c r="N212" t="n">
        <v>0</v>
      </c>
      <c r="O212" t="n">
        <v>0</v>
      </c>
      <c r="P212" t="n">
        <v>0</v>
      </c>
      <c r="Q212" t="n">
        <v>0</v>
      </c>
      <c r="R212" s="2" t="inlineStr"/>
    </row>
    <row r="213" ht="15" customHeight="1">
      <c r="A213" t="inlineStr">
        <is>
          <t>A 17669-2025</t>
        </is>
      </c>
      <c r="B213" s="1" t="n">
        <v>45758.36638888889</v>
      </c>
      <c r="C213" s="1" t="n">
        <v>46126</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2966-2024</t>
        </is>
      </c>
      <c r="B214" s="1" t="n">
        <v>45315.66575231482</v>
      </c>
      <c r="C214" s="1" t="n">
        <v>46126</v>
      </c>
      <c r="D214" t="inlineStr">
        <is>
          <t>ÖSTERGÖTLANDS LÄN</t>
        </is>
      </c>
      <c r="E214" t="inlineStr">
        <is>
          <t>KINDA</t>
        </is>
      </c>
      <c r="G214" t="n">
        <v>1.5</v>
      </c>
      <c r="H214" t="n">
        <v>0</v>
      </c>
      <c r="I214" t="n">
        <v>0</v>
      </c>
      <c r="J214" t="n">
        <v>0</v>
      </c>
      <c r="K214" t="n">
        <v>0</v>
      </c>
      <c r="L214" t="n">
        <v>0</v>
      </c>
      <c r="M214" t="n">
        <v>0</v>
      </c>
      <c r="N214" t="n">
        <v>0</v>
      </c>
      <c r="O214" t="n">
        <v>0</v>
      </c>
      <c r="P214" t="n">
        <v>0</v>
      </c>
      <c r="Q214" t="n">
        <v>0</v>
      </c>
      <c r="R214" s="2" t="inlineStr"/>
    </row>
    <row r="215" ht="15" customHeight="1">
      <c r="A215" t="inlineStr">
        <is>
          <t>A 52991-2023</t>
        </is>
      </c>
      <c r="B215" s="1" t="n">
        <v>45226.62546296296</v>
      </c>
      <c r="C215" s="1" t="n">
        <v>46126</v>
      </c>
      <c r="D215" t="inlineStr">
        <is>
          <t>ÖSTERGÖTLANDS LÄN</t>
        </is>
      </c>
      <c r="E215" t="inlineStr">
        <is>
          <t>KINDA</t>
        </is>
      </c>
      <c r="G215" t="n">
        <v>3.8</v>
      </c>
      <c r="H215" t="n">
        <v>0</v>
      </c>
      <c r="I215" t="n">
        <v>0</v>
      </c>
      <c r="J215" t="n">
        <v>0</v>
      </c>
      <c r="K215" t="n">
        <v>0</v>
      </c>
      <c r="L215" t="n">
        <v>0</v>
      </c>
      <c r="M215" t="n">
        <v>0</v>
      </c>
      <c r="N215" t="n">
        <v>0</v>
      </c>
      <c r="O215" t="n">
        <v>0</v>
      </c>
      <c r="P215" t="n">
        <v>0</v>
      </c>
      <c r="Q215" t="n">
        <v>0</v>
      </c>
      <c r="R215" s="2" t="inlineStr"/>
    </row>
    <row r="216" ht="15" customHeight="1">
      <c r="A216" t="inlineStr">
        <is>
          <t>A 39097-2025</t>
        </is>
      </c>
      <c r="B216" s="1" t="n">
        <v>45888</v>
      </c>
      <c r="C216" s="1" t="n">
        <v>46126</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39101-2025</t>
        </is>
      </c>
      <c r="B217" s="1" t="n">
        <v>45888</v>
      </c>
      <c r="C217" s="1" t="n">
        <v>46126</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46126</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3820-2024</t>
        </is>
      </c>
      <c r="B219" s="1" t="n">
        <v>45321.70762731481</v>
      </c>
      <c r="C219" s="1" t="n">
        <v>46126</v>
      </c>
      <c r="D219" t="inlineStr">
        <is>
          <t>ÖSTERGÖTLANDS LÄN</t>
        </is>
      </c>
      <c r="E219" t="inlineStr">
        <is>
          <t>KINDA</t>
        </is>
      </c>
      <c r="G219" t="n">
        <v>3.4</v>
      </c>
      <c r="H219" t="n">
        <v>0</v>
      </c>
      <c r="I219" t="n">
        <v>0</v>
      </c>
      <c r="J219" t="n">
        <v>0</v>
      </c>
      <c r="K219" t="n">
        <v>0</v>
      </c>
      <c r="L219" t="n">
        <v>0</v>
      </c>
      <c r="M219" t="n">
        <v>0</v>
      </c>
      <c r="N219" t="n">
        <v>0</v>
      </c>
      <c r="O219" t="n">
        <v>0</v>
      </c>
      <c r="P219" t="n">
        <v>0</v>
      </c>
      <c r="Q219" t="n">
        <v>0</v>
      </c>
      <c r="R219" s="2" t="inlineStr"/>
    </row>
    <row r="220" ht="15" customHeight="1">
      <c r="A220" t="inlineStr">
        <is>
          <t>A 31147-2025</t>
        </is>
      </c>
      <c r="B220" s="1" t="n">
        <v>45832.6390625</v>
      </c>
      <c r="C220" s="1" t="n">
        <v>46126</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6404-2025</t>
        </is>
      </c>
      <c r="B221" s="1" t="n">
        <v>45699.45336805555</v>
      </c>
      <c r="C221" s="1" t="n">
        <v>46126</v>
      </c>
      <c r="D221" t="inlineStr">
        <is>
          <t>ÖSTERGÖTLANDS LÄN</t>
        </is>
      </c>
      <c r="E221" t="inlineStr">
        <is>
          <t>KINDA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6406-2025</t>
        </is>
      </c>
      <c r="B222" s="1" t="n">
        <v>45699.45508101852</v>
      </c>
      <c r="C222" s="1" t="n">
        <v>46126</v>
      </c>
      <c r="D222" t="inlineStr">
        <is>
          <t>ÖSTERGÖTLANDS LÄN</t>
        </is>
      </c>
      <c r="E222" t="inlineStr">
        <is>
          <t>KINDA</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36942-2023</t>
        </is>
      </c>
      <c r="B223" s="1" t="n">
        <v>45154.72465277778</v>
      </c>
      <c r="C223" s="1" t="n">
        <v>46126</v>
      </c>
      <c r="D223" t="inlineStr">
        <is>
          <t>ÖSTERGÖTLANDS LÄN</t>
        </is>
      </c>
      <c r="E223" t="inlineStr">
        <is>
          <t>KINDA</t>
        </is>
      </c>
      <c r="F223" t="inlineStr">
        <is>
          <t>Allmännings- och besparingsskogar</t>
        </is>
      </c>
      <c r="G223" t="n">
        <v>14.8</v>
      </c>
      <c r="H223" t="n">
        <v>0</v>
      </c>
      <c r="I223" t="n">
        <v>0</v>
      </c>
      <c r="J223" t="n">
        <v>0</v>
      </c>
      <c r="K223" t="n">
        <v>0</v>
      </c>
      <c r="L223" t="n">
        <v>0</v>
      </c>
      <c r="M223" t="n">
        <v>0</v>
      </c>
      <c r="N223" t="n">
        <v>0</v>
      </c>
      <c r="O223" t="n">
        <v>0</v>
      </c>
      <c r="P223" t="n">
        <v>0</v>
      </c>
      <c r="Q223" t="n">
        <v>0</v>
      </c>
      <c r="R223" s="2" t="inlineStr"/>
    </row>
    <row r="224" ht="15" customHeight="1">
      <c r="A224" t="inlineStr">
        <is>
          <t>A 22029-2025</t>
        </is>
      </c>
      <c r="B224" s="1" t="n">
        <v>45785.24804398148</v>
      </c>
      <c r="C224" s="1" t="n">
        <v>46126</v>
      </c>
      <c r="D224" t="inlineStr">
        <is>
          <t>ÖSTERGÖTLANDS LÄN</t>
        </is>
      </c>
      <c r="E224" t="inlineStr">
        <is>
          <t>KINDA</t>
        </is>
      </c>
      <c r="G224" t="n">
        <v>5.2</v>
      </c>
      <c r="H224" t="n">
        <v>0</v>
      </c>
      <c r="I224" t="n">
        <v>0</v>
      </c>
      <c r="J224" t="n">
        <v>0</v>
      </c>
      <c r="K224" t="n">
        <v>0</v>
      </c>
      <c r="L224" t="n">
        <v>0</v>
      </c>
      <c r="M224" t="n">
        <v>0</v>
      </c>
      <c r="N224" t="n">
        <v>0</v>
      </c>
      <c r="O224" t="n">
        <v>0</v>
      </c>
      <c r="P224" t="n">
        <v>0</v>
      </c>
      <c r="Q224" t="n">
        <v>0</v>
      </c>
      <c r="R224" s="2" t="inlineStr"/>
    </row>
    <row r="225" ht="15" customHeight="1">
      <c r="A225" t="inlineStr">
        <is>
          <t>A 2967-2024</t>
        </is>
      </c>
      <c r="B225" s="1" t="n">
        <v>45315.66689814815</v>
      </c>
      <c r="C225" s="1" t="n">
        <v>46126</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51047-2022</t>
        </is>
      </c>
      <c r="B226" s="1" t="n">
        <v>44868</v>
      </c>
      <c r="C226" s="1" t="n">
        <v>46126</v>
      </c>
      <c r="D226" t="inlineStr">
        <is>
          <t>ÖSTERGÖTLANDS LÄN</t>
        </is>
      </c>
      <c r="E226" t="inlineStr">
        <is>
          <t>KINDA</t>
        </is>
      </c>
      <c r="G226" t="n">
        <v>0.9</v>
      </c>
      <c r="H226" t="n">
        <v>0</v>
      </c>
      <c r="I226" t="n">
        <v>0</v>
      </c>
      <c r="J226" t="n">
        <v>0</v>
      </c>
      <c r="K226" t="n">
        <v>0</v>
      </c>
      <c r="L226" t="n">
        <v>0</v>
      </c>
      <c r="M226" t="n">
        <v>0</v>
      </c>
      <c r="N226" t="n">
        <v>0</v>
      </c>
      <c r="O226" t="n">
        <v>0</v>
      </c>
      <c r="P226" t="n">
        <v>0</v>
      </c>
      <c r="Q226" t="n">
        <v>0</v>
      </c>
      <c r="R226" s="2" t="inlineStr"/>
    </row>
    <row r="227" ht="15" customHeight="1">
      <c r="A227" t="inlineStr">
        <is>
          <t>A 39090-2025</t>
        </is>
      </c>
      <c r="B227" s="1" t="n">
        <v>45888.49229166667</v>
      </c>
      <c r="C227" s="1" t="n">
        <v>46126</v>
      </c>
      <c r="D227" t="inlineStr">
        <is>
          <t>ÖSTERGÖTLANDS LÄN</t>
        </is>
      </c>
      <c r="E227" t="inlineStr">
        <is>
          <t>KINDA</t>
        </is>
      </c>
      <c r="G227" t="n">
        <v>5.4</v>
      </c>
      <c r="H227" t="n">
        <v>0</v>
      </c>
      <c r="I227" t="n">
        <v>0</v>
      </c>
      <c r="J227" t="n">
        <v>0</v>
      </c>
      <c r="K227" t="n">
        <v>0</v>
      </c>
      <c r="L227" t="n">
        <v>0</v>
      </c>
      <c r="M227" t="n">
        <v>0</v>
      </c>
      <c r="N227" t="n">
        <v>0</v>
      </c>
      <c r="O227" t="n">
        <v>0</v>
      </c>
      <c r="P227" t="n">
        <v>0</v>
      </c>
      <c r="Q227" t="n">
        <v>0</v>
      </c>
      <c r="R227" s="2" t="inlineStr"/>
    </row>
    <row r="228" ht="15" customHeight="1">
      <c r="A228" t="inlineStr">
        <is>
          <t>A 21716-2024</t>
        </is>
      </c>
      <c r="B228" s="1" t="n">
        <v>45442.48741898148</v>
      </c>
      <c r="C228" s="1" t="n">
        <v>46126</v>
      </c>
      <c r="D228" t="inlineStr">
        <is>
          <t>ÖSTERGÖTLANDS LÄN</t>
        </is>
      </c>
      <c r="E228" t="inlineStr">
        <is>
          <t>KINDA</t>
        </is>
      </c>
      <c r="G228" t="n">
        <v>0.2</v>
      </c>
      <c r="H228" t="n">
        <v>0</v>
      </c>
      <c r="I228" t="n">
        <v>0</v>
      </c>
      <c r="J228" t="n">
        <v>0</v>
      </c>
      <c r="K228" t="n">
        <v>0</v>
      </c>
      <c r="L228" t="n">
        <v>0</v>
      </c>
      <c r="M228" t="n">
        <v>0</v>
      </c>
      <c r="N228" t="n">
        <v>0</v>
      </c>
      <c r="O228" t="n">
        <v>0</v>
      </c>
      <c r="P228" t="n">
        <v>0</v>
      </c>
      <c r="Q228" t="n">
        <v>0</v>
      </c>
      <c r="R228" s="2" t="inlineStr"/>
    </row>
    <row r="229" ht="15" customHeight="1">
      <c r="A229" t="inlineStr">
        <is>
          <t>A 20083-2021</t>
        </is>
      </c>
      <c r="B229" s="1" t="n">
        <v>44314</v>
      </c>
      <c r="C229" s="1" t="n">
        <v>46126</v>
      </c>
      <c r="D229" t="inlineStr">
        <is>
          <t>ÖSTERGÖTLANDS LÄN</t>
        </is>
      </c>
      <c r="E229" t="inlineStr">
        <is>
          <t>KINDA</t>
        </is>
      </c>
      <c r="G229" t="n">
        <v>2.7</v>
      </c>
      <c r="H229" t="n">
        <v>0</v>
      </c>
      <c r="I229" t="n">
        <v>0</v>
      </c>
      <c r="J229" t="n">
        <v>0</v>
      </c>
      <c r="K229" t="n">
        <v>0</v>
      </c>
      <c r="L229" t="n">
        <v>0</v>
      </c>
      <c r="M229" t="n">
        <v>0</v>
      </c>
      <c r="N229" t="n">
        <v>0</v>
      </c>
      <c r="O229" t="n">
        <v>0</v>
      </c>
      <c r="P229" t="n">
        <v>0</v>
      </c>
      <c r="Q229" t="n">
        <v>0</v>
      </c>
      <c r="R229" s="2" t="inlineStr"/>
    </row>
    <row r="230" ht="15" customHeight="1">
      <c r="A230" t="inlineStr">
        <is>
          <t>A 42084-2024</t>
        </is>
      </c>
      <c r="B230" s="1" t="n">
        <v>45562.3316087963</v>
      </c>
      <c r="C230" s="1" t="n">
        <v>46126</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29726-2022</t>
        </is>
      </c>
      <c r="B231" s="1" t="n">
        <v>44755.45060185185</v>
      </c>
      <c r="C231" s="1" t="n">
        <v>46126</v>
      </c>
      <c r="D231" t="inlineStr">
        <is>
          <t>ÖSTERGÖTLANDS LÄN</t>
        </is>
      </c>
      <c r="E231" t="inlineStr">
        <is>
          <t>KINDA</t>
        </is>
      </c>
      <c r="G231" t="n">
        <v>1.2</v>
      </c>
      <c r="H231" t="n">
        <v>0</v>
      </c>
      <c r="I231" t="n">
        <v>0</v>
      </c>
      <c r="J231" t="n">
        <v>0</v>
      </c>
      <c r="K231" t="n">
        <v>0</v>
      </c>
      <c r="L231" t="n">
        <v>0</v>
      </c>
      <c r="M231" t="n">
        <v>0</v>
      </c>
      <c r="N231" t="n">
        <v>0</v>
      </c>
      <c r="O231" t="n">
        <v>0</v>
      </c>
      <c r="P231" t="n">
        <v>0</v>
      </c>
      <c r="Q231" t="n">
        <v>0</v>
      </c>
      <c r="R231" s="2" t="inlineStr"/>
    </row>
    <row r="232" ht="15" customHeight="1">
      <c r="A232" t="inlineStr">
        <is>
          <t>A 37196-2024</t>
        </is>
      </c>
      <c r="B232" s="1" t="n">
        <v>45539.66679398148</v>
      </c>
      <c r="C232" s="1" t="n">
        <v>46126</v>
      </c>
      <c r="D232" t="inlineStr">
        <is>
          <t>ÖSTERGÖTLANDS LÄN</t>
        </is>
      </c>
      <c r="E232" t="inlineStr">
        <is>
          <t>KINDA</t>
        </is>
      </c>
      <c r="G232" t="n">
        <v>0.6</v>
      </c>
      <c r="H232" t="n">
        <v>0</v>
      </c>
      <c r="I232" t="n">
        <v>0</v>
      </c>
      <c r="J232" t="n">
        <v>0</v>
      </c>
      <c r="K232" t="n">
        <v>0</v>
      </c>
      <c r="L232" t="n">
        <v>0</v>
      </c>
      <c r="M232" t="n">
        <v>0</v>
      </c>
      <c r="N232" t="n">
        <v>0</v>
      </c>
      <c r="O232" t="n">
        <v>0</v>
      </c>
      <c r="P232" t="n">
        <v>0</v>
      </c>
      <c r="Q232" t="n">
        <v>0</v>
      </c>
      <c r="R232" s="2" t="inlineStr"/>
    </row>
    <row r="233" ht="15" customHeight="1">
      <c r="A233" t="inlineStr">
        <is>
          <t>A 9577-2024</t>
        </is>
      </c>
      <c r="B233" s="1" t="n">
        <v>45360.4172337963</v>
      </c>
      <c r="C233" s="1" t="n">
        <v>46126</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39246-2025</t>
        </is>
      </c>
      <c r="B234" s="1" t="n">
        <v>45889.35399305556</v>
      </c>
      <c r="C234" s="1" t="n">
        <v>46126</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4914-2023</t>
        </is>
      </c>
      <c r="B235" s="1" t="n">
        <v>44958.38997685185</v>
      </c>
      <c r="C235" s="1" t="n">
        <v>46126</v>
      </c>
      <c r="D235" t="inlineStr">
        <is>
          <t>ÖSTERGÖTLANDS LÄN</t>
        </is>
      </c>
      <c r="E235" t="inlineStr">
        <is>
          <t>KINDA</t>
        </is>
      </c>
      <c r="G235" t="n">
        <v>1.8</v>
      </c>
      <c r="H235" t="n">
        <v>0</v>
      </c>
      <c r="I235" t="n">
        <v>0</v>
      </c>
      <c r="J235" t="n">
        <v>0</v>
      </c>
      <c r="K235" t="n">
        <v>0</v>
      </c>
      <c r="L235" t="n">
        <v>0</v>
      </c>
      <c r="M235" t="n">
        <v>0</v>
      </c>
      <c r="N235" t="n">
        <v>0</v>
      </c>
      <c r="O235" t="n">
        <v>0</v>
      </c>
      <c r="P235" t="n">
        <v>0</v>
      </c>
      <c r="Q235" t="n">
        <v>0</v>
      </c>
      <c r="R235" s="2" t="inlineStr"/>
    </row>
    <row r="236" ht="15" customHeight="1">
      <c r="A236" t="inlineStr">
        <is>
          <t>A 22048-2021</t>
        </is>
      </c>
      <c r="B236" s="1" t="n">
        <v>44323</v>
      </c>
      <c r="C236" s="1" t="n">
        <v>46126</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60343-2023</t>
        </is>
      </c>
      <c r="B237" s="1" t="n">
        <v>45259.31565972222</v>
      </c>
      <c r="C237" s="1" t="n">
        <v>46126</v>
      </c>
      <c r="D237" t="inlineStr">
        <is>
          <t>ÖSTERGÖTLANDS LÄN</t>
        </is>
      </c>
      <c r="E237" t="inlineStr">
        <is>
          <t>KINDA</t>
        </is>
      </c>
      <c r="G237" t="n">
        <v>1.5</v>
      </c>
      <c r="H237" t="n">
        <v>0</v>
      </c>
      <c r="I237" t="n">
        <v>0</v>
      </c>
      <c r="J237" t="n">
        <v>0</v>
      </c>
      <c r="K237" t="n">
        <v>0</v>
      </c>
      <c r="L237" t="n">
        <v>0</v>
      </c>
      <c r="M237" t="n">
        <v>0</v>
      </c>
      <c r="N237" t="n">
        <v>0</v>
      </c>
      <c r="O237" t="n">
        <v>0</v>
      </c>
      <c r="P237" t="n">
        <v>0</v>
      </c>
      <c r="Q237" t="n">
        <v>0</v>
      </c>
      <c r="R237" s="2" t="inlineStr"/>
    </row>
    <row r="238" ht="15" customHeight="1">
      <c r="A238" t="inlineStr">
        <is>
          <t>A 9203-2023</t>
        </is>
      </c>
      <c r="B238" s="1" t="n">
        <v>44977</v>
      </c>
      <c r="C238" s="1" t="n">
        <v>46126</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1760-2024</t>
        </is>
      </c>
      <c r="B239" s="1" t="n">
        <v>45307.48108796297</v>
      </c>
      <c r="C239" s="1" t="n">
        <v>46126</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2638-2024</t>
        </is>
      </c>
      <c r="B240" s="1" t="n">
        <v>45314.33872685185</v>
      </c>
      <c r="C240" s="1" t="n">
        <v>46126</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26146-2024</t>
        </is>
      </c>
      <c r="B241" s="1" t="n">
        <v>45468.49909722222</v>
      </c>
      <c r="C241" s="1" t="n">
        <v>46126</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39242-2024</t>
        </is>
      </c>
      <c r="B242" s="1" t="n">
        <v>45551.28467592593</v>
      </c>
      <c r="C242" s="1" t="n">
        <v>46126</v>
      </c>
      <c r="D242" t="inlineStr">
        <is>
          <t>ÖSTERGÖTLANDS LÄN</t>
        </is>
      </c>
      <c r="E242" t="inlineStr">
        <is>
          <t>KINDA</t>
        </is>
      </c>
      <c r="G242" t="n">
        <v>3.9</v>
      </c>
      <c r="H242" t="n">
        <v>0</v>
      </c>
      <c r="I242" t="n">
        <v>0</v>
      </c>
      <c r="J242" t="n">
        <v>0</v>
      </c>
      <c r="K242" t="n">
        <v>0</v>
      </c>
      <c r="L242" t="n">
        <v>0</v>
      </c>
      <c r="M242" t="n">
        <v>0</v>
      </c>
      <c r="N242" t="n">
        <v>0</v>
      </c>
      <c r="O242" t="n">
        <v>0</v>
      </c>
      <c r="P242" t="n">
        <v>0</v>
      </c>
      <c r="Q242" t="n">
        <v>0</v>
      </c>
      <c r="R242" s="2" t="inlineStr"/>
    </row>
    <row r="243" ht="15" customHeight="1">
      <c r="A243" t="inlineStr">
        <is>
          <t>A 3907-2023</t>
        </is>
      </c>
      <c r="B243" s="1" t="n">
        <v>44952.00760416667</v>
      </c>
      <c r="C243" s="1" t="n">
        <v>46126</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46925-2023</t>
        </is>
      </c>
      <c r="B244" s="1" t="n">
        <v>45201.40716435185</v>
      </c>
      <c r="C244" s="1" t="n">
        <v>46126</v>
      </c>
      <c r="D244" t="inlineStr">
        <is>
          <t>ÖSTERGÖTLANDS LÄN</t>
        </is>
      </c>
      <c r="E244" t="inlineStr">
        <is>
          <t>KINDA</t>
        </is>
      </c>
      <c r="G244" t="n">
        <v>1.2</v>
      </c>
      <c r="H244" t="n">
        <v>0</v>
      </c>
      <c r="I244" t="n">
        <v>0</v>
      </c>
      <c r="J244" t="n">
        <v>0</v>
      </c>
      <c r="K244" t="n">
        <v>0</v>
      </c>
      <c r="L244" t="n">
        <v>0</v>
      </c>
      <c r="M244" t="n">
        <v>0</v>
      </c>
      <c r="N244" t="n">
        <v>0</v>
      </c>
      <c r="O244" t="n">
        <v>0</v>
      </c>
      <c r="P244" t="n">
        <v>0</v>
      </c>
      <c r="Q244" t="n">
        <v>0</v>
      </c>
      <c r="R244" s="2" t="inlineStr"/>
    </row>
    <row r="245" ht="15" customHeight="1">
      <c r="A245" t="inlineStr">
        <is>
          <t>A 52863-2023</t>
        </is>
      </c>
      <c r="B245" s="1" t="n">
        <v>45219</v>
      </c>
      <c r="C245" s="1" t="n">
        <v>46126</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8228-2025</t>
        </is>
      </c>
      <c r="B246" s="1" t="n">
        <v>45708.46913194445</v>
      </c>
      <c r="C246" s="1" t="n">
        <v>46126</v>
      </c>
      <c r="D246" t="inlineStr">
        <is>
          <t>ÖSTERGÖTLANDS LÄN</t>
        </is>
      </c>
      <c r="E246" t="inlineStr">
        <is>
          <t>KINDA</t>
        </is>
      </c>
      <c r="G246" t="n">
        <v>4.8</v>
      </c>
      <c r="H246" t="n">
        <v>0</v>
      </c>
      <c r="I246" t="n">
        <v>0</v>
      </c>
      <c r="J246" t="n">
        <v>0</v>
      </c>
      <c r="K246" t="n">
        <v>0</v>
      </c>
      <c r="L246" t="n">
        <v>0</v>
      </c>
      <c r="M246" t="n">
        <v>0</v>
      </c>
      <c r="N246" t="n">
        <v>0</v>
      </c>
      <c r="O246" t="n">
        <v>0</v>
      </c>
      <c r="P246" t="n">
        <v>0</v>
      </c>
      <c r="Q246" t="n">
        <v>0</v>
      </c>
      <c r="R246" s="2" t="inlineStr"/>
    </row>
    <row r="247" ht="15" customHeight="1">
      <c r="A247" t="inlineStr">
        <is>
          <t>A 8229-2025</t>
        </is>
      </c>
      <c r="B247" s="1" t="n">
        <v>45708.46960648148</v>
      </c>
      <c r="C247" s="1" t="n">
        <v>46126</v>
      </c>
      <c r="D247" t="inlineStr">
        <is>
          <t>ÖSTERGÖTLANDS LÄN</t>
        </is>
      </c>
      <c r="E247" t="inlineStr">
        <is>
          <t>KINDA</t>
        </is>
      </c>
      <c r="G247" t="n">
        <v>2.8</v>
      </c>
      <c r="H247" t="n">
        <v>0</v>
      </c>
      <c r="I247" t="n">
        <v>0</v>
      </c>
      <c r="J247" t="n">
        <v>0</v>
      </c>
      <c r="K247" t="n">
        <v>0</v>
      </c>
      <c r="L247" t="n">
        <v>0</v>
      </c>
      <c r="M247" t="n">
        <v>0</v>
      </c>
      <c r="N247" t="n">
        <v>0</v>
      </c>
      <c r="O247" t="n">
        <v>0</v>
      </c>
      <c r="P247" t="n">
        <v>0</v>
      </c>
      <c r="Q247" t="n">
        <v>0</v>
      </c>
      <c r="R247" s="2" t="inlineStr"/>
    </row>
    <row r="248" ht="15" customHeight="1">
      <c r="A248" t="inlineStr">
        <is>
          <t>A 32978-2024</t>
        </is>
      </c>
      <c r="B248" s="1" t="n">
        <v>45517.44506944445</v>
      </c>
      <c r="C248" s="1" t="n">
        <v>46126</v>
      </c>
      <c r="D248" t="inlineStr">
        <is>
          <t>ÖSTERGÖTLANDS LÄN</t>
        </is>
      </c>
      <c r="E248" t="inlineStr">
        <is>
          <t>KINDA</t>
        </is>
      </c>
      <c r="G248" t="n">
        <v>0.7</v>
      </c>
      <c r="H248" t="n">
        <v>0</v>
      </c>
      <c r="I248" t="n">
        <v>0</v>
      </c>
      <c r="J248" t="n">
        <v>0</v>
      </c>
      <c r="K248" t="n">
        <v>0</v>
      </c>
      <c r="L248" t="n">
        <v>0</v>
      </c>
      <c r="M248" t="n">
        <v>0</v>
      </c>
      <c r="N248" t="n">
        <v>0</v>
      </c>
      <c r="O248" t="n">
        <v>0</v>
      </c>
      <c r="P248" t="n">
        <v>0</v>
      </c>
      <c r="Q248" t="n">
        <v>0</v>
      </c>
      <c r="R248" s="2" t="inlineStr"/>
    </row>
    <row r="249" ht="15" customHeight="1">
      <c r="A249" t="inlineStr">
        <is>
          <t>A 4555-2023</t>
        </is>
      </c>
      <c r="B249" s="1" t="n">
        <v>44956</v>
      </c>
      <c r="C249" s="1" t="n">
        <v>46126</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45457-2024</t>
        </is>
      </c>
      <c r="B250" s="1" t="n">
        <v>45576.67208333333</v>
      </c>
      <c r="C250" s="1" t="n">
        <v>46126</v>
      </c>
      <c r="D250" t="inlineStr">
        <is>
          <t>ÖSTERGÖTLANDS LÄN</t>
        </is>
      </c>
      <c r="E250" t="inlineStr">
        <is>
          <t>KINDA</t>
        </is>
      </c>
      <c r="G250" t="n">
        <v>0.7</v>
      </c>
      <c r="H250" t="n">
        <v>0</v>
      </c>
      <c r="I250" t="n">
        <v>0</v>
      </c>
      <c r="J250" t="n">
        <v>0</v>
      </c>
      <c r="K250" t="n">
        <v>0</v>
      </c>
      <c r="L250" t="n">
        <v>0</v>
      </c>
      <c r="M250" t="n">
        <v>0</v>
      </c>
      <c r="N250" t="n">
        <v>0</v>
      </c>
      <c r="O250" t="n">
        <v>0</v>
      </c>
      <c r="P250" t="n">
        <v>0</v>
      </c>
      <c r="Q250" t="n">
        <v>0</v>
      </c>
      <c r="R250" s="2" t="inlineStr"/>
    </row>
    <row r="251" ht="15" customHeight="1">
      <c r="A251" t="inlineStr">
        <is>
          <t>A 8889-2025</t>
        </is>
      </c>
      <c r="B251" s="1" t="n">
        <v>45713.39555555556</v>
      </c>
      <c r="C251" s="1" t="n">
        <v>46126</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55950-2023</t>
        </is>
      </c>
      <c r="B252" s="1" t="n">
        <v>45240.34232638889</v>
      </c>
      <c r="C252" s="1" t="n">
        <v>46126</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57500-2024</t>
        </is>
      </c>
      <c r="B253" s="1" t="n">
        <v>45629</v>
      </c>
      <c r="C253" s="1" t="n">
        <v>46126</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40847-2025</t>
        </is>
      </c>
      <c r="B254" s="1" t="n">
        <v>45897.54641203704</v>
      </c>
      <c r="C254" s="1" t="n">
        <v>46126</v>
      </c>
      <c r="D254" t="inlineStr">
        <is>
          <t>ÖSTERGÖTLANDS LÄN</t>
        </is>
      </c>
      <c r="E254" t="inlineStr">
        <is>
          <t>KINDA</t>
        </is>
      </c>
      <c r="G254" t="n">
        <v>3.1</v>
      </c>
      <c r="H254" t="n">
        <v>0</v>
      </c>
      <c r="I254" t="n">
        <v>0</v>
      </c>
      <c r="J254" t="n">
        <v>0</v>
      </c>
      <c r="K254" t="n">
        <v>0</v>
      </c>
      <c r="L254" t="n">
        <v>0</v>
      </c>
      <c r="M254" t="n">
        <v>0</v>
      </c>
      <c r="N254" t="n">
        <v>0</v>
      </c>
      <c r="O254" t="n">
        <v>0</v>
      </c>
      <c r="P254" t="n">
        <v>0</v>
      </c>
      <c r="Q254" t="n">
        <v>0</v>
      </c>
      <c r="R254" s="2" t="inlineStr"/>
    </row>
    <row r="255" ht="15" customHeight="1">
      <c r="A255" t="inlineStr">
        <is>
          <t>A 40845-2025</t>
        </is>
      </c>
      <c r="B255" s="1" t="n">
        <v>45897.54273148148</v>
      </c>
      <c r="C255" s="1" t="n">
        <v>46126</v>
      </c>
      <c r="D255" t="inlineStr">
        <is>
          <t>ÖSTERGÖTLANDS LÄN</t>
        </is>
      </c>
      <c r="E255" t="inlineStr">
        <is>
          <t>KINDA</t>
        </is>
      </c>
      <c r="G255" t="n">
        <v>1</v>
      </c>
      <c r="H255" t="n">
        <v>0</v>
      </c>
      <c r="I255" t="n">
        <v>0</v>
      </c>
      <c r="J255" t="n">
        <v>0</v>
      </c>
      <c r="K255" t="n">
        <v>0</v>
      </c>
      <c r="L255" t="n">
        <v>0</v>
      </c>
      <c r="M255" t="n">
        <v>0</v>
      </c>
      <c r="N255" t="n">
        <v>0</v>
      </c>
      <c r="O255" t="n">
        <v>0</v>
      </c>
      <c r="P255" t="n">
        <v>0</v>
      </c>
      <c r="Q255" t="n">
        <v>0</v>
      </c>
      <c r="R255" s="2" t="inlineStr"/>
    </row>
    <row r="256" ht="15" customHeight="1">
      <c r="A256" t="inlineStr">
        <is>
          <t>A 40987-2025</t>
        </is>
      </c>
      <c r="B256" s="1" t="n">
        <v>45898.30667824074</v>
      </c>
      <c r="C256" s="1" t="n">
        <v>46126</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3911-2023</t>
        </is>
      </c>
      <c r="B257" s="1" t="n">
        <v>44952</v>
      </c>
      <c r="C257" s="1" t="n">
        <v>46126</v>
      </c>
      <c r="D257" t="inlineStr">
        <is>
          <t>ÖSTERGÖTLANDS LÄN</t>
        </is>
      </c>
      <c r="E257" t="inlineStr">
        <is>
          <t>KINDA</t>
        </is>
      </c>
      <c r="G257" t="n">
        <v>1.4</v>
      </c>
      <c r="H257" t="n">
        <v>0</v>
      </c>
      <c r="I257" t="n">
        <v>0</v>
      </c>
      <c r="J257" t="n">
        <v>0</v>
      </c>
      <c r="K257" t="n">
        <v>0</v>
      </c>
      <c r="L257" t="n">
        <v>0</v>
      </c>
      <c r="M257" t="n">
        <v>0</v>
      </c>
      <c r="N257" t="n">
        <v>0</v>
      </c>
      <c r="O257" t="n">
        <v>0</v>
      </c>
      <c r="P257" t="n">
        <v>0</v>
      </c>
      <c r="Q257" t="n">
        <v>0</v>
      </c>
      <c r="R257" s="2" t="inlineStr"/>
    </row>
    <row r="258" ht="15" customHeight="1">
      <c r="A258" t="inlineStr">
        <is>
          <t>A 11479-2025</t>
        </is>
      </c>
      <c r="B258" s="1" t="n">
        <v>45726.6749537037</v>
      </c>
      <c r="C258" s="1" t="n">
        <v>46126</v>
      </c>
      <c r="D258" t="inlineStr">
        <is>
          <t>ÖSTERGÖTLANDS LÄN</t>
        </is>
      </c>
      <c r="E258" t="inlineStr">
        <is>
          <t>KINDA</t>
        </is>
      </c>
      <c r="G258" t="n">
        <v>4</v>
      </c>
      <c r="H258" t="n">
        <v>0</v>
      </c>
      <c r="I258" t="n">
        <v>0</v>
      </c>
      <c r="J258" t="n">
        <v>0</v>
      </c>
      <c r="K258" t="n">
        <v>0</v>
      </c>
      <c r="L258" t="n">
        <v>0</v>
      </c>
      <c r="M258" t="n">
        <v>0</v>
      </c>
      <c r="N258" t="n">
        <v>0</v>
      </c>
      <c r="O258" t="n">
        <v>0</v>
      </c>
      <c r="P258" t="n">
        <v>0</v>
      </c>
      <c r="Q258" t="n">
        <v>0</v>
      </c>
      <c r="R258" s="2" t="inlineStr"/>
    </row>
    <row r="259" ht="15" customHeight="1">
      <c r="A259" t="inlineStr">
        <is>
          <t>A 40849-2025</t>
        </is>
      </c>
      <c r="B259" s="1" t="n">
        <v>45897.54880787037</v>
      </c>
      <c r="C259" s="1" t="n">
        <v>46126</v>
      </c>
      <c r="D259" t="inlineStr">
        <is>
          <t>ÖSTERGÖTLANDS LÄN</t>
        </is>
      </c>
      <c r="E259" t="inlineStr">
        <is>
          <t>KINDA</t>
        </is>
      </c>
      <c r="G259" t="n">
        <v>2.7</v>
      </c>
      <c r="H259" t="n">
        <v>0</v>
      </c>
      <c r="I259" t="n">
        <v>0</v>
      </c>
      <c r="J259" t="n">
        <v>0</v>
      </c>
      <c r="K259" t="n">
        <v>0</v>
      </c>
      <c r="L259" t="n">
        <v>0</v>
      </c>
      <c r="M259" t="n">
        <v>0</v>
      </c>
      <c r="N259" t="n">
        <v>0</v>
      </c>
      <c r="O259" t="n">
        <v>0</v>
      </c>
      <c r="P259" t="n">
        <v>0</v>
      </c>
      <c r="Q259" t="n">
        <v>0</v>
      </c>
      <c r="R259" s="2" t="inlineStr"/>
    </row>
    <row r="260" ht="15" customHeight="1">
      <c r="A260" t="inlineStr">
        <is>
          <t>A 40853-2025</t>
        </is>
      </c>
      <c r="B260" s="1" t="n">
        <v>45897.55340277778</v>
      </c>
      <c r="C260" s="1" t="n">
        <v>46126</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51294-2022</t>
        </is>
      </c>
      <c r="B261" s="1" t="n">
        <v>44868</v>
      </c>
      <c r="C261" s="1" t="n">
        <v>46126</v>
      </c>
      <c r="D261" t="inlineStr">
        <is>
          <t>ÖSTERGÖTLANDS LÄN</t>
        </is>
      </c>
      <c r="E261" t="inlineStr">
        <is>
          <t>KINDA</t>
        </is>
      </c>
      <c r="G261" t="n">
        <v>1.8</v>
      </c>
      <c r="H261" t="n">
        <v>0</v>
      </c>
      <c r="I261" t="n">
        <v>0</v>
      </c>
      <c r="J261" t="n">
        <v>0</v>
      </c>
      <c r="K261" t="n">
        <v>0</v>
      </c>
      <c r="L261" t="n">
        <v>0</v>
      </c>
      <c r="M261" t="n">
        <v>0</v>
      </c>
      <c r="N261" t="n">
        <v>0</v>
      </c>
      <c r="O261" t="n">
        <v>0</v>
      </c>
      <c r="P261" t="n">
        <v>0</v>
      </c>
      <c r="Q261" t="n">
        <v>0</v>
      </c>
      <c r="R261" s="2" t="inlineStr"/>
    </row>
    <row r="262" ht="15" customHeight="1">
      <c r="A262" t="inlineStr">
        <is>
          <t>A 38019-2024</t>
        </is>
      </c>
      <c r="B262" s="1" t="n">
        <v>45544.6372337963</v>
      </c>
      <c r="C262" s="1" t="n">
        <v>46126</v>
      </c>
      <c r="D262" t="inlineStr">
        <is>
          <t>ÖSTERGÖTLANDS LÄN</t>
        </is>
      </c>
      <c r="E262" t="inlineStr">
        <is>
          <t>KINDA</t>
        </is>
      </c>
      <c r="G262" t="n">
        <v>6.3</v>
      </c>
      <c r="H262" t="n">
        <v>0</v>
      </c>
      <c r="I262" t="n">
        <v>0</v>
      </c>
      <c r="J262" t="n">
        <v>0</v>
      </c>
      <c r="K262" t="n">
        <v>0</v>
      </c>
      <c r="L262" t="n">
        <v>0</v>
      </c>
      <c r="M262" t="n">
        <v>0</v>
      </c>
      <c r="N262" t="n">
        <v>0</v>
      </c>
      <c r="O262" t="n">
        <v>0</v>
      </c>
      <c r="P262" t="n">
        <v>0</v>
      </c>
      <c r="Q262" t="n">
        <v>0</v>
      </c>
      <c r="R262" s="2" t="inlineStr"/>
      <c r="U262">
        <f>HYPERLINK("https://klasma.github.io/Logging_0513/knärot/A 38019-2024 karta knärot.png", "A 38019-2024")</f>
        <v/>
      </c>
      <c r="V262">
        <f>HYPERLINK("https://klasma.github.io/Logging_0513/klagomål/A 38019-2024 FSC-klagomål.docx", "A 38019-2024")</f>
        <v/>
      </c>
      <c r="W262">
        <f>HYPERLINK("https://klasma.github.io/Logging_0513/klagomålsmail/A 38019-2024 FSC-klagomål mail.docx", "A 38019-2024")</f>
        <v/>
      </c>
      <c r="X262">
        <f>HYPERLINK("https://klasma.github.io/Logging_0513/tillsyn/A 38019-2024 tillsynsbegäran.docx", "A 38019-2024")</f>
        <v/>
      </c>
      <c r="Y262">
        <f>HYPERLINK("https://klasma.github.io/Logging_0513/tillsynsmail/A 38019-2024 tillsynsbegäran mail.docx", "A 38019-2024")</f>
        <v/>
      </c>
    </row>
    <row r="263" ht="15" customHeight="1">
      <c r="A263" t="inlineStr">
        <is>
          <t>A 38596-2023</t>
        </is>
      </c>
      <c r="B263" s="1" t="n">
        <v>45162</v>
      </c>
      <c r="C263" s="1" t="n">
        <v>46126</v>
      </c>
      <c r="D263" t="inlineStr">
        <is>
          <t>ÖSTERGÖTLANDS LÄN</t>
        </is>
      </c>
      <c r="E263" t="inlineStr">
        <is>
          <t>KINDA</t>
        </is>
      </c>
      <c r="F263" t="inlineStr">
        <is>
          <t>Allmännings- och besparingsskogar</t>
        </is>
      </c>
      <c r="G263" t="n">
        <v>12.2</v>
      </c>
      <c r="H263" t="n">
        <v>0</v>
      </c>
      <c r="I263" t="n">
        <v>0</v>
      </c>
      <c r="J263" t="n">
        <v>0</v>
      </c>
      <c r="K263" t="n">
        <v>0</v>
      </c>
      <c r="L263" t="n">
        <v>0</v>
      </c>
      <c r="M263" t="n">
        <v>0</v>
      </c>
      <c r="N263" t="n">
        <v>0</v>
      </c>
      <c r="O263" t="n">
        <v>0</v>
      </c>
      <c r="P263" t="n">
        <v>0</v>
      </c>
      <c r="Q263" t="n">
        <v>0</v>
      </c>
      <c r="R263" s="2" t="inlineStr"/>
    </row>
    <row r="264" ht="15" customHeight="1">
      <c r="A264" t="inlineStr">
        <is>
          <t>A 61955-2022</t>
        </is>
      </c>
      <c r="B264" s="1" t="n">
        <v>44918.3396875</v>
      </c>
      <c r="C264" s="1" t="n">
        <v>46126</v>
      </c>
      <c r="D264" t="inlineStr">
        <is>
          <t>ÖSTERGÖTLANDS LÄN</t>
        </is>
      </c>
      <c r="E264" t="inlineStr">
        <is>
          <t>KINDA</t>
        </is>
      </c>
      <c r="G264" t="n">
        <v>6.4</v>
      </c>
      <c r="H264" t="n">
        <v>0</v>
      </c>
      <c r="I264" t="n">
        <v>0</v>
      </c>
      <c r="J264" t="n">
        <v>0</v>
      </c>
      <c r="K264" t="n">
        <v>0</v>
      </c>
      <c r="L264" t="n">
        <v>0</v>
      </c>
      <c r="M264" t="n">
        <v>0</v>
      </c>
      <c r="N264" t="n">
        <v>0</v>
      </c>
      <c r="O264" t="n">
        <v>0</v>
      </c>
      <c r="P264" t="n">
        <v>0</v>
      </c>
      <c r="Q264" t="n">
        <v>0</v>
      </c>
      <c r="R264" s="2" t="inlineStr"/>
    </row>
    <row r="265" ht="15" customHeight="1">
      <c r="A265" t="inlineStr">
        <is>
          <t>A 44139-2024</t>
        </is>
      </c>
      <c r="B265" s="1" t="n">
        <v>45572.6625</v>
      </c>
      <c r="C265" s="1" t="n">
        <v>46126</v>
      </c>
      <c r="D265" t="inlineStr">
        <is>
          <t>ÖSTERGÖTLANDS LÄN</t>
        </is>
      </c>
      <c r="E265" t="inlineStr">
        <is>
          <t>KINDA</t>
        </is>
      </c>
      <c r="G265" t="n">
        <v>3.6</v>
      </c>
      <c r="H265" t="n">
        <v>0</v>
      </c>
      <c r="I265" t="n">
        <v>0</v>
      </c>
      <c r="J265" t="n">
        <v>0</v>
      </c>
      <c r="K265" t="n">
        <v>0</v>
      </c>
      <c r="L265" t="n">
        <v>0</v>
      </c>
      <c r="M265" t="n">
        <v>0</v>
      </c>
      <c r="N265" t="n">
        <v>0</v>
      </c>
      <c r="O265" t="n">
        <v>0</v>
      </c>
      <c r="P265" t="n">
        <v>0</v>
      </c>
      <c r="Q265" t="n">
        <v>0</v>
      </c>
      <c r="R265" s="2" t="inlineStr"/>
    </row>
    <row r="266" ht="15" customHeight="1">
      <c r="A266" t="inlineStr">
        <is>
          <t>A 13968-2023</t>
        </is>
      </c>
      <c r="B266" s="1" t="n">
        <v>45008</v>
      </c>
      <c r="C266" s="1" t="n">
        <v>46126</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133-2024</t>
        </is>
      </c>
      <c r="B267" s="1" t="n">
        <v>45294.43197916666</v>
      </c>
      <c r="C267" s="1" t="n">
        <v>46126</v>
      </c>
      <c r="D267" t="inlineStr">
        <is>
          <t>ÖSTERGÖTLANDS LÄN</t>
        </is>
      </c>
      <c r="E267" t="inlineStr">
        <is>
          <t>KINDA</t>
        </is>
      </c>
      <c r="G267" t="n">
        <v>1.3</v>
      </c>
      <c r="H267" t="n">
        <v>0</v>
      </c>
      <c r="I267" t="n">
        <v>0</v>
      </c>
      <c r="J267" t="n">
        <v>0</v>
      </c>
      <c r="K267" t="n">
        <v>0</v>
      </c>
      <c r="L267" t="n">
        <v>0</v>
      </c>
      <c r="M267" t="n">
        <v>0</v>
      </c>
      <c r="N267" t="n">
        <v>0</v>
      </c>
      <c r="O267" t="n">
        <v>0</v>
      </c>
      <c r="P267" t="n">
        <v>0</v>
      </c>
      <c r="Q267" t="n">
        <v>0</v>
      </c>
      <c r="R267" s="2" t="inlineStr"/>
    </row>
    <row r="268" ht="15" customHeight="1">
      <c r="A268" t="inlineStr">
        <is>
          <t>A 57987-2024</t>
        </is>
      </c>
      <c r="B268" s="1" t="n">
        <v>45631.62002314815</v>
      </c>
      <c r="C268" s="1" t="n">
        <v>46126</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41396-2025</t>
        </is>
      </c>
      <c r="B269" s="1" t="n">
        <v>45901.32078703704</v>
      </c>
      <c r="C269" s="1" t="n">
        <v>46126</v>
      </c>
      <c r="D269" t="inlineStr">
        <is>
          <t>ÖSTERGÖTLANDS LÄN</t>
        </is>
      </c>
      <c r="E269" t="inlineStr">
        <is>
          <t>KINDA</t>
        </is>
      </c>
      <c r="G269" t="n">
        <v>1.5</v>
      </c>
      <c r="H269" t="n">
        <v>0</v>
      </c>
      <c r="I269" t="n">
        <v>0</v>
      </c>
      <c r="J269" t="n">
        <v>0</v>
      </c>
      <c r="K269" t="n">
        <v>0</v>
      </c>
      <c r="L269" t="n">
        <v>0</v>
      </c>
      <c r="M269" t="n">
        <v>0</v>
      </c>
      <c r="N269" t="n">
        <v>0</v>
      </c>
      <c r="O269" t="n">
        <v>0</v>
      </c>
      <c r="P269" t="n">
        <v>0</v>
      </c>
      <c r="Q269" t="n">
        <v>0</v>
      </c>
      <c r="R269" s="2" t="inlineStr"/>
    </row>
    <row r="270" ht="15" customHeight="1">
      <c r="A270" t="inlineStr">
        <is>
          <t>A 32610-2023</t>
        </is>
      </c>
      <c r="B270" s="1" t="n">
        <v>45111</v>
      </c>
      <c r="C270" s="1" t="n">
        <v>46126</v>
      </c>
      <c r="D270" t="inlineStr">
        <is>
          <t>ÖSTERGÖTLANDS LÄN</t>
        </is>
      </c>
      <c r="E270" t="inlineStr">
        <is>
          <t>KINDA</t>
        </is>
      </c>
      <c r="G270" t="n">
        <v>8.9</v>
      </c>
      <c r="H270" t="n">
        <v>0</v>
      </c>
      <c r="I270" t="n">
        <v>0</v>
      </c>
      <c r="J270" t="n">
        <v>0</v>
      </c>
      <c r="K270" t="n">
        <v>0</v>
      </c>
      <c r="L270" t="n">
        <v>0</v>
      </c>
      <c r="M270" t="n">
        <v>0</v>
      </c>
      <c r="N270" t="n">
        <v>0</v>
      </c>
      <c r="O270" t="n">
        <v>0</v>
      </c>
      <c r="P270" t="n">
        <v>0</v>
      </c>
      <c r="Q270" t="n">
        <v>0</v>
      </c>
      <c r="R270" s="2" t="inlineStr"/>
    </row>
    <row r="271" ht="15" customHeight="1">
      <c r="A271" t="inlineStr">
        <is>
          <t>A 29794-2024</t>
        </is>
      </c>
      <c r="B271" s="1" t="n">
        <v>45485.4796875</v>
      </c>
      <c r="C271" s="1" t="n">
        <v>46126</v>
      </c>
      <c r="D271" t="inlineStr">
        <is>
          <t>ÖSTERGÖTLANDS LÄN</t>
        </is>
      </c>
      <c r="E271" t="inlineStr">
        <is>
          <t>KINDA</t>
        </is>
      </c>
      <c r="G271" t="n">
        <v>2.1</v>
      </c>
      <c r="H271" t="n">
        <v>0</v>
      </c>
      <c r="I271" t="n">
        <v>0</v>
      </c>
      <c r="J271" t="n">
        <v>0</v>
      </c>
      <c r="K271" t="n">
        <v>0</v>
      </c>
      <c r="L271" t="n">
        <v>0</v>
      </c>
      <c r="M271" t="n">
        <v>0</v>
      </c>
      <c r="N271" t="n">
        <v>0</v>
      </c>
      <c r="O271" t="n">
        <v>0</v>
      </c>
      <c r="P271" t="n">
        <v>0</v>
      </c>
      <c r="Q271" t="n">
        <v>0</v>
      </c>
      <c r="R271" s="2" t="inlineStr"/>
    </row>
    <row r="272" ht="15" customHeight="1">
      <c r="A272" t="inlineStr">
        <is>
          <t>A 343-2025</t>
        </is>
      </c>
      <c r="B272" s="1" t="n">
        <v>45660.71824074074</v>
      </c>
      <c r="C272" s="1" t="n">
        <v>46126</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27959-2024</t>
        </is>
      </c>
      <c r="B273" s="1" t="n">
        <v>45476.34908564815</v>
      </c>
      <c r="C273" s="1" t="n">
        <v>46126</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43432-2023</t>
        </is>
      </c>
      <c r="B274" s="1" t="n">
        <v>45184.40974537037</v>
      </c>
      <c r="C274" s="1" t="n">
        <v>46126</v>
      </c>
      <c r="D274" t="inlineStr">
        <is>
          <t>ÖSTERGÖTLANDS LÄN</t>
        </is>
      </c>
      <c r="E274" t="inlineStr">
        <is>
          <t>KINDA</t>
        </is>
      </c>
      <c r="G274" t="n">
        <v>2.8</v>
      </c>
      <c r="H274" t="n">
        <v>0</v>
      </c>
      <c r="I274" t="n">
        <v>0</v>
      </c>
      <c r="J274" t="n">
        <v>0</v>
      </c>
      <c r="K274" t="n">
        <v>0</v>
      </c>
      <c r="L274" t="n">
        <v>0</v>
      </c>
      <c r="M274" t="n">
        <v>0</v>
      </c>
      <c r="N274" t="n">
        <v>0</v>
      </c>
      <c r="O274" t="n">
        <v>0</v>
      </c>
      <c r="P274" t="n">
        <v>0</v>
      </c>
      <c r="Q274" t="n">
        <v>0</v>
      </c>
      <c r="R274" s="2" t="inlineStr"/>
    </row>
    <row r="275" ht="15" customHeight="1">
      <c r="A275" t="inlineStr">
        <is>
          <t>A 32285-2023</t>
        </is>
      </c>
      <c r="B275" s="1" t="n">
        <v>45120</v>
      </c>
      <c r="C275" s="1" t="n">
        <v>46126</v>
      </c>
      <c r="D275" t="inlineStr">
        <is>
          <t>ÖSTERGÖTLANDS LÄN</t>
        </is>
      </c>
      <c r="E275" t="inlineStr">
        <is>
          <t>KINDA</t>
        </is>
      </c>
      <c r="G275" t="n">
        <v>0.2</v>
      </c>
      <c r="H275" t="n">
        <v>0</v>
      </c>
      <c r="I275" t="n">
        <v>0</v>
      </c>
      <c r="J275" t="n">
        <v>0</v>
      </c>
      <c r="K275" t="n">
        <v>0</v>
      </c>
      <c r="L275" t="n">
        <v>0</v>
      </c>
      <c r="M275" t="n">
        <v>0</v>
      </c>
      <c r="N275" t="n">
        <v>0</v>
      </c>
      <c r="O275" t="n">
        <v>0</v>
      </c>
      <c r="P275" t="n">
        <v>0</v>
      </c>
      <c r="Q275" t="n">
        <v>0</v>
      </c>
      <c r="R275" s="2" t="inlineStr"/>
    </row>
    <row r="276" ht="15" customHeight="1">
      <c r="A276" t="inlineStr">
        <is>
          <t>A 9399-2023</t>
        </is>
      </c>
      <c r="B276" s="1" t="n">
        <v>44981</v>
      </c>
      <c r="C276" s="1" t="n">
        <v>46126</v>
      </c>
      <c r="D276" t="inlineStr">
        <is>
          <t>ÖSTERGÖTLANDS LÄN</t>
        </is>
      </c>
      <c r="E276" t="inlineStr">
        <is>
          <t>KINDA</t>
        </is>
      </c>
      <c r="G276" t="n">
        <v>0.5</v>
      </c>
      <c r="H276" t="n">
        <v>0</v>
      </c>
      <c r="I276" t="n">
        <v>0</v>
      </c>
      <c r="J276" t="n">
        <v>0</v>
      </c>
      <c r="K276" t="n">
        <v>0</v>
      </c>
      <c r="L276" t="n">
        <v>0</v>
      </c>
      <c r="M276" t="n">
        <v>0</v>
      </c>
      <c r="N276" t="n">
        <v>0</v>
      </c>
      <c r="O276" t="n">
        <v>0</v>
      </c>
      <c r="P276" t="n">
        <v>0</v>
      </c>
      <c r="Q276" t="n">
        <v>0</v>
      </c>
      <c r="R276" s="2" t="inlineStr"/>
    </row>
    <row r="277" ht="15" customHeight="1">
      <c r="A277" t="inlineStr">
        <is>
          <t>A 15568-2023</t>
        </is>
      </c>
      <c r="B277" s="1" t="n">
        <v>45020.61570601852</v>
      </c>
      <c r="C277" s="1" t="n">
        <v>46126</v>
      </c>
      <c r="D277" t="inlineStr">
        <is>
          <t>ÖSTERGÖTLANDS LÄN</t>
        </is>
      </c>
      <c r="E277" t="inlineStr">
        <is>
          <t>KINDA</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42512-2025</t>
        </is>
      </c>
      <c r="B278" s="1" t="n">
        <v>45904</v>
      </c>
      <c r="C278" s="1" t="n">
        <v>46126</v>
      </c>
      <c r="D278" t="inlineStr">
        <is>
          <t>ÖSTERGÖTLANDS LÄN</t>
        </is>
      </c>
      <c r="E278" t="inlineStr">
        <is>
          <t>KINDA</t>
        </is>
      </c>
      <c r="G278" t="n">
        <v>2.2</v>
      </c>
      <c r="H278" t="n">
        <v>0</v>
      </c>
      <c r="I278" t="n">
        <v>0</v>
      </c>
      <c r="J278" t="n">
        <v>0</v>
      </c>
      <c r="K278" t="n">
        <v>0</v>
      </c>
      <c r="L278" t="n">
        <v>0</v>
      </c>
      <c r="M278" t="n">
        <v>0</v>
      </c>
      <c r="N278" t="n">
        <v>0</v>
      </c>
      <c r="O278" t="n">
        <v>0</v>
      </c>
      <c r="P278" t="n">
        <v>0</v>
      </c>
      <c r="Q278" t="n">
        <v>0</v>
      </c>
      <c r="R278" s="2" t="inlineStr"/>
    </row>
    <row r="279" ht="15" customHeight="1">
      <c r="A279" t="inlineStr">
        <is>
          <t>A 19645-2025</t>
        </is>
      </c>
      <c r="B279" s="1" t="n">
        <v>45770.65983796296</v>
      </c>
      <c r="C279" s="1" t="n">
        <v>46126</v>
      </c>
      <c r="D279" t="inlineStr">
        <is>
          <t>ÖSTERGÖTLANDS LÄN</t>
        </is>
      </c>
      <c r="E279" t="inlineStr">
        <is>
          <t>KINDA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42509-2025</t>
        </is>
      </c>
      <c r="B280" s="1" t="n">
        <v>45904</v>
      </c>
      <c r="C280" s="1" t="n">
        <v>46126</v>
      </c>
      <c r="D280" t="inlineStr">
        <is>
          <t>ÖSTERGÖTLANDS LÄN</t>
        </is>
      </c>
      <c r="E280" t="inlineStr">
        <is>
          <t>KINDA</t>
        </is>
      </c>
      <c r="G280" t="n">
        <v>3.5</v>
      </c>
      <c r="H280" t="n">
        <v>0</v>
      </c>
      <c r="I280" t="n">
        <v>0</v>
      </c>
      <c r="J280" t="n">
        <v>0</v>
      </c>
      <c r="K280" t="n">
        <v>0</v>
      </c>
      <c r="L280" t="n">
        <v>0</v>
      </c>
      <c r="M280" t="n">
        <v>0</v>
      </c>
      <c r="N280" t="n">
        <v>0</v>
      </c>
      <c r="O280" t="n">
        <v>0</v>
      </c>
      <c r="P280" t="n">
        <v>0</v>
      </c>
      <c r="Q280" t="n">
        <v>0</v>
      </c>
      <c r="R280" s="2" t="inlineStr"/>
    </row>
    <row r="281" ht="15" customHeight="1">
      <c r="A281" t="inlineStr">
        <is>
          <t>A 42511-2025</t>
        </is>
      </c>
      <c r="B281" s="1" t="n">
        <v>45904</v>
      </c>
      <c r="C281" s="1" t="n">
        <v>46126</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38130-2023</t>
        </is>
      </c>
      <c r="B282" s="1" t="n">
        <v>45161</v>
      </c>
      <c r="C282" s="1" t="n">
        <v>46126</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38132-2023</t>
        </is>
      </c>
      <c r="B283" s="1" t="n">
        <v>45161.36759259259</v>
      </c>
      <c r="C283" s="1" t="n">
        <v>46126</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38133-2023</t>
        </is>
      </c>
      <c r="B284" s="1" t="n">
        <v>45161.36928240741</v>
      </c>
      <c r="C284" s="1" t="n">
        <v>46126</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42375-2025</t>
        </is>
      </c>
      <c r="B285" s="1" t="n">
        <v>45905.33846064815</v>
      </c>
      <c r="C285" s="1" t="n">
        <v>46126</v>
      </c>
      <c r="D285" t="inlineStr">
        <is>
          <t>ÖSTERGÖTLANDS LÄN</t>
        </is>
      </c>
      <c r="E285" t="inlineStr">
        <is>
          <t>KINDA</t>
        </is>
      </c>
      <c r="G285" t="n">
        <v>1.4</v>
      </c>
      <c r="H285" t="n">
        <v>0</v>
      </c>
      <c r="I285" t="n">
        <v>0</v>
      </c>
      <c r="J285" t="n">
        <v>0</v>
      </c>
      <c r="K285" t="n">
        <v>0</v>
      </c>
      <c r="L285" t="n">
        <v>0</v>
      </c>
      <c r="M285" t="n">
        <v>0</v>
      </c>
      <c r="N285" t="n">
        <v>0</v>
      </c>
      <c r="O285" t="n">
        <v>0</v>
      </c>
      <c r="P285" t="n">
        <v>0</v>
      </c>
      <c r="Q285" t="n">
        <v>0</v>
      </c>
      <c r="R285" s="2" t="inlineStr"/>
    </row>
    <row r="286" ht="15" customHeight="1">
      <c r="A286" t="inlineStr">
        <is>
          <t>A 62286-2022</t>
        </is>
      </c>
      <c r="B286" s="1" t="n">
        <v>44923.40631944445</v>
      </c>
      <c r="C286" s="1" t="n">
        <v>46126</v>
      </c>
      <c r="D286" t="inlineStr">
        <is>
          <t>ÖSTERGÖTLANDS LÄN</t>
        </is>
      </c>
      <c r="E286" t="inlineStr">
        <is>
          <t>KINDA</t>
        </is>
      </c>
      <c r="F286" t="inlineStr">
        <is>
          <t>Allmännings- och besparingsskogar</t>
        </is>
      </c>
      <c r="G286" t="n">
        <v>4.7</v>
      </c>
      <c r="H286" t="n">
        <v>0</v>
      </c>
      <c r="I286" t="n">
        <v>0</v>
      </c>
      <c r="J286" t="n">
        <v>0</v>
      </c>
      <c r="K286" t="n">
        <v>0</v>
      </c>
      <c r="L286" t="n">
        <v>0</v>
      </c>
      <c r="M286" t="n">
        <v>0</v>
      </c>
      <c r="N286" t="n">
        <v>0</v>
      </c>
      <c r="O286" t="n">
        <v>0</v>
      </c>
      <c r="P286" t="n">
        <v>0</v>
      </c>
      <c r="Q286" t="n">
        <v>0</v>
      </c>
      <c r="R286" s="2" t="inlineStr"/>
    </row>
    <row r="287" ht="15" customHeight="1">
      <c r="A287" t="inlineStr">
        <is>
          <t>A 20701-2025</t>
        </is>
      </c>
      <c r="B287" s="1" t="n">
        <v>45776.47818287037</v>
      </c>
      <c r="C287" s="1" t="n">
        <v>46126</v>
      </c>
      <c r="D287" t="inlineStr">
        <is>
          <t>ÖSTERGÖTLANDS LÄN</t>
        </is>
      </c>
      <c r="E287" t="inlineStr">
        <is>
          <t>KINDA</t>
        </is>
      </c>
      <c r="G287" t="n">
        <v>1.9</v>
      </c>
      <c r="H287" t="n">
        <v>0</v>
      </c>
      <c r="I287" t="n">
        <v>0</v>
      </c>
      <c r="J287" t="n">
        <v>0</v>
      </c>
      <c r="K287" t="n">
        <v>0</v>
      </c>
      <c r="L287" t="n">
        <v>0</v>
      </c>
      <c r="M287" t="n">
        <v>0</v>
      </c>
      <c r="N287" t="n">
        <v>0</v>
      </c>
      <c r="O287" t="n">
        <v>0</v>
      </c>
      <c r="P287" t="n">
        <v>0</v>
      </c>
      <c r="Q287" t="n">
        <v>0</v>
      </c>
      <c r="R287" s="2" t="inlineStr"/>
    </row>
    <row r="288" ht="15" customHeight="1">
      <c r="A288" t="inlineStr">
        <is>
          <t>A 27841-2024</t>
        </is>
      </c>
      <c r="B288" s="1" t="n">
        <v>45475.62894675926</v>
      </c>
      <c r="C288" s="1" t="n">
        <v>46126</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20677-2025</t>
        </is>
      </c>
      <c r="B289" s="1" t="n">
        <v>45776.44575231482</v>
      </c>
      <c r="C289" s="1" t="n">
        <v>46126</v>
      </c>
      <c r="D289" t="inlineStr">
        <is>
          <t>ÖSTERGÖTLANDS LÄN</t>
        </is>
      </c>
      <c r="E289" t="inlineStr">
        <is>
          <t>KINDA</t>
        </is>
      </c>
      <c r="G289" t="n">
        <v>5.1</v>
      </c>
      <c r="H289" t="n">
        <v>0</v>
      </c>
      <c r="I289" t="n">
        <v>0</v>
      </c>
      <c r="J289" t="n">
        <v>0</v>
      </c>
      <c r="K289" t="n">
        <v>0</v>
      </c>
      <c r="L289" t="n">
        <v>0</v>
      </c>
      <c r="M289" t="n">
        <v>0</v>
      </c>
      <c r="N289" t="n">
        <v>0</v>
      </c>
      <c r="O289" t="n">
        <v>0</v>
      </c>
      <c r="P289" t="n">
        <v>0</v>
      </c>
      <c r="Q289" t="n">
        <v>0</v>
      </c>
      <c r="R289" s="2" t="inlineStr"/>
    </row>
    <row r="290" ht="15" customHeight="1">
      <c r="A290" t="inlineStr">
        <is>
          <t>A 20711-2025</t>
        </is>
      </c>
      <c r="B290" s="1" t="n">
        <v>45776.48627314815</v>
      </c>
      <c r="C290" s="1" t="n">
        <v>46126</v>
      </c>
      <c r="D290" t="inlineStr">
        <is>
          <t>ÖSTERGÖTLANDS LÄN</t>
        </is>
      </c>
      <c r="E290" t="inlineStr">
        <is>
          <t>KINDA</t>
        </is>
      </c>
      <c r="G290" t="n">
        <v>2.2</v>
      </c>
      <c r="H290" t="n">
        <v>0</v>
      </c>
      <c r="I290" t="n">
        <v>0</v>
      </c>
      <c r="J290" t="n">
        <v>0</v>
      </c>
      <c r="K290" t="n">
        <v>0</v>
      </c>
      <c r="L290" t="n">
        <v>0</v>
      </c>
      <c r="M290" t="n">
        <v>0</v>
      </c>
      <c r="N290" t="n">
        <v>0</v>
      </c>
      <c r="O290" t="n">
        <v>0</v>
      </c>
      <c r="P290" t="n">
        <v>0</v>
      </c>
      <c r="Q290" t="n">
        <v>0</v>
      </c>
      <c r="R290" s="2" t="inlineStr"/>
    </row>
    <row r="291" ht="15" customHeight="1">
      <c r="A291" t="inlineStr">
        <is>
          <t>A 21049-2025</t>
        </is>
      </c>
      <c r="B291" s="1" t="n">
        <v>45777.55960648148</v>
      </c>
      <c r="C291" s="1" t="n">
        <v>46126</v>
      </c>
      <c r="D291" t="inlineStr">
        <is>
          <t>ÖSTERGÖTLANDS LÄN</t>
        </is>
      </c>
      <c r="E291" t="inlineStr">
        <is>
          <t>KINDA</t>
        </is>
      </c>
      <c r="G291" t="n">
        <v>2</v>
      </c>
      <c r="H291" t="n">
        <v>0</v>
      </c>
      <c r="I291" t="n">
        <v>0</v>
      </c>
      <c r="J291" t="n">
        <v>0</v>
      </c>
      <c r="K291" t="n">
        <v>0</v>
      </c>
      <c r="L291" t="n">
        <v>0</v>
      </c>
      <c r="M291" t="n">
        <v>0</v>
      </c>
      <c r="N291" t="n">
        <v>0</v>
      </c>
      <c r="O291" t="n">
        <v>0</v>
      </c>
      <c r="P291" t="n">
        <v>0</v>
      </c>
      <c r="Q291" t="n">
        <v>0</v>
      </c>
      <c r="R291" s="2" t="inlineStr"/>
    </row>
    <row r="292" ht="15" customHeight="1">
      <c r="A292" t="inlineStr">
        <is>
          <t>A 42977-2025</t>
        </is>
      </c>
      <c r="B292" s="1" t="n">
        <v>45909.42916666667</v>
      </c>
      <c r="C292" s="1" t="n">
        <v>46126</v>
      </c>
      <c r="D292" t="inlineStr">
        <is>
          <t>ÖSTERGÖTLANDS LÄN</t>
        </is>
      </c>
      <c r="E292" t="inlineStr">
        <is>
          <t>KINDA</t>
        </is>
      </c>
      <c r="G292" t="n">
        <v>4.3</v>
      </c>
      <c r="H292" t="n">
        <v>0</v>
      </c>
      <c r="I292" t="n">
        <v>0</v>
      </c>
      <c r="J292" t="n">
        <v>0</v>
      </c>
      <c r="K292" t="n">
        <v>0</v>
      </c>
      <c r="L292" t="n">
        <v>0</v>
      </c>
      <c r="M292" t="n">
        <v>0</v>
      </c>
      <c r="N292" t="n">
        <v>0</v>
      </c>
      <c r="O292" t="n">
        <v>0</v>
      </c>
      <c r="P292" t="n">
        <v>0</v>
      </c>
      <c r="Q292" t="n">
        <v>0</v>
      </c>
      <c r="R292" s="2" t="inlineStr"/>
    </row>
    <row r="293" ht="15" customHeight="1">
      <c r="A293" t="inlineStr">
        <is>
          <t>A 42993-2025</t>
        </is>
      </c>
      <c r="B293" s="1" t="n">
        <v>45909.45248842592</v>
      </c>
      <c r="C293" s="1" t="n">
        <v>46126</v>
      </c>
      <c r="D293" t="inlineStr">
        <is>
          <t>ÖSTERGÖTLANDS LÄN</t>
        </is>
      </c>
      <c r="E293" t="inlineStr">
        <is>
          <t>KINDA</t>
        </is>
      </c>
      <c r="G293" t="n">
        <v>1.2</v>
      </c>
      <c r="H293" t="n">
        <v>0</v>
      </c>
      <c r="I293" t="n">
        <v>0</v>
      </c>
      <c r="J293" t="n">
        <v>0</v>
      </c>
      <c r="K293" t="n">
        <v>0</v>
      </c>
      <c r="L293" t="n">
        <v>0</v>
      </c>
      <c r="M293" t="n">
        <v>0</v>
      </c>
      <c r="N293" t="n">
        <v>0</v>
      </c>
      <c r="O293" t="n">
        <v>0</v>
      </c>
      <c r="P293" t="n">
        <v>0</v>
      </c>
      <c r="Q293" t="n">
        <v>0</v>
      </c>
      <c r="R293" s="2" t="inlineStr"/>
    </row>
    <row r="294" ht="15" customHeight="1">
      <c r="A294" t="inlineStr">
        <is>
          <t>A 43005-2025</t>
        </is>
      </c>
      <c r="B294" s="1" t="n">
        <v>45909.47525462963</v>
      </c>
      <c r="C294" s="1" t="n">
        <v>46126</v>
      </c>
      <c r="D294" t="inlineStr">
        <is>
          <t>ÖSTERGÖTLANDS LÄN</t>
        </is>
      </c>
      <c r="E294" t="inlineStr">
        <is>
          <t>KINDA</t>
        </is>
      </c>
      <c r="G294" t="n">
        <v>1.1</v>
      </c>
      <c r="H294" t="n">
        <v>0</v>
      </c>
      <c r="I294" t="n">
        <v>0</v>
      </c>
      <c r="J294" t="n">
        <v>0</v>
      </c>
      <c r="K294" t="n">
        <v>0</v>
      </c>
      <c r="L294" t="n">
        <v>0</v>
      </c>
      <c r="M294" t="n">
        <v>0</v>
      </c>
      <c r="N294" t="n">
        <v>0</v>
      </c>
      <c r="O294" t="n">
        <v>0</v>
      </c>
      <c r="P294" t="n">
        <v>0</v>
      </c>
      <c r="Q294" t="n">
        <v>0</v>
      </c>
      <c r="R294" s="2" t="inlineStr"/>
    </row>
    <row r="295" ht="15" customHeight="1">
      <c r="A295" t="inlineStr">
        <is>
          <t>A 43007-2025</t>
        </is>
      </c>
      <c r="B295" s="1" t="n">
        <v>45909.48123842593</v>
      </c>
      <c r="C295" s="1" t="n">
        <v>46126</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42981-2025</t>
        </is>
      </c>
      <c r="B296" s="1" t="n">
        <v>45909.43236111111</v>
      </c>
      <c r="C296" s="1" t="n">
        <v>46126</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54484-2022</t>
        </is>
      </c>
      <c r="B297" s="1" t="n">
        <v>44882</v>
      </c>
      <c r="C297" s="1" t="n">
        <v>46126</v>
      </c>
      <c r="D297" t="inlineStr">
        <is>
          <t>ÖSTERGÖTLANDS LÄN</t>
        </is>
      </c>
      <c r="E297" t="inlineStr">
        <is>
          <t>KINDA</t>
        </is>
      </c>
      <c r="G297" t="n">
        <v>0.3</v>
      </c>
      <c r="H297" t="n">
        <v>0</v>
      </c>
      <c r="I297" t="n">
        <v>0</v>
      </c>
      <c r="J297" t="n">
        <v>0</v>
      </c>
      <c r="K297" t="n">
        <v>0</v>
      </c>
      <c r="L297" t="n">
        <v>0</v>
      </c>
      <c r="M297" t="n">
        <v>0</v>
      </c>
      <c r="N297" t="n">
        <v>0</v>
      </c>
      <c r="O297" t="n">
        <v>0</v>
      </c>
      <c r="P297" t="n">
        <v>0</v>
      </c>
      <c r="Q297" t="n">
        <v>0</v>
      </c>
      <c r="R297" s="2" t="inlineStr"/>
    </row>
    <row r="298" ht="15" customHeight="1">
      <c r="A298" t="inlineStr">
        <is>
          <t>A 20997-2025</t>
        </is>
      </c>
      <c r="B298" s="1" t="n">
        <v>45777.48113425926</v>
      </c>
      <c r="C298" s="1" t="n">
        <v>46126</v>
      </c>
      <c r="D298" t="inlineStr">
        <is>
          <t>ÖSTERGÖTLANDS LÄN</t>
        </is>
      </c>
      <c r="E298" t="inlineStr">
        <is>
          <t>KINDA</t>
        </is>
      </c>
      <c r="G298" t="n">
        <v>1.6</v>
      </c>
      <c r="H298" t="n">
        <v>0</v>
      </c>
      <c r="I298" t="n">
        <v>0</v>
      </c>
      <c r="J298" t="n">
        <v>0</v>
      </c>
      <c r="K298" t="n">
        <v>0</v>
      </c>
      <c r="L298" t="n">
        <v>0</v>
      </c>
      <c r="M298" t="n">
        <v>0</v>
      </c>
      <c r="N298" t="n">
        <v>0</v>
      </c>
      <c r="O298" t="n">
        <v>0</v>
      </c>
      <c r="P298" t="n">
        <v>0</v>
      </c>
      <c r="Q298" t="n">
        <v>0</v>
      </c>
      <c r="R298" s="2" t="inlineStr"/>
    </row>
    <row r="299" ht="15" customHeight="1">
      <c r="A299" t="inlineStr">
        <is>
          <t>A 32825-2021</t>
        </is>
      </c>
      <c r="B299" s="1" t="n">
        <v>44375.6209837963</v>
      </c>
      <c r="C299" s="1" t="n">
        <v>46126</v>
      </c>
      <c r="D299" t="inlineStr">
        <is>
          <t>ÖSTERGÖTLANDS LÄN</t>
        </is>
      </c>
      <c r="E299" t="inlineStr">
        <is>
          <t>KINDA</t>
        </is>
      </c>
      <c r="G299" t="n">
        <v>0.7</v>
      </c>
      <c r="H299" t="n">
        <v>0</v>
      </c>
      <c r="I299" t="n">
        <v>0</v>
      </c>
      <c r="J299" t="n">
        <v>0</v>
      </c>
      <c r="K299" t="n">
        <v>0</v>
      </c>
      <c r="L299" t="n">
        <v>0</v>
      </c>
      <c r="M299" t="n">
        <v>0</v>
      </c>
      <c r="N299" t="n">
        <v>0</v>
      </c>
      <c r="O299" t="n">
        <v>0</v>
      </c>
      <c r="P299" t="n">
        <v>0</v>
      </c>
      <c r="Q299" t="n">
        <v>0</v>
      </c>
      <c r="R299" s="2" t="inlineStr"/>
    </row>
    <row r="300" ht="15" customHeight="1">
      <c r="A300" t="inlineStr">
        <is>
          <t>A 45693-2023</t>
        </is>
      </c>
      <c r="B300" s="1" t="n">
        <v>45195</v>
      </c>
      <c r="C300" s="1" t="n">
        <v>46126</v>
      </c>
      <c r="D300" t="inlineStr">
        <is>
          <t>ÖSTERGÖTLANDS LÄN</t>
        </is>
      </c>
      <c r="E300" t="inlineStr">
        <is>
          <t>KINDA</t>
        </is>
      </c>
      <c r="G300" t="n">
        <v>1.8</v>
      </c>
      <c r="H300" t="n">
        <v>0</v>
      </c>
      <c r="I300" t="n">
        <v>0</v>
      </c>
      <c r="J300" t="n">
        <v>0</v>
      </c>
      <c r="K300" t="n">
        <v>0</v>
      </c>
      <c r="L300" t="n">
        <v>0</v>
      </c>
      <c r="M300" t="n">
        <v>0</v>
      </c>
      <c r="N300" t="n">
        <v>0</v>
      </c>
      <c r="O300" t="n">
        <v>0</v>
      </c>
      <c r="P300" t="n">
        <v>0</v>
      </c>
      <c r="Q300" t="n">
        <v>0</v>
      </c>
      <c r="R300" s="2" t="inlineStr"/>
    </row>
    <row r="301" ht="15" customHeight="1">
      <c r="A301" t="inlineStr">
        <is>
          <t>A 4433-2024</t>
        </is>
      </c>
      <c r="B301" s="1" t="n">
        <v>45327.4684375</v>
      </c>
      <c r="C301" s="1" t="n">
        <v>46126</v>
      </c>
      <c r="D301" t="inlineStr">
        <is>
          <t>ÖSTERGÖTLANDS LÄN</t>
        </is>
      </c>
      <c r="E301" t="inlineStr">
        <is>
          <t>KINDA</t>
        </is>
      </c>
      <c r="G301" t="n">
        <v>1.6</v>
      </c>
      <c r="H301" t="n">
        <v>0</v>
      </c>
      <c r="I301" t="n">
        <v>0</v>
      </c>
      <c r="J301" t="n">
        <v>0</v>
      </c>
      <c r="K301" t="n">
        <v>0</v>
      </c>
      <c r="L301" t="n">
        <v>0</v>
      </c>
      <c r="M301" t="n">
        <v>0</v>
      </c>
      <c r="N301" t="n">
        <v>0</v>
      </c>
      <c r="O301" t="n">
        <v>0</v>
      </c>
      <c r="P301" t="n">
        <v>0</v>
      </c>
      <c r="Q301" t="n">
        <v>0</v>
      </c>
      <c r="R301" s="2" t="inlineStr"/>
    </row>
    <row r="302" ht="15" customHeight="1">
      <c r="A302" t="inlineStr">
        <is>
          <t>A 34127-2021</t>
        </is>
      </c>
      <c r="B302" s="1" t="n">
        <v>44379</v>
      </c>
      <c r="C302" s="1" t="n">
        <v>46126</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22151-2024</t>
        </is>
      </c>
      <c r="B303" s="1" t="n">
        <v>45445.39447916667</v>
      </c>
      <c r="C303" s="1" t="n">
        <v>46126</v>
      </c>
      <c r="D303" t="inlineStr">
        <is>
          <t>ÖSTERGÖTLANDS LÄN</t>
        </is>
      </c>
      <c r="E303" t="inlineStr">
        <is>
          <t>KINDA</t>
        </is>
      </c>
      <c r="G303" t="n">
        <v>1.7</v>
      </c>
      <c r="H303" t="n">
        <v>0</v>
      </c>
      <c r="I303" t="n">
        <v>0</v>
      </c>
      <c r="J303" t="n">
        <v>0</v>
      </c>
      <c r="K303" t="n">
        <v>0</v>
      </c>
      <c r="L303" t="n">
        <v>0</v>
      </c>
      <c r="M303" t="n">
        <v>0</v>
      </c>
      <c r="N303" t="n">
        <v>0</v>
      </c>
      <c r="O303" t="n">
        <v>0</v>
      </c>
      <c r="P303" t="n">
        <v>0</v>
      </c>
      <c r="Q303" t="n">
        <v>0</v>
      </c>
      <c r="R303" s="2" t="inlineStr"/>
    </row>
    <row r="304" ht="15" customHeight="1">
      <c r="A304" t="inlineStr">
        <is>
          <t>A 43760-2025</t>
        </is>
      </c>
      <c r="B304" s="1" t="n">
        <v>45912.47875</v>
      </c>
      <c r="C304" s="1" t="n">
        <v>46126</v>
      </c>
      <c r="D304" t="inlineStr">
        <is>
          <t>ÖSTERGÖTLANDS LÄN</t>
        </is>
      </c>
      <c r="E304" t="inlineStr">
        <is>
          <t>KINDA</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35152-2024</t>
        </is>
      </c>
      <c r="B305" s="1" t="n">
        <v>45530.38082175926</v>
      </c>
      <c r="C305" s="1" t="n">
        <v>46126</v>
      </c>
      <c r="D305" t="inlineStr">
        <is>
          <t>ÖSTERGÖTLANDS LÄN</t>
        </is>
      </c>
      <c r="E305" t="inlineStr">
        <is>
          <t>KINDA</t>
        </is>
      </c>
      <c r="G305" t="n">
        <v>2.8</v>
      </c>
      <c r="H305" t="n">
        <v>0</v>
      </c>
      <c r="I305" t="n">
        <v>0</v>
      </c>
      <c r="J305" t="n">
        <v>0</v>
      </c>
      <c r="K305" t="n">
        <v>0</v>
      </c>
      <c r="L305" t="n">
        <v>0</v>
      </c>
      <c r="M305" t="n">
        <v>0</v>
      </c>
      <c r="N305" t="n">
        <v>0</v>
      </c>
      <c r="O305" t="n">
        <v>0</v>
      </c>
      <c r="P305" t="n">
        <v>0</v>
      </c>
      <c r="Q305" t="n">
        <v>0</v>
      </c>
      <c r="R305" s="2" t="inlineStr"/>
    </row>
    <row r="306" ht="15" customHeight="1">
      <c r="A306" t="inlineStr">
        <is>
          <t>A 21948-2025</t>
        </is>
      </c>
      <c r="B306" s="1" t="n">
        <v>45784.59287037037</v>
      </c>
      <c r="C306" s="1" t="n">
        <v>46126</v>
      </c>
      <c r="D306" t="inlineStr">
        <is>
          <t>ÖSTERGÖTLANDS LÄN</t>
        </is>
      </c>
      <c r="E306" t="inlineStr">
        <is>
          <t>KINDA</t>
        </is>
      </c>
      <c r="G306" t="n">
        <v>0.6</v>
      </c>
      <c r="H306" t="n">
        <v>0</v>
      </c>
      <c r="I306" t="n">
        <v>0</v>
      </c>
      <c r="J306" t="n">
        <v>0</v>
      </c>
      <c r="K306" t="n">
        <v>0</v>
      </c>
      <c r="L306" t="n">
        <v>0</v>
      </c>
      <c r="M306" t="n">
        <v>0</v>
      </c>
      <c r="N306" t="n">
        <v>0</v>
      </c>
      <c r="O306" t="n">
        <v>0</v>
      </c>
      <c r="P306" t="n">
        <v>0</v>
      </c>
      <c r="Q306" t="n">
        <v>0</v>
      </c>
      <c r="R306" s="2" t="inlineStr"/>
    </row>
    <row r="307" ht="15" customHeight="1">
      <c r="A307" t="inlineStr">
        <is>
          <t>A 25490-2023</t>
        </is>
      </c>
      <c r="B307" s="1" t="n">
        <v>45082</v>
      </c>
      <c r="C307" s="1" t="n">
        <v>46126</v>
      </c>
      <c r="D307" t="inlineStr">
        <is>
          <t>ÖSTERGÖTLANDS LÄN</t>
        </is>
      </c>
      <c r="E307" t="inlineStr">
        <is>
          <t>KINDA</t>
        </is>
      </c>
      <c r="G307" t="n">
        <v>2.2</v>
      </c>
      <c r="H307" t="n">
        <v>0</v>
      </c>
      <c r="I307" t="n">
        <v>0</v>
      </c>
      <c r="J307" t="n">
        <v>0</v>
      </c>
      <c r="K307" t="n">
        <v>0</v>
      </c>
      <c r="L307" t="n">
        <v>0</v>
      </c>
      <c r="M307" t="n">
        <v>0</v>
      </c>
      <c r="N307" t="n">
        <v>0</v>
      </c>
      <c r="O307" t="n">
        <v>0</v>
      </c>
      <c r="P307" t="n">
        <v>0</v>
      </c>
      <c r="Q307" t="n">
        <v>0</v>
      </c>
      <c r="R307" s="2" t="inlineStr"/>
    </row>
    <row r="308" ht="15" customHeight="1">
      <c r="A308" t="inlineStr">
        <is>
          <t>A 48520-2024</t>
        </is>
      </c>
      <c r="B308" s="1" t="n">
        <v>45593.32488425926</v>
      </c>
      <c r="C308" s="1" t="n">
        <v>46126</v>
      </c>
      <c r="D308" t="inlineStr">
        <is>
          <t>ÖSTERGÖTLANDS LÄN</t>
        </is>
      </c>
      <c r="E308" t="inlineStr">
        <is>
          <t>KINDA</t>
        </is>
      </c>
      <c r="G308" t="n">
        <v>4.6</v>
      </c>
      <c r="H308" t="n">
        <v>0</v>
      </c>
      <c r="I308" t="n">
        <v>0</v>
      </c>
      <c r="J308" t="n">
        <v>0</v>
      </c>
      <c r="K308" t="n">
        <v>0</v>
      </c>
      <c r="L308" t="n">
        <v>0</v>
      </c>
      <c r="M308" t="n">
        <v>0</v>
      </c>
      <c r="N308" t="n">
        <v>0</v>
      </c>
      <c r="O308" t="n">
        <v>0</v>
      </c>
      <c r="P308" t="n">
        <v>0</v>
      </c>
      <c r="Q308" t="n">
        <v>0</v>
      </c>
      <c r="R308" s="2" t="inlineStr"/>
    </row>
    <row r="309" ht="15" customHeight="1">
      <c r="A309" t="inlineStr">
        <is>
          <t>A 22813-2024</t>
        </is>
      </c>
      <c r="B309" s="1" t="n">
        <v>45448.52539351852</v>
      </c>
      <c r="C309" s="1" t="n">
        <v>46126</v>
      </c>
      <c r="D309" t="inlineStr">
        <is>
          <t>ÖSTERGÖTLANDS LÄN</t>
        </is>
      </c>
      <c r="E309" t="inlineStr">
        <is>
          <t>KINDA</t>
        </is>
      </c>
      <c r="F309" t="inlineStr">
        <is>
          <t>Allmännings- och besparingsskogar</t>
        </is>
      </c>
      <c r="G309" t="n">
        <v>6.8</v>
      </c>
      <c r="H309" t="n">
        <v>0</v>
      </c>
      <c r="I309" t="n">
        <v>0</v>
      </c>
      <c r="J309" t="n">
        <v>0</v>
      </c>
      <c r="K309" t="n">
        <v>0</v>
      </c>
      <c r="L309" t="n">
        <v>0</v>
      </c>
      <c r="M309" t="n">
        <v>0</v>
      </c>
      <c r="N309" t="n">
        <v>0</v>
      </c>
      <c r="O309" t="n">
        <v>0</v>
      </c>
      <c r="P309" t="n">
        <v>0</v>
      </c>
      <c r="Q309" t="n">
        <v>0</v>
      </c>
      <c r="R309" s="2" t="inlineStr"/>
    </row>
    <row r="310" ht="15" customHeight="1">
      <c r="A310" t="inlineStr">
        <is>
          <t>A 42956-2023</t>
        </is>
      </c>
      <c r="B310" s="1" t="n">
        <v>45182</v>
      </c>
      <c r="C310" s="1" t="n">
        <v>46126</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9615-2024</t>
        </is>
      </c>
      <c r="B311" s="1" t="n">
        <v>45361.75074074074</v>
      </c>
      <c r="C311" s="1" t="n">
        <v>46126</v>
      </c>
      <c r="D311" t="inlineStr">
        <is>
          <t>ÖSTERGÖTLANDS LÄN</t>
        </is>
      </c>
      <c r="E311" t="inlineStr">
        <is>
          <t>KINDA</t>
        </is>
      </c>
      <c r="G311" t="n">
        <v>2.2</v>
      </c>
      <c r="H311" t="n">
        <v>0</v>
      </c>
      <c r="I311" t="n">
        <v>0</v>
      </c>
      <c r="J311" t="n">
        <v>0</v>
      </c>
      <c r="K311" t="n">
        <v>0</v>
      </c>
      <c r="L311" t="n">
        <v>0</v>
      </c>
      <c r="M311" t="n">
        <v>0</v>
      </c>
      <c r="N311" t="n">
        <v>0</v>
      </c>
      <c r="O311" t="n">
        <v>0</v>
      </c>
      <c r="P311" t="n">
        <v>0</v>
      </c>
      <c r="Q311" t="n">
        <v>0</v>
      </c>
      <c r="R311" s="2" t="inlineStr"/>
    </row>
    <row r="312" ht="15" customHeight="1">
      <c r="A312" t="inlineStr">
        <is>
          <t>A 6411-2025</t>
        </is>
      </c>
      <c r="B312" s="1" t="n">
        <v>45699.45978009259</v>
      </c>
      <c r="C312" s="1" t="n">
        <v>46126</v>
      </c>
      <c r="D312" t="inlineStr">
        <is>
          <t>ÖSTERGÖTLANDS LÄN</t>
        </is>
      </c>
      <c r="E312" t="inlineStr">
        <is>
          <t>KINDA</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24023-2024</t>
        </is>
      </c>
      <c r="B313" s="1" t="n">
        <v>45456.44684027778</v>
      </c>
      <c r="C313" s="1" t="n">
        <v>46126</v>
      </c>
      <c r="D313" t="inlineStr">
        <is>
          <t>ÖSTERGÖTLANDS LÄN</t>
        </is>
      </c>
      <c r="E313" t="inlineStr">
        <is>
          <t>KINDA</t>
        </is>
      </c>
      <c r="G313" t="n">
        <v>7.1</v>
      </c>
      <c r="H313" t="n">
        <v>0</v>
      </c>
      <c r="I313" t="n">
        <v>0</v>
      </c>
      <c r="J313" t="n">
        <v>0</v>
      </c>
      <c r="K313" t="n">
        <v>0</v>
      </c>
      <c r="L313" t="n">
        <v>0</v>
      </c>
      <c r="M313" t="n">
        <v>0</v>
      </c>
      <c r="N313" t="n">
        <v>0</v>
      </c>
      <c r="O313" t="n">
        <v>0</v>
      </c>
      <c r="P313" t="n">
        <v>0</v>
      </c>
      <c r="Q313" t="n">
        <v>0</v>
      </c>
      <c r="R313" s="2" t="inlineStr"/>
    </row>
    <row r="314" ht="15" customHeight="1">
      <c r="A314" t="inlineStr">
        <is>
          <t>A 61946-2022</t>
        </is>
      </c>
      <c r="B314" s="1" t="n">
        <v>44918.32740740741</v>
      </c>
      <c r="C314" s="1" t="n">
        <v>46126</v>
      </c>
      <c r="D314" t="inlineStr">
        <is>
          <t>ÖSTERGÖTLANDS LÄN</t>
        </is>
      </c>
      <c r="E314" t="inlineStr">
        <is>
          <t>KINDA</t>
        </is>
      </c>
      <c r="G314" t="n">
        <v>11.6</v>
      </c>
      <c r="H314" t="n">
        <v>0</v>
      </c>
      <c r="I314" t="n">
        <v>0</v>
      </c>
      <c r="J314" t="n">
        <v>0</v>
      </c>
      <c r="K314" t="n">
        <v>0</v>
      </c>
      <c r="L314" t="n">
        <v>0</v>
      </c>
      <c r="M314" t="n">
        <v>0</v>
      </c>
      <c r="N314" t="n">
        <v>0</v>
      </c>
      <c r="O314" t="n">
        <v>0</v>
      </c>
      <c r="P314" t="n">
        <v>0</v>
      </c>
      <c r="Q314" t="n">
        <v>0</v>
      </c>
      <c r="R314" s="2" t="inlineStr"/>
    </row>
    <row r="315" ht="15" customHeight="1">
      <c r="A315" t="inlineStr">
        <is>
          <t>A 61949-2022</t>
        </is>
      </c>
      <c r="B315" s="1" t="n">
        <v>44918.33414351852</v>
      </c>
      <c r="C315" s="1" t="n">
        <v>46126</v>
      </c>
      <c r="D315" t="inlineStr">
        <is>
          <t>ÖSTERGÖTLANDS LÄN</t>
        </is>
      </c>
      <c r="E315" t="inlineStr">
        <is>
          <t>KINDA</t>
        </is>
      </c>
      <c r="G315" t="n">
        <v>1.3</v>
      </c>
      <c r="H315" t="n">
        <v>0</v>
      </c>
      <c r="I315" t="n">
        <v>0</v>
      </c>
      <c r="J315" t="n">
        <v>0</v>
      </c>
      <c r="K315" t="n">
        <v>0</v>
      </c>
      <c r="L315" t="n">
        <v>0</v>
      </c>
      <c r="M315" t="n">
        <v>0</v>
      </c>
      <c r="N315" t="n">
        <v>0</v>
      </c>
      <c r="O315" t="n">
        <v>0</v>
      </c>
      <c r="P315" t="n">
        <v>0</v>
      </c>
      <c r="Q315" t="n">
        <v>0</v>
      </c>
      <c r="R315" s="2" t="inlineStr"/>
    </row>
    <row r="316" ht="15" customHeight="1">
      <c r="A316" t="inlineStr">
        <is>
          <t>A 61962-2022</t>
        </is>
      </c>
      <c r="B316" s="1" t="n">
        <v>44918</v>
      </c>
      <c r="C316" s="1" t="n">
        <v>46126</v>
      </c>
      <c r="D316" t="inlineStr">
        <is>
          <t>ÖSTERGÖTLANDS LÄN</t>
        </is>
      </c>
      <c r="E316" t="inlineStr">
        <is>
          <t>KINDA</t>
        </is>
      </c>
      <c r="G316" t="n">
        <v>2.5</v>
      </c>
      <c r="H316" t="n">
        <v>0</v>
      </c>
      <c r="I316" t="n">
        <v>0</v>
      </c>
      <c r="J316" t="n">
        <v>0</v>
      </c>
      <c r="K316" t="n">
        <v>0</v>
      </c>
      <c r="L316" t="n">
        <v>0</v>
      </c>
      <c r="M316" t="n">
        <v>0</v>
      </c>
      <c r="N316" t="n">
        <v>0</v>
      </c>
      <c r="O316" t="n">
        <v>0</v>
      </c>
      <c r="P316" t="n">
        <v>0</v>
      </c>
      <c r="Q316" t="n">
        <v>0</v>
      </c>
      <c r="R316" s="2" t="inlineStr"/>
    </row>
    <row r="317" ht="15" customHeight="1">
      <c r="A317" t="inlineStr">
        <is>
          <t>A 10621-2023</t>
        </is>
      </c>
      <c r="B317" s="1" t="n">
        <v>44988</v>
      </c>
      <c r="C317" s="1" t="n">
        <v>46126</v>
      </c>
      <c r="D317" t="inlineStr">
        <is>
          <t>ÖSTERGÖTLANDS LÄN</t>
        </is>
      </c>
      <c r="E317" t="inlineStr">
        <is>
          <t>KINDA</t>
        </is>
      </c>
      <c r="G317" t="n">
        <v>1.1</v>
      </c>
      <c r="H317" t="n">
        <v>0</v>
      </c>
      <c r="I317" t="n">
        <v>0</v>
      </c>
      <c r="J317" t="n">
        <v>0</v>
      </c>
      <c r="K317" t="n">
        <v>0</v>
      </c>
      <c r="L317" t="n">
        <v>0</v>
      </c>
      <c r="M317" t="n">
        <v>0</v>
      </c>
      <c r="N317" t="n">
        <v>0</v>
      </c>
      <c r="O317" t="n">
        <v>0</v>
      </c>
      <c r="P317" t="n">
        <v>0</v>
      </c>
      <c r="Q317" t="n">
        <v>0</v>
      </c>
      <c r="R317" s="2" t="inlineStr"/>
    </row>
    <row r="318" ht="15" customHeight="1">
      <c r="A318" t="inlineStr">
        <is>
          <t>A 37068-2024</t>
        </is>
      </c>
      <c r="B318" s="1" t="n">
        <v>45539.46399305556</v>
      </c>
      <c r="C318" s="1" t="n">
        <v>46126</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16607-2023</t>
        </is>
      </c>
      <c r="B319" s="1" t="n">
        <v>45030</v>
      </c>
      <c r="C319" s="1" t="n">
        <v>46126</v>
      </c>
      <c r="D319" t="inlineStr">
        <is>
          <t>ÖSTERGÖTLANDS LÄN</t>
        </is>
      </c>
      <c r="E319" t="inlineStr">
        <is>
          <t>KINDA</t>
        </is>
      </c>
      <c r="G319" t="n">
        <v>4.7</v>
      </c>
      <c r="H319" t="n">
        <v>0</v>
      </c>
      <c r="I319" t="n">
        <v>0</v>
      </c>
      <c r="J319" t="n">
        <v>0</v>
      </c>
      <c r="K319" t="n">
        <v>0</v>
      </c>
      <c r="L319" t="n">
        <v>0</v>
      </c>
      <c r="M319" t="n">
        <v>0</v>
      </c>
      <c r="N319" t="n">
        <v>0</v>
      </c>
      <c r="O319" t="n">
        <v>0</v>
      </c>
      <c r="P319" t="n">
        <v>0</v>
      </c>
      <c r="Q319" t="n">
        <v>0</v>
      </c>
      <c r="R319" s="2" t="inlineStr"/>
    </row>
    <row r="320" ht="15" customHeight="1">
      <c r="A320" t="inlineStr">
        <is>
          <t>A 16609-2023</t>
        </is>
      </c>
      <c r="B320" s="1" t="n">
        <v>45030</v>
      </c>
      <c r="C320" s="1" t="n">
        <v>46126</v>
      </c>
      <c r="D320" t="inlineStr">
        <is>
          <t>ÖSTERGÖTLANDS LÄN</t>
        </is>
      </c>
      <c r="E320" t="inlineStr">
        <is>
          <t>KINDA</t>
        </is>
      </c>
      <c r="G320" t="n">
        <v>5.5</v>
      </c>
      <c r="H320" t="n">
        <v>0</v>
      </c>
      <c r="I320" t="n">
        <v>0</v>
      </c>
      <c r="J320" t="n">
        <v>0</v>
      </c>
      <c r="K320" t="n">
        <v>0</v>
      </c>
      <c r="L320" t="n">
        <v>0</v>
      </c>
      <c r="M320" t="n">
        <v>0</v>
      </c>
      <c r="N320" t="n">
        <v>0</v>
      </c>
      <c r="O320" t="n">
        <v>0</v>
      </c>
      <c r="P320" t="n">
        <v>0</v>
      </c>
      <c r="Q320" t="n">
        <v>0</v>
      </c>
      <c r="R320" s="2" t="inlineStr"/>
    </row>
    <row r="321" ht="15" customHeight="1">
      <c r="A321" t="inlineStr">
        <is>
          <t>A 16610-2023</t>
        </is>
      </c>
      <c r="B321" s="1" t="n">
        <v>45030</v>
      </c>
      <c r="C321" s="1" t="n">
        <v>46126</v>
      </c>
      <c r="D321" t="inlineStr">
        <is>
          <t>ÖSTERGÖTLANDS LÄN</t>
        </is>
      </c>
      <c r="E321" t="inlineStr">
        <is>
          <t>KINDA</t>
        </is>
      </c>
      <c r="G321" t="n">
        <v>3.4</v>
      </c>
      <c r="H321" t="n">
        <v>0</v>
      </c>
      <c r="I321" t="n">
        <v>0</v>
      </c>
      <c r="J321" t="n">
        <v>0</v>
      </c>
      <c r="K321" t="n">
        <v>0</v>
      </c>
      <c r="L321" t="n">
        <v>0</v>
      </c>
      <c r="M321" t="n">
        <v>0</v>
      </c>
      <c r="N321" t="n">
        <v>0</v>
      </c>
      <c r="O321" t="n">
        <v>0</v>
      </c>
      <c r="P321" t="n">
        <v>0</v>
      </c>
      <c r="Q321" t="n">
        <v>0</v>
      </c>
      <c r="R321" s="2" t="inlineStr"/>
    </row>
    <row r="322" ht="15" customHeight="1">
      <c r="A322" t="inlineStr">
        <is>
          <t>A 24748-2023</t>
        </is>
      </c>
      <c r="B322" s="1" t="n">
        <v>45078</v>
      </c>
      <c r="C322" s="1" t="n">
        <v>46126</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13976-2022</t>
        </is>
      </c>
      <c r="B323" s="1" t="n">
        <v>44650.56546296296</v>
      </c>
      <c r="C323" s="1" t="n">
        <v>46126</v>
      </c>
      <c r="D323" t="inlineStr">
        <is>
          <t>ÖSTERGÖTLANDS LÄN</t>
        </is>
      </c>
      <c r="E323" t="inlineStr">
        <is>
          <t>KINDA</t>
        </is>
      </c>
      <c r="F323" t="inlineStr">
        <is>
          <t>Övriga Aktiebolag</t>
        </is>
      </c>
      <c r="G323" t="n">
        <v>7.4</v>
      </c>
      <c r="H323" t="n">
        <v>0</v>
      </c>
      <c r="I323" t="n">
        <v>0</v>
      </c>
      <c r="J323" t="n">
        <v>0</v>
      </c>
      <c r="K323" t="n">
        <v>0</v>
      </c>
      <c r="L323" t="n">
        <v>0</v>
      </c>
      <c r="M323" t="n">
        <v>0</v>
      </c>
      <c r="N323" t="n">
        <v>0</v>
      </c>
      <c r="O323" t="n">
        <v>0</v>
      </c>
      <c r="P323" t="n">
        <v>0</v>
      </c>
      <c r="Q323" t="n">
        <v>0</v>
      </c>
      <c r="R323" s="2" t="inlineStr"/>
    </row>
    <row r="324" ht="15" customHeight="1">
      <c r="A324" t="inlineStr">
        <is>
          <t>A 28068-2024</t>
        </is>
      </c>
      <c r="B324" s="1" t="n">
        <v>45476.57782407408</v>
      </c>
      <c r="C324" s="1" t="n">
        <v>46126</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22473-2025</t>
        </is>
      </c>
      <c r="B325" s="1" t="n">
        <v>45786.62056712963</v>
      </c>
      <c r="C325" s="1" t="n">
        <v>46126</v>
      </c>
      <c r="D325" t="inlineStr">
        <is>
          <t>ÖSTERGÖTLANDS LÄN</t>
        </is>
      </c>
      <c r="E325" t="inlineStr">
        <is>
          <t>KINDA</t>
        </is>
      </c>
      <c r="G325" t="n">
        <v>3.1</v>
      </c>
      <c r="H325" t="n">
        <v>0</v>
      </c>
      <c r="I325" t="n">
        <v>0</v>
      </c>
      <c r="J325" t="n">
        <v>0</v>
      </c>
      <c r="K325" t="n">
        <v>0</v>
      </c>
      <c r="L325" t="n">
        <v>0</v>
      </c>
      <c r="M325" t="n">
        <v>0</v>
      </c>
      <c r="N325" t="n">
        <v>0</v>
      </c>
      <c r="O325" t="n">
        <v>0</v>
      </c>
      <c r="P325" t="n">
        <v>0</v>
      </c>
      <c r="Q325" t="n">
        <v>0</v>
      </c>
      <c r="R325" s="2" t="inlineStr"/>
    </row>
    <row r="326" ht="15" customHeight="1">
      <c r="A326" t="inlineStr">
        <is>
          <t>A 9182-2024</t>
        </is>
      </c>
      <c r="B326" s="1" t="n">
        <v>45358.44520833333</v>
      </c>
      <c r="C326" s="1" t="n">
        <v>46126</v>
      </c>
      <c r="D326" t="inlineStr">
        <is>
          <t>ÖSTERGÖTLANDS LÄN</t>
        </is>
      </c>
      <c r="E326" t="inlineStr">
        <is>
          <t>KINDA</t>
        </is>
      </c>
      <c r="G326" t="n">
        <v>3.7</v>
      </c>
      <c r="H326" t="n">
        <v>0</v>
      </c>
      <c r="I326" t="n">
        <v>0</v>
      </c>
      <c r="J326" t="n">
        <v>0</v>
      </c>
      <c r="K326" t="n">
        <v>0</v>
      </c>
      <c r="L326" t="n">
        <v>0</v>
      </c>
      <c r="M326" t="n">
        <v>0</v>
      </c>
      <c r="N326" t="n">
        <v>0</v>
      </c>
      <c r="O326" t="n">
        <v>0</v>
      </c>
      <c r="P326" t="n">
        <v>0</v>
      </c>
      <c r="Q326" t="n">
        <v>0</v>
      </c>
      <c r="R326" s="2" t="inlineStr"/>
    </row>
    <row r="327" ht="15" customHeight="1">
      <c r="A327" t="inlineStr">
        <is>
          <t>A 17047-2025</t>
        </is>
      </c>
      <c r="B327" s="1" t="n">
        <v>45755.59559027778</v>
      </c>
      <c r="C327" s="1" t="n">
        <v>46126</v>
      </c>
      <c r="D327" t="inlineStr">
        <is>
          <t>ÖSTERGÖTLANDS LÄN</t>
        </is>
      </c>
      <c r="E327" t="inlineStr">
        <is>
          <t>KINDA</t>
        </is>
      </c>
      <c r="G327" t="n">
        <v>2.4</v>
      </c>
      <c r="H327" t="n">
        <v>0</v>
      </c>
      <c r="I327" t="n">
        <v>0</v>
      </c>
      <c r="J327" t="n">
        <v>0</v>
      </c>
      <c r="K327" t="n">
        <v>0</v>
      </c>
      <c r="L327" t="n">
        <v>0</v>
      </c>
      <c r="M327" t="n">
        <v>0</v>
      </c>
      <c r="N327" t="n">
        <v>0</v>
      </c>
      <c r="O327" t="n">
        <v>0</v>
      </c>
      <c r="P327" t="n">
        <v>0</v>
      </c>
      <c r="Q327" t="n">
        <v>0</v>
      </c>
      <c r="R327" s="2" t="inlineStr"/>
    </row>
    <row r="328" ht="15" customHeight="1">
      <c r="A328" t="inlineStr">
        <is>
          <t>A 3908-2023</t>
        </is>
      </c>
      <c r="B328" s="1" t="n">
        <v>44952</v>
      </c>
      <c r="C328" s="1" t="n">
        <v>46126</v>
      </c>
      <c r="D328" t="inlineStr">
        <is>
          <t>ÖSTERGÖTLANDS LÄN</t>
        </is>
      </c>
      <c r="E328" t="inlineStr">
        <is>
          <t>KINDA</t>
        </is>
      </c>
      <c r="G328" t="n">
        <v>2.3</v>
      </c>
      <c r="H328" t="n">
        <v>0</v>
      </c>
      <c r="I328" t="n">
        <v>0</v>
      </c>
      <c r="J328" t="n">
        <v>0</v>
      </c>
      <c r="K328" t="n">
        <v>0</v>
      </c>
      <c r="L328" t="n">
        <v>0</v>
      </c>
      <c r="M328" t="n">
        <v>0</v>
      </c>
      <c r="N328" t="n">
        <v>0</v>
      </c>
      <c r="O328" t="n">
        <v>0</v>
      </c>
      <c r="P328" t="n">
        <v>0</v>
      </c>
      <c r="Q328" t="n">
        <v>0</v>
      </c>
      <c r="R328" s="2" t="inlineStr"/>
    </row>
    <row r="329" ht="15" customHeight="1">
      <c r="A329" t="inlineStr">
        <is>
          <t>A 34860-2024</t>
        </is>
      </c>
      <c r="B329" s="1" t="n">
        <v>45527.33670138889</v>
      </c>
      <c r="C329" s="1" t="n">
        <v>46126</v>
      </c>
      <c r="D329" t="inlineStr">
        <is>
          <t>ÖSTERGÖTLANDS LÄN</t>
        </is>
      </c>
      <c r="E329" t="inlineStr">
        <is>
          <t>KINDA</t>
        </is>
      </c>
      <c r="G329" t="n">
        <v>0.8</v>
      </c>
      <c r="H329" t="n">
        <v>0</v>
      </c>
      <c r="I329" t="n">
        <v>0</v>
      </c>
      <c r="J329" t="n">
        <v>0</v>
      </c>
      <c r="K329" t="n">
        <v>0</v>
      </c>
      <c r="L329" t="n">
        <v>0</v>
      </c>
      <c r="M329" t="n">
        <v>0</v>
      </c>
      <c r="N329" t="n">
        <v>0</v>
      </c>
      <c r="O329" t="n">
        <v>0</v>
      </c>
      <c r="P329" t="n">
        <v>0</v>
      </c>
      <c r="Q329" t="n">
        <v>0</v>
      </c>
      <c r="R329" s="2" t="inlineStr"/>
    </row>
    <row r="330" ht="15" customHeight="1">
      <c r="A330" t="inlineStr">
        <is>
          <t>A 34871-2024</t>
        </is>
      </c>
      <c r="B330" s="1" t="n">
        <v>45527.3469212963</v>
      </c>
      <c r="C330" s="1" t="n">
        <v>46126</v>
      </c>
      <c r="D330" t="inlineStr">
        <is>
          <t>ÖSTERGÖTLANDS LÄN</t>
        </is>
      </c>
      <c r="E330" t="inlineStr">
        <is>
          <t>KINDA</t>
        </is>
      </c>
      <c r="G330" t="n">
        <v>0.8</v>
      </c>
      <c r="H330" t="n">
        <v>0</v>
      </c>
      <c r="I330" t="n">
        <v>0</v>
      </c>
      <c r="J330" t="n">
        <v>0</v>
      </c>
      <c r="K330" t="n">
        <v>0</v>
      </c>
      <c r="L330" t="n">
        <v>0</v>
      </c>
      <c r="M330" t="n">
        <v>0</v>
      </c>
      <c r="N330" t="n">
        <v>0</v>
      </c>
      <c r="O330" t="n">
        <v>0</v>
      </c>
      <c r="P330" t="n">
        <v>0</v>
      </c>
      <c r="Q330" t="n">
        <v>0</v>
      </c>
      <c r="R330" s="2" t="inlineStr"/>
    </row>
    <row r="331" ht="15" customHeight="1">
      <c r="A331" t="inlineStr">
        <is>
          <t>A 44633-2025</t>
        </is>
      </c>
      <c r="B331" s="1" t="n">
        <v>45917</v>
      </c>
      <c r="C331" s="1" t="n">
        <v>46126</v>
      </c>
      <c r="D331" t="inlineStr">
        <is>
          <t>ÖSTERGÖTLANDS LÄN</t>
        </is>
      </c>
      <c r="E331" t="inlineStr">
        <is>
          <t>KINDA</t>
        </is>
      </c>
      <c r="G331" t="n">
        <v>5.1</v>
      </c>
      <c r="H331" t="n">
        <v>0</v>
      </c>
      <c r="I331" t="n">
        <v>0</v>
      </c>
      <c r="J331" t="n">
        <v>0</v>
      </c>
      <c r="K331" t="n">
        <v>0</v>
      </c>
      <c r="L331" t="n">
        <v>0</v>
      </c>
      <c r="M331" t="n">
        <v>0</v>
      </c>
      <c r="N331" t="n">
        <v>0</v>
      </c>
      <c r="O331" t="n">
        <v>0</v>
      </c>
      <c r="P331" t="n">
        <v>0</v>
      </c>
      <c r="Q331" t="n">
        <v>0</v>
      </c>
      <c r="R331" s="2" t="inlineStr"/>
    </row>
    <row r="332" ht="15" customHeight="1">
      <c r="A332" t="inlineStr">
        <is>
          <t>A 33043-2024</t>
        </is>
      </c>
      <c r="B332" s="1" t="n">
        <v>45517.61326388889</v>
      </c>
      <c r="C332" s="1" t="n">
        <v>46126</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13769-2023</t>
        </is>
      </c>
      <c r="B333" s="1" t="n">
        <v>45007.45686342593</v>
      </c>
      <c r="C333" s="1" t="n">
        <v>46126</v>
      </c>
      <c r="D333" t="inlineStr">
        <is>
          <t>ÖSTERGÖTLANDS LÄN</t>
        </is>
      </c>
      <c r="E333" t="inlineStr">
        <is>
          <t>KINDA</t>
        </is>
      </c>
      <c r="G333" t="n">
        <v>3.8</v>
      </c>
      <c r="H333" t="n">
        <v>0</v>
      </c>
      <c r="I333" t="n">
        <v>0</v>
      </c>
      <c r="J333" t="n">
        <v>0</v>
      </c>
      <c r="K333" t="n">
        <v>0</v>
      </c>
      <c r="L333" t="n">
        <v>0</v>
      </c>
      <c r="M333" t="n">
        <v>0</v>
      </c>
      <c r="N333" t="n">
        <v>0</v>
      </c>
      <c r="O333" t="n">
        <v>0</v>
      </c>
      <c r="P333" t="n">
        <v>0</v>
      </c>
      <c r="Q333" t="n">
        <v>0</v>
      </c>
      <c r="R333" s="2" t="inlineStr"/>
    </row>
    <row r="334" ht="15" customHeight="1">
      <c r="A334" t="inlineStr">
        <is>
          <t>A 17046-2025</t>
        </is>
      </c>
      <c r="B334" s="1" t="n">
        <v>45755.59457175926</v>
      </c>
      <c r="C334" s="1" t="n">
        <v>46126</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58289-2024</t>
        </is>
      </c>
      <c r="B335" s="1" t="n">
        <v>45632.59153935185</v>
      </c>
      <c r="C335" s="1" t="n">
        <v>46126</v>
      </c>
      <c r="D335" t="inlineStr">
        <is>
          <t>ÖSTERGÖTLANDS LÄN</t>
        </is>
      </c>
      <c r="E335" t="inlineStr">
        <is>
          <t>KINDA</t>
        </is>
      </c>
      <c r="G335" t="n">
        <v>4.4</v>
      </c>
      <c r="H335" t="n">
        <v>0</v>
      </c>
      <c r="I335" t="n">
        <v>0</v>
      </c>
      <c r="J335" t="n">
        <v>0</v>
      </c>
      <c r="K335" t="n">
        <v>0</v>
      </c>
      <c r="L335" t="n">
        <v>0</v>
      </c>
      <c r="M335" t="n">
        <v>0</v>
      </c>
      <c r="N335" t="n">
        <v>0</v>
      </c>
      <c r="O335" t="n">
        <v>0</v>
      </c>
      <c r="P335" t="n">
        <v>0</v>
      </c>
      <c r="Q335" t="n">
        <v>0</v>
      </c>
      <c r="R335" s="2" t="inlineStr"/>
    </row>
    <row r="336" ht="15" customHeight="1">
      <c r="A336" t="inlineStr">
        <is>
          <t>A 22044-2025</t>
        </is>
      </c>
      <c r="B336" s="1" t="n">
        <v>45785.34126157407</v>
      </c>
      <c r="C336" s="1" t="n">
        <v>46126</v>
      </c>
      <c r="D336" t="inlineStr">
        <is>
          <t>ÖSTERGÖTLANDS LÄN</t>
        </is>
      </c>
      <c r="E336" t="inlineStr">
        <is>
          <t>KINDA</t>
        </is>
      </c>
      <c r="G336" t="n">
        <v>0.9</v>
      </c>
      <c r="H336" t="n">
        <v>0</v>
      </c>
      <c r="I336" t="n">
        <v>0</v>
      </c>
      <c r="J336" t="n">
        <v>0</v>
      </c>
      <c r="K336" t="n">
        <v>0</v>
      </c>
      <c r="L336" t="n">
        <v>0</v>
      </c>
      <c r="M336" t="n">
        <v>0</v>
      </c>
      <c r="N336" t="n">
        <v>0</v>
      </c>
      <c r="O336" t="n">
        <v>0</v>
      </c>
      <c r="P336" t="n">
        <v>0</v>
      </c>
      <c r="Q336" t="n">
        <v>0</v>
      </c>
      <c r="R336" s="2" t="inlineStr"/>
    </row>
    <row r="337" ht="15" customHeight="1">
      <c r="A337" t="inlineStr">
        <is>
          <t>A 22806-2025</t>
        </is>
      </c>
      <c r="B337" s="1" t="n">
        <v>45789.67461805556</v>
      </c>
      <c r="C337" s="1" t="n">
        <v>46126</v>
      </c>
      <c r="D337" t="inlineStr">
        <is>
          <t>ÖSTERGÖTLANDS LÄN</t>
        </is>
      </c>
      <c r="E337" t="inlineStr">
        <is>
          <t>KINDA</t>
        </is>
      </c>
      <c r="G337" t="n">
        <v>6.8</v>
      </c>
      <c r="H337" t="n">
        <v>0</v>
      </c>
      <c r="I337" t="n">
        <v>0</v>
      </c>
      <c r="J337" t="n">
        <v>0</v>
      </c>
      <c r="K337" t="n">
        <v>0</v>
      </c>
      <c r="L337" t="n">
        <v>0</v>
      </c>
      <c r="M337" t="n">
        <v>0</v>
      </c>
      <c r="N337" t="n">
        <v>0</v>
      </c>
      <c r="O337" t="n">
        <v>0</v>
      </c>
      <c r="P337" t="n">
        <v>0</v>
      </c>
      <c r="Q337" t="n">
        <v>0</v>
      </c>
      <c r="R337" s="2" t="inlineStr"/>
    </row>
    <row r="338" ht="15" customHeight="1">
      <c r="A338" t="inlineStr">
        <is>
          <t>A 13673-2024</t>
        </is>
      </c>
      <c r="B338" s="1" t="n">
        <v>45390.53634259259</v>
      </c>
      <c r="C338" s="1" t="n">
        <v>46126</v>
      </c>
      <c r="D338" t="inlineStr">
        <is>
          <t>ÖSTERGÖTLANDS LÄN</t>
        </is>
      </c>
      <c r="E338" t="inlineStr">
        <is>
          <t>KINDA</t>
        </is>
      </c>
      <c r="F338" t="inlineStr">
        <is>
          <t>Övriga Aktiebolag</t>
        </is>
      </c>
      <c r="G338" t="n">
        <v>0.9</v>
      </c>
      <c r="H338" t="n">
        <v>0</v>
      </c>
      <c r="I338" t="n">
        <v>0</v>
      </c>
      <c r="J338" t="n">
        <v>0</v>
      </c>
      <c r="K338" t="n">
        <v>0</v>
      </c>
      <c r="L338" t="n">
        <v>0</v>
      </c>
      <c r="M338" t="n">
        <v>0</v>
      </c>
      <c r="N338" t="n">
        <v>0</v>
      </c>
      <c r="O338" t="n">
        <v>0</v>
      </c>
      <c r="P338" t="n">
        <v>0</v>
      </c>
      <c r="Q338" t="n">
        <v>0</v>
      </c>
      <c r="R338" s="2" t="inlineStr"/>
    </row>
    <row r="339" ht="15" customHeight="1">
      <c r="A339" t="inlineStr">
        <is>
          <t>A 5086-2023</t>
        </is>
      </c>
      <c r="B339" s="1" t="n">
        <v>44953</v>
      </c>
      <c r="C339" s="1" t="n">
        <v>46126</v>
      </c>
      <c r="D339" t="inlineStr">
        <is>
          <t>ÖSTERGÖTLANDS LÄN</t>
        </is>
      </c>
      <c r="E339" t="inlineStr">
        <is>
          <t>KINDA</t>
        </is>
      </c>
      <c r="G339" t="n">
        <v>4.2</v>
      </c>
      <c r="H339" t="n">
        <v>0</v>
      </c>
      <c r="I339" t="n">
        <v>0</v>
      </c>
      <c r="J339" t="n">
        <v>0</v>
      </c>
      <c r="K339" t="n">
        <v>0</v>
      </c>
      <c r="L339" t="n">
        <v>0</v>
      </c>
      <c r="M339" t="n">
        <v>0</v>
      </c>
      <c r="N339" t="n">
        <v>0</v>
      </c>
      <c r="O339" t="n">
        <v>0</v>
      </c>
      <c r="P339" t="n">
        <v>0</v>
      </c>
      <c r="Q339" t="n">
        <v>0</v>
      </c>
      <c r="R339" s="2" t="inlineStr"/>
    </row>
    <row r="340" ht="15" customHeight="1">
      <c r="A340" t="inlineStr">
        <is>
          <t>A 60824-2023</t>
        </is>
      </c>
      <c r="B340" s="1" t="n">
        <v>45260.80365740741</v>
      </c>
      <c r="C340" s="1" t="n">
        <v>46126</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34661-2024</t>
        </is>
      </c>
      <c r="B341" s="1" t="n">
        <v>45526</v>
      </c>
      <c r="C341" s="1" t="n">
        <v>46126</v>
      </c>
      <c r="D341" t="inlineStr">
        <is>
          <t>ÖSTERGÖTLANDS LÄN</t>
        </is>
      </c>
      <c r="E341" t="inlineStr">
        <is>
          <t>KINDA</t>
        </is>
      </c>
      <c r="G341" t="n">
        <v>2.1</v>
      </c>
      <c r="H341" t="n">
        <v>0</v>
      </c>
      <c r="I341" t="n">
        <v>0</v>
      </c>
      <c r="J341" t="n">
        <v>0</v>
      </c>
      <c r="K341" t="n">
        <v>0</v>
      </c>
      <c r="L341" t="n">
        <v>0</v>
      </c>
      <c r="M341" t="n">
        <v>0</v>
      </c>
      <c r="N341" t="n">
        <v>0</v>
      </c>
      <c r="O341" t="n">
        <v>0</v>
      </c>
      <c r="P341" t="n">
        <v>0</v>
      </c>
      <c r="Q341" t="n">
        <v>0</v>
      </c>
      <c r="R341" s="2" t="inlineStr"/>
    </row>
    <row r="342" ht="15" customHeight="1">
      <c r="A342" t="inlineStr">
        <is>
          <t>A 22804-2025</t>
        </is>
      </c>
      <c r="B342" s="1" t="n">
        <v>45789.67196759259</v>
      </c>
      <c r="C342" s="1" t="n">
        <v>46126</v>
      </c>
      <c r="D342" t="inlineStr">
        <is>
          <t>ÖSTERGÖTLANDS LÄN</t>
        </is>
      </c>
      <c r="E342" t="inlineStr">
        <is>
          <t>KINDA</t>
        </is>
      </c>
      <c r="G342" t="n">
        <v>2.5</v>
      </c>
      <c r="H342" t="n">
        <v>0</v>
      </c>
      <c r="I342" t="n">
        <v>0</v>
      </c>
      <c r="J342" t="n">
        <v>0</v>
      </c>
      <c r="K342" t="n">
        <v>0</v>
      </c>
      <c r="L342" t="n">
        <v>0</v>
      </c>
      <c r="M342" t="n">
        <v>0</v>
      </c>
      <c r="N342" t="n">
        <v>0</v>
      </c>
      <c r="O342" t="n">
        <v>0</v>
      </c>
      <c r="P342" t="n">
        <v>0</v>
      </c>
      <c r="Q342" t="n">
        <v>0</v>
      </c>
      <c r="R342" s="2" t="inlineStr"/>
    </row>
    <row r="343" ht="15" customHeight="1">
      <c r="A343" t="inlineStr">
        <is>
          <t>A 8501-2024</t>
        </is>
      </c>
      <c r="B343" s="1" t="n">
        <v>45355.45898148148</v>
      </c>
      <c r="C343" s="1" t="n">
        <v>46126</v>
      </c>
      <c r="D343" t="inlineStr">
        <is>
          <t>ÖSTERGÖTLANDS LÄN</t>
        </is>
      </c>
      <c r="E343" t="inlineStr">
        <is>
          <t>KINDA</t>
        </is>
      </c>
      <c r="F343" t="inlineStr">
        <is>
          <t>Övriga Aktiebolag</t>
        </is>
      </c>
      <c r="G343" t="n">
        <v>10.3</v>
      </c>
      <c r="H343" t="n">
        <v>0</v>
      </c>
      <c r="I343" t="n">
        <v>0</v>
      </c>
      <c r="J343" t="n">
        <v>0</v>
      </c>
      <c r="K343" t="n">
        <v>0</v>
      </c>
      <c r="L343" t="n">
        <v>0</v>
      </c>
      <c r="M343" t="n">
        <v>0</v>
      </c>
      <c r="N343" t="n">
        <v>0</v>
      </c>
      <c r="O343" t="n">
        <v>0</v>
      </c>
      <c r="P343" t="n">
        <v>0</v>
      </c>
      <c r="Q343" t="n">
        <v>0</v>
      </c>
      <c r="R343" s="2" t="inlineStr"/>
    </row>
    <row r="344" ht="15" customHeight="1">
      <c r="A344" t="inlineStr">
        <is>
          <t>A 23437-2025</t>
        </is>
      </c>
      <c r="B344" s="1" t="n">
        <v>45792.37238425926</v>
      </c>
      <c r="C344" s="1" t="n">
        <v>46126</v>
      </c>
      <c r="D344" t="inlineStr">
        <is>
          <t>ÖSTERGÖTLANDS LÄN</t>
        </is>
      </c>
      <c r="E344" t="inlineStr">
        <is>
          <t>KINDA</t>
        </is>
      </c>
      <c r="G344" t="n">
        <v>5.2</v>
      </c>
      <c r="H344" t="n">
        <v>0</v>
      </c>
      <c r="I344" t="n">
        <v>0</v>
      </c>
      <c r="J344" t="n">
        <v>0</v>
      </c>
      <c r="K344" t="n">
        <v>0</v>
      </c>
      <c r="L344" t="n">
        <v>0</v>
      </c>
      <c r="M344" t="n">
        <v>0</v>
      </c>
      <c r="N344" t="n">
        <v>0</v>
      </c>
      <c r="O344" t="n">
        <v>0</v>
      </c>
      <c r="P344" t="n">
        <v>0</v>
      </c>
      <c r="Q344" t="n">
        <v>0</v>
      </c>
      <c r="R344" s="2" t="inlineStr"/>
    </row>
    <row r="345" ht="15" customHeight="1">
      <c r="A345" t="inlineStr">
        <is>
          <t>A 45674-2025</t>
        </is>
      </c>
      <c r="B345" s="1" t="n">
        <v>45923.3625</v>
      </c>
      <c r="C345" s="1" t="n">
        <v>46126</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1880-2025</t>
        </is>
      </c>
      <c r="B346" s="1" t="n">
        <v>45671.62322916667</v>
      </c>
      <c r="C346" s="1" t="n">
        <v>46126</v>
      </c>
      <c r="D346" t="inlineStr">
        <is>
          <t>ÖSTERGÖTLANDS LÄN</t>
        </is>
      </c>
      <c r="E346" t="inlineStr">
        <is>
          <t>KINDA</t>
        </is>
      </c>
      <c r="G346" t="n">
        <v>1.5</v>
      </c>
      <c r="H346" t="n">
        <v>0</v>
      </c>
      <c r="I346" t="n">
        <v>0</v>
      </c>
      <c r="J346" t="n">
        <v>0</v>
      </c>
      <c r="K346" t="n">
        <v>0</v>
      </c>
      <c r="L346" t="n">
        <v>0</v>
      </c>
      <c r="M346" t="n">
        <v>0</v>
      </c>
      <c r="N346" t="n">
        <v>0</v>
      </c>
      <c r="O346" t="n">
        <v>0</v>
      </c>
      <c r="P346" t="n">
        <v>0</v>
      </c>
      <c r="Q346" t="n">
        <v>0</v>
      </c>
      <c r="R346" s="2" t="inlineStr"/>
    </row>
    <row r="347" ht="15" customHeight="1">
      <c r="A347" t="inlineStr">
        <is>
          <t>A 14817-2023</t>
        </is>
      </c>
      <c r="B347" s="1" t="n">
        <v>45014.65841435185</v>
      </c>
      <c r="C347" s="1" t="n">
        <v>46126</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23372-2025</t>
        </is>
      </c>
      <c r="B348" s="1" t="n">
        <v>45791</v>
      </c>
      <c r="C348" s="1" t="n">
        <v>46126</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49443-2021</t>
        </is>
      </c>
      <c r="B349" s="1" t="n">
        <v>44454.66972222222</v>
      </c>
      <c r="C349" s="1" t="n">
        <v>46126</v>
      </c>
      <c r="D349" t="inlineStr">
        <is>
          <t>ÖSTERGÖTLANDS LÄN</t>
        </is>
      </c>
      <c r="E349" t="inlineStr">
        <is>
          <t>KINDA</t>
        </is>
      </c>
      <c r="G349" t="n">
        <v>1.7</v>
      </c>
      <c r="H349" t="n">
        <v>0</v>
      </c>
      <c r="I349" t="n">
        <v>0</v>
      </c>
      <c r="J349" t="n">
        <v>0</v>
      </c>
      <c r="K349" t="n">
        <v>0</v>
      </c>
      <c r="L349" t="n">
        <v>0</v>
      </c>
      <c r="M349" t="n">
        <v>0</v>
      </c>
      <c r="N349" t="n">
        <v>0</v>
      </c>
      <c r="O349" t="n">
        <v>0</v>
      </c>
      <c r="P349" t="n">
        <v>0</v>
      </c>
      <c r="Q349" t="n">
        <v>0</v>
      </c>
      <c r="R349" s="2" t="inlineStr"/>
    </row>
    <row r="350" ht="15" customHeight="1">
      <c r="A350" t="inlineStr">
        <is>
          <t>A 27966-2023</t>
        </is>
      </c>
      <c r="B350" s="1" t="n">
        <v>45098.70277777778</v>
      </c>
      <c r="C350" s="1" t="n">
        <v>46126</v>
      </c>
      <c r="D350" t="inlineStr">
        <is>
          <t>ÖSTERGÖTLANDS LÄN</t>
        </is>
      </c>
      <c r="E350" t="inlineStr">
        <is>
          <t>KINDA</t>
        </is>
      </c>
      <c r="G350" t="n">
        <v>2.9</v>
      </c>
      <c r="H350" t="n">
        <v>0</v>
      </c>
      <c r="I350" t="n">
        <v>0</v>
      </c>
      <c r="J350" t="n">
        <v>0</v>
      </c>
      <c r="K350" t="n">
        <v>0</v>
      </c>
      <c r="L350" t="n">
        <v>0</v>
      </c>
      <c r="M350" t="n">
        <v>0</v>
      </c>
      <c r="N350" t="n">
        <v>0</v>
      </c>
      <c r="O350" t="n">
        <v>0</v>
      </c>
      <c r="P350" t="n">
        <v>0</v>
      </c>
      <c r="Q350" t="n">
        <v>0</v>
      </c>
      <c r="R350" s="2" t="inlineStr"/>
    </row>
    <row r="351" ht="15" customHeight="1">
      <c r="A351" t="inlineStr">
        <is>
          <t>A 34627-2023</t>
        </is>
      </c>
      <c r="B351" s="1" t="n">
        <v>45139</v>
      </c>
      <c r="C351" s="1" t="n">
        <v>46126</v>
      </c>
      <c r="D351" t="inlineStr">
        <is>
          <t>ÖSTERGÖTLANDS LÄN</t>
        </is>
      </c>
      <c r="E351" t="inlineStr">
        <is>
          <t>KINDA</t>
        </is>
      </c>
      <c r="G351" t="n">
        <v>1.7</v>
      </c>
      <c r="H351" t="n">
        <v>0</v>
      </c>
      <c r="I351" t="n">
        <v>0</v>
      </c>
      <c r="J351" t="n">
        <v>0</v>
      </c>
      <c r="K351" t="n">
        <v>0</v>
      </c>
      <c r="L351" t="n">
        <v>0</v>
      </c>
      <c r="M351" t="n">
        <v>0</v>
      </c>
      <c r="N351" t="n">
        <v>0</v>
      </c>
      <c r="O351" t="n">
        <v>0</v>
      </c>
      <c r="P351" t="n">
        <v>0</v>
      </c>
      <c r="Q351" t="n">
        <v>0</v>
      </c>
      <c r="R351" s="2" t="inlineStr"/>
    </row>
    <row r="352" ht="15" customHeight="1">
      <c r="A352" t="inlineStr">
        <is>
          <t>A 10806-2024</t>
        </is>
      </c>
      <c r="B352" s="1" t="n">
        <v>45369.62628472222</v>
      </c>
      <c r="C352" s="1" t="n">
        <v>46126</v>
      </c>
      <c r="D352" t="inlineStr">
        <is>
          <t>ÖSTERGÖTLANDS LÄN</t>
        </is>
      </c>
      <c r="E352" t="inlineStr">
        <is>
          <t>KINDA</t>
        </is>
      </c>
      <c r="G352" t="n">
        <v>4.2</v>
      </c>
      <c r="H352" t="n">
        <v>0</v>
      </c>
      <c r="I352" t="n">
        <v>0</v>
      </c>
      <c r="J352" t="n">
        <v>0</v>
      </c>
      <c r="K352" t="n">
        <v>0</v>
      </c>
      <c r="L352" t="n">
        <v>0</v>
      </c>
      <c r="M352" t="n">
        <v>0</v>
      </c>
      <c r="N352" t="n">
        <v>0</v>
      </c>
      <c r="O352" t="n">
        <v>0</v>
      </c>
      <c r="P352" t="n">
        <v>0</v>
      </c>
      <c r="Q352" t="n">
        <v>0</v>
      </c>
      <c r="R352" s="2" t="inlineStr"/>
    </row>
    <row r="353" ht="15" customHeight="1">
      <c r="A353" t="inlineStr">
        <is>
          <t>A 24130-2025</t>
        </is>
      </c>
      <c r="B353" s="1" t="n">
        <v>45796.63424768519</v>
      </c>
      <c r="C353" s="1" t="n">
        <v>46126</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43069-2024</t>
        </is>
      </c>
      <c r="B354" s="1" t="n">
        <v>45567.47780092592</v>
      </c>
      <c r="C354" s="1" t="n">
        <v>46126</v>
      </c>
      <c r="D354" t="inlineStr">
        <is>
          <t>ÖSTERGÖTLANDS LÄN</t>
        </is>
      </c>
      <c r="E354" t="inlineStr">
        <is>
          <t>KINDA</t>
        </is>
      </c>
      <c r="G354" t="n">
        <v>4.1</v>
      </c>
      <c r="H354" t="n">
        <v>0</v>
      </c>
      <c r="I354" t="n">
        <v>0</v>
      </c>
      <c r="J354" t="n">
        <v>0</v>
      </c>
      <c r="K354" t="n">
        <v>0</v>
      </c>
      <c r="L354" t="n">
        <v>0</v>
      </c>
      <c r="M354" t="n">
        <v>0</v>
      </c>
      <c r="N354" t="n">
        <v>0</v>
      </c>
      <c r="O354" t="n">
        <v>0</v>
      </c>
      <c r="P354" t="n">
        <v>0</v>
      </c>
      <c r="Q354" t="n">
        <v>0</v>
      </c>
      <c r="R354" s="2" t="inlineStr"/>
    </row>
    <row r="355" ht="15" customHeight="1">
      <c r="A355" t="inlineStr">
        <is>
          <t>A 51836-2021</t>
        </is>
      </c>
      <c r="B355" s="1" t="n">
        <v>44462</v>
      </c>
      <c r="C355" s="1" t="n">
        <v>46126</v>
      </c>
      <c r="D355" t="inlineStr">
        <is>
          <t>ÖSTERGÖTLANDS LÄN</t>
        </is>
      </c>
      <c r="E355" t="inlineStr">
        <is>
          <t>KINDA</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35104-2023</t>
        </is>
      </c>
      <c r="B356" s="1" t="n">
        <v>45145</v>
      </c>
      <c r="C356" s="1" t="n">
        <v>46126</v>
      </c>
      <c r="D356" t="inlineStr">
        <is>
          <t>ÖSTERGÖTLANDS LÄN</t>
        </is>
      </c>
      <c r="E356" t="inlineStr">
        <is>
          <t>KINDA</t>
        </is>
      </c>
      <c r="G356" t="n">
        <v>2.6</v>
      </c>
      <c r="H356" t="n">
        <v>0</v>
      </c>
      <c r="I356" t="n">
        <v>0</v>
      </c>
      <c r="J356" t="n">
        <v>0</v>
      </c>
      <c r="K356" t="n">
        <v>0</v>
      </c>
      <c r="L356" t="n">
        <v>0</v>
      </c>
      <c r="M356" t="n">
        <v>0</v>
      </c>
      <c r="N356" t="n">
        <v>0</v>
      </c>
      <c r="O356" t="n">
        <v>0</v>
      </c>
      <c r="P356" t="n">
        <v>0</v>
      </c>
      <c r="Q356" t="n">
        <v>0</v>
      </c>
      <c r="R356" s="2" t="inlineStr"/>
    </row>
    <row r="357" ht="15" customHeight="1">
      <c r="A357" t="inlineStr">
        <is>
          <t>A 46890-2025</t>
        </is>
      </c>
      <c r="B357" s="1" t="n">
        <v>45929</v>
      </c>
      <c r="C357" s="1" t="n">
        <v>46126</v>
      </c>
      <c r="D357" t="inlineStr">
        <is>
          <t>ÖSTERGÖTLANDS LÄN</t>
        </is>
      </c>
      <c r="E357" t="inlineStr">
        <is>
          <t>KINDA</t>
        </is>
      </c>
      <c r="G357" t="n">
        <v>3.8</v>
      </c>
      <c r="H357" t="n">
        <v>0</v>
      </c>
      <c r="I357" t="n">
        <v>0</v>
      </c>
      <c r="J357" t="n">
        <v>0</v>
      </c>
      <c r="K357" t="n">
        <v>0</v>
      </c>
      <c r="L357" t="n">
        <v>0</v>
      </c>
      <c r="M357" t="n">
        <v>0</v>
      </c>
      <c r="N357" t="n">
        <v>0</v>
      </c>
      <c r="O357" t="n">
        <v>0</v>
      </c>
      <c r="P357" t="n">
        <v>0</v>
      </c>
      <c r="Q357" t="n">
        <v>0</v>
      </c>
      <c r="R357" s="2" t="inlineStr"/>
    </row>
    <row r="358" ht="15" customHeight="1">
      <c r="A358" t="inlineStr">
        <is>
          <t>A 46901-2025</t>
        </is>
      </c>
      <c r="B358" s="1" t="n">
        <v>45929.39244212963</v>
      </c>
      <c r="C358" s="1" t="n">
        <v>46126</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46947-2025</t>
        </is>
      </c>
      <c r="B359" s="1" t="n">
        <v>45929.46361111111</v>
      </c>
      <c r="C359" s="1" t="n">
        <v>46126</v>
      </c>
      <c r="D359" t="inlineStr">
        <is>
          <t>ÖSTERGÖTLANDS LÄN</t>
        </is>
      </c>
      <c r="E359" t="inlineStr">
        <is>
          <t>KINDA</t>
        </is>
      </c>
      <c r="G359" t="n">
        <v>3.7</v>
      </c>
      <c r="H359" t="n">
        <v>0</v>
      </c>
      <c r="I359" t="n">
        <v>0</v>
      </c>
      <c r="J359" t="n">
        <v>0</v>
      </c>
      <c r="K359" t="n">
        <v>0</v>
      </c>
      <c r="L359" t="n">
        <v>0</v>
      </c>
      <c r="M359" t="n">
        <v>0</v>
      </c>
      <c r="N359" t="n">
        <v>0</v>
      </c>
      <c r="O359" t="n">
        <v>0</v>
      </c>
      <c r="P359" t="n">
        <v>0</v>
      </c>
      <c r="Q359" t="n">
        <v>0</v>
      </c>
      <c r="R359" s="2" t="inlineStr"/>
    </row>
    <row r="360" ht="15" customHeight="1">
      <c r="A360" t="inlineStr">
        <is>
          <t>A 46919-2025</t>
        </is>
      </c>
      <c r="B360" s="1" t="n">
        <v>45929.43230324074</v>
      </c>
      <c r="C360" s="1" t="n">
        <v>46126</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15110-2022</t>
        </is>
      </c>
      <c r="B361" s="1" t="n">
        <v>44657</v>
      </c>
      <c r="C361" s="1" t="n">
        <v>46126</v>
      </c>
      <c r="D361" t="inlineStr">
        <is>
          <t>ÖSTERGÖTLANDS LÄN</t>
        </is>
      </c>
      <c r="E361" t="inlineStr">
        <is>
          <t>KINDA</t>
        </is>
      </c>
      <c r="G361" t="n">
        <v>1.1</v>
      </c>
      <c r="H361" t="n">
        <v>0</v>
      </c>
      <c r="I361" t="n">
        <v>0</v>
      </c>
      <c r="J361" t="n">
        <v>0</v>
      </c>
      <c r="K361" t="n">
        <v>0</v>
      </c>
      <c r="L361" t="n">
        <v>0</v>
      </c>
      <c r="M361" t="n">
        <v>0</v>
      </c>
      <c r="N361" t="n">
        <v>0</v>
      </c>
      <c r="O361" t="n">
        <v>0</v>
      </c>
      <c r="P361" t="n">
        <v>0</v>
      </c>
      <c r="Q361" t="n">
        <v>0</v>
      </c>
      <c r="R361" s="2" t="inlineStr"/>
    </row>
    <row r="362" ht="15" customHeight="1">
      <c r="A362" t="inlineStr">
        <is>
          <t>A 24133-2025</t>
        </is>
      </c>
      <c r="B362" s="1" t="n">
        <v>45796.63584490741</v>
      </c>
      <c r="C362" s="1" t="n">
        <v>46126</v>
      </c>
      <c r="D362" t="inlineStr">
        <is>
          <t>ÖSTERGÖTLANDS LÄN</t>
        </is>
      </c>
      <c r="E362" t="inlineStr">
        <is>
          <t>KINDA</t>
        </is>
      </c>
      <c r="G362" t="n">
        <v>1.6</v>
      </c>
      <c r="H362" t="n">
        <v>0</v>
      </c>
      <c r="I362" t="n">
        <v>0</v>
      </c>
      <c r="J362" t="n">
        <v>0</v>
      </c>
      <c r="K362" t="n">
        <v>0</v>
      </c>
      <c r="L362" t="n">
        <v>0</v>
      </c>
      <c r="M362" t="n">
        <v>0</v>
      </c>
      <c r="N362" t="n">
        <v>0</v>
      </c>
      <c r="O362" t="n">
        <v>0</v>
      </c>
      <c r="P362" t="n">
        <v>0</v>
      </c>
      <c r="Q362" t="n">
        <v>0</v>
      </c>
      <c r="R362" s="2" t="inlineStr"/>
    </row>
    <row r="363" ht="15" customHeight="1">
      <c r="A363" t="inlineStr">
        <is>
          <t>A 46944-2025</t>
        </is>
      </c>
      <c r="B363" s="1" t="n">
        <v>45929.45878472222</v>
      </c>
      <c r="C363" s="1" t="n">
        <v>46126</v>
      </c>
      <c r="D363" t="inlineStr">
        <is>
          <t>ÖSTERGÖTLANDS LÄN</t>
        </is>
      </c>
      <c r="E363" t="inlineStr">
        <is>
          <t>KINDA</t>
        </is>
      </c>
      <c r="G363" t="n">
        <v>3.1</v>
      </c>
      <c r="H363" t="n">
        <v>0</v>
      </c>
      <c r="I363" t="n">
        <v>0</v>
      </c>
      <c r="J363" t="n">
        <v>0</v>
      </c>
      <c r="K363" t="n">
        <v>0</v>
      </c>
      <c r="L363" t="n">
        <v>0</v>
      </c>
      <c r="M363" t="n">
        <v>0</v>
      </c>
      <c r="N363" t="n">
        <v>0</v>
      </c>
      <c r="O363" t="n">
        <v>0</v>
      </c>
      <c r="P363" t="n">
        <v>0</v>
      </c>
      <c r="Q363" t="n">
        <v>0</v>
      </c>
      <c r="R363" s="2" t="inlineStr"/>
    </row>
    <row r="364" ht="15" customHeight="1">
      <c r="A364" t="inlineStr">
        <is>
          <t>A 45450-2024</t>
        </is>
      </c>
      <c r="B364" s="1" t="n">
        <v>45576.65969907407</v>
      </c>
      <c r="C364" s="1" t="n">
        <v>46126</v>
      </c>
      <c r="D364" t="inlineStr">
        <is>
          <t>ÖSTERGÖTLANDS LÄN</t>
        </is>
      </c>
      <c r="E364" t="inlineStr">
        <is>
          <t>KINDA</t>
        </is>
      </c>
      <c r="G364" t="n">
        <v>1.7</v>
      </c>
      <c r="H364" t="n">
        <v>0</v>
      </c>
      <c r="I364" t="n">
        <v>0</v>
      </c>
      <c r="J364" t="n">
        <v>0</v>
      </c>
      <c r="K364" t="n">
        <v>0</v>
      </c>
      <c r="L364" t="n">
        <v>0</v>
      </c>
      <c r="M364" t="n">
        <v>0</v>
      </c>
      <c r="N364" t="n">
        <v>0</v>
      </c>
      <c r="O364" t="n">
        <v>0</v>
      </c>
      <c r="P364" t="n">
        <v>0</v>
      </c>
      <c r="Q364" t="n">
        <v>0</v>
      </c>
      <c r="R364" s="2" t="inlineStr"/>
    </row>
    <row r="365" ht="15" customHeight="1">
      <c r="A365" t="inlineStr">
        <is>
          <t>A 46914-2025</t>
        </is>
      </c>
      <c r="B365" s="1" t="n">
        <v>45929.41962962963</v>
      </c>
      <c r="C365" s="1" t="n">
        <v>46126</v>
      </c>
      <c r="D365" t="inlineStr">
        <is>
          <t>ÖSTERGÖTLANDS LÄN</t>
        </is>
      </c>
      <c r="E365" t="inlineStr">
        <is>
          <t>KINDA</t>
        </is>
      </c>
      <c r="G365" t="n">
        <v>4.4</v>
      </c>
      <c r="H365" t="n">
        <v>0</v>
      </c>
      <c r="I365" t="n">
        <v>0</v>
      </c>
      <c r="J365" t="n">
        <v>0</v>
      </c>
      <c r="K365" t="n">
        <v>0</v>
      </c>
      <c r="L365" t="n">
        <v>0</v>
      </c>
      <c r="M365" t="n">
        <v>0</v>
      </c>
      <c r="N365" t="n">
        <v>0</v>
      </c>
      <c r="O365" t="n">
        <v>0</v>
      </c>
      <c r="P365" t="n">
        <v>0</v>
      </c>
      <c r="Q365" t="n">
        <v>0</v>
      </c>
      <c r="R365" s="2" t="inlineStr"/>
    </row>
    <row r="366" ht="15" customHeight="1">
      <c r="A366" t="inlineStr">
        <is>
          <t>A 46916-2025</t>
        </is>
      </c>
      <c r="B366" s="1" t="n">
        <v>45929.42545138889</v>
      </c>
      <c r="C366" s="1" t="n">
        <v>46126</v>
      </c>
      <c r="D366" t="inlineStr">
        <is>
          <t>ÖSTERGÖTLANDS LÄN</t>
        </is>
      </c>
      <c r="E366" t="inlineStr">
        <is>
          <t>KINDA</t>
        </is>
      </c>
      <c r="G366" t="n">
        <v>3.4</v>
      </c>
      <c r="H366" t="n">
        <v>0</v>
      </c>
      <c r="I366" t="n">
        <v>0</v>
      </c>
      <c r="J366" t="n">
        <v>0</v>
      </c>
      <c r="K366" t="n">
        <v>0</v>
      </c>
      <c r="L366" t="n">
        <v>0</v>
      </c>
      <c r="M366" t="n">
        <v>0</v>
      </c>
      <c r="N366" t="n">
        <v>0</v>
      </c>
      <c r="O366" t="n">
        <v>0</v>
      </c>
      <c r="P366" t="n">
        <v>0</v>
      </c>
      <c r="Q366" t="n">
        <v>0</v>
      </c>
      <c r="R366" s="2" t="inlineStr"/>
    </row>
    <row r="367" ht="15" customHeight="1">
      <c r="A367" t="inlineStr">
        <is>
          <t>A 46926-2025</t>
        </is>
      </c>
      <c r="B367" s="1" t="n">
        <v>45929.43957175926</v>
      </c>
      <c r="C367" s="1" t="n">
        <v>46126</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24128-2025</t>
        </is>
      </c>
      <c r="B368" s="1" t="n">
        <v>45796.63180555555</v>
      </c>
      <c r="C368" s="1" t="n">
        <v>46126</v>
      </c>
      <c r="D368" t="inlineStr">
        <is>
          <t>ÖSTERGÖTLANDS LÄN</t>
        </is>
      </c>
      <c r="E368" t="inlineStr">
        <is>
          <t>KINDA</t>
        </is>
      </c>
      <c r="G368" t="n">
        <v>1</v>
      </c>
      <c r="H368" t="n">
        <v>0</v>
      </c>
      <c r="I368" t="n">
        <v>0</v>
      </c>
      <c r="J368" t="n">
        <v>0</v>
      </c>
      <c r="K368" t="n">
        <v>0</v>
      </c>
      <c r="L368" t="n">
        <v>0</v>
      </c>
      <c r="M368" t="n">
        <v>0</v>
      </c>
      <c r="N368" t="n">
        <v>0</v>
      </c>
      <c r="O368" t="n">
        <v>0</v>
      </c>
      <c r="P368" t="n">
        <v>0</v>
      </c>
      <c r="Q368" t="n">
        <v>0</v>
      </c>
      <c r="R368" s="2" t="inlineStr"/>
    </row>
    <row r="369" ht="15" customHeight="1">
      <c r="A369" t="inlineStr">
        <is>
          <t>A 47958-2025</t>
        </is>
      </c>
      <c r="B369" s="1" t="n">
        <v>45932.59138888889</v>
      </c>
      <c r="C369" s="1" t="n">
        <v>46126</v>
      </c>
      <c r="D369" t="inlineStr">
        <is>
          <t>ÖSTERGÖTLANDS LÄN</t>
        </is>
      </c>
      <c r="E369" t="inlineStr">
        <is>
          <t>KINDA</t>
        </is>
      </c>
      <c r="G369" t="n">
        <v>5.5</v>
      </c>
      <c r="H369" t="n">
        <v>0</v>
      </c>
      <c r="I369" t="n">
        <v>0</v>
      </c>
      <c r="J369" t="n">
        <v>0</v>
      </c>
      <c r="K369" t="n">
        <v>0</v>
      </c>
      <c r="L369" t="n">
        <v>0</v>
      </c>
      <c r="M369" t="n">
        <v>0</v>
      </c>
      <c r="N369" t="n">
        <v>0</v>
      </c>
      <c r="O369" t="n">
        <v>0</v>
      </c>
      <c r="P369" t="n">
        <v>0</v>
      </c>
      <c r="Q369" t="n">
        <v>0</v>
      </c>
      <c r="R369" s="2" t="inlineStr"/>
    </row>
    <row r="370" ht="15" customHeight="1">
      <c r="A370" t="inlineStr">
        <is>
          <t>A 21795-2024</t>
        </is>
      </c>
      <c r="B370" s="1" t="n">
        <v>45442.6459837963</v>
      </c>
      <c r="C370" s="1" t="n">
        <v>46126</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24448-2025</t>
        </is>
      </c>
      <c r="B371" s="1" t="n">
        <v>45798.33824074074</v>
      </c>
      <c r="C371" s="1" t="n">
        <v>46126</v>
      </c>
      <c r="D371" t="inlineStr">
        <is>
          <t>ÖSTERGÖTLANDS LÄN</t>
        </is>
      </c>
      <c r="E371" t="inlineStr">
        <is>
          <t>KINDA</t>
        </is>
      </c>
      <c r="G371" t="n">
        <v>0.7</v>
      </c>
      <c r="H371" t="n">
        <v>0</v>
      </c>
      <c r="I371" t="n">
        <v>0</v>
      </c>
      <c r="J371" t="n">
        <v>0</v>
      </c>
      <c r="K371" t="n">
        <v>0</v>
      </c>
      <c r="L371" t="n">
        <v>0</v>
      </c>
      <c r="M371" t="n">
        <v>0</v>
      </c>
      <c r="N371" t="n">
        <v>0</v>
      </c>
      <c r="O371" t="n">
        <v>0</v>
      </c>
      <c r="P371" t="n">
        <v>0</v>
      </c>
      <c r="Q371" t="n">
        <v>0</v>
      </c>
      <c r="R371" s="2" t="inlineStr"/>
    </row>
    <row r="372" ht="15" customHeight="1">
      <c r="A372" t="inlineStr">
        <is>
          <t>A 47956-2025</t>
        </is>
      </c>
      <c r="B372" s="1" t="n">
        <v>45932.59002314815</v>
      </c>
      <c r="C372" s="1" t="n">
        <v>46126</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24446-2025</t>
        </is>
      </c>
      <c r="B373" s="1" t="n">
        <v>45798.33460648148</v>
      </c>
      <c r="C373" s="1" t="n">
        <v>46126</v>
      </c>
      <c r="D373" t="inlineStr">
        <is>
          <t>ÖSTERGÖTLANDS LÄN</t>
        </is>
      </c>
      <c r="E373" t="inlineStr">
        <is>
          <t>KINDA</t>
        </is>
      </c>
      <c r="G373" t="n">
        <v>2.2</v>
      </c>
      <c r="H373" t="n">
        <v>0</v>
      </c>
      <c r="I373" t="n">
        <v>0</v>
      </c>
      <c r="J373" t="n">
        <v>0</v>
      </c>
      <c r="K373" t="n">
        <v>0</v>
      </c>
      <c r="L373" t="n">
        <v>0</v>
      </c>
      <c r="M373" t="n">
        <v>0</v>
      </c>
      <c r="N373" t="n">
        <v>0</v>
      </c>
      <c r="O373" t="n">
        <v>0</v>
      </c>
      <c r="P373" t="n">
        <v>0</v>
      </c>
      <c r="Q373" t="n">
        <v>0</v>
      </c>
      <c r="R373" s="2" t="inlineStr"/>
    </row>
    <row r="374" ht="15" customHeight="1">
      <c r="A374" t="inlineStr">
        <is>
          <t>A 47936-2025</t>
        </is>
      </c>
      <c r="B374" s="1" t="n">
        <v>45932.55936342593</v>
      </c>
      <c r="C374" s="1" t="n">
        <v>46126</v>
      </c>
      <c r="D374" t="inlineStr">
        <is>
          <t>ÖSTERGÖTLANDS LÄN</t>
        </is>
      </c>
      <c r="E374" t="inlineStr">
        <is>
          <t>KINDA</t>
        </is>
      </c>
      <c r="G374" t="n">
        <v>2.7</v>
      </c>
      <c r="H374" t="n">
        <v>0</v>
      </c>
      <c r="I374" t="n">
        <v>0</v>
      </c>
      <c r="J374" t="n">
        <v>0</v>
      </c>
      <c r="K374" t="n">
        <v>0</v>
      </c>
      <c r="L374" t="n">
        <v>0</v>
      </c>
      <c r="M374" t="n">
        <v>0</v>
      </c>
      <c r="N374" t="n">
        <v>0</v>
      </c>
      <c r="O374" t="n">
        <v>0</v>
      </c>
      <c r="P374" t="n">
        <v>0</v>
      </c>
      <c r="Q374" t="n">
        <v>0</v>
      </c>
      <c r="R374" s="2" t="inlineStr"/>
    </row>
    <row r="375" ht="15" customHeight="1">
      <c r="A375" t="inlineStr">
        <is>
          <t>A 5197-2022</t>
        </is>
      </c>
      <c r="B375" s="1" t="n">
        <v>44594</v>
      </c>
      <c r="C375" s="1" t="n">
        <v>46126</v>
      </c>
      <c r="D375" t="inlineStr">
        <is>
          <t>ÖSTERGÖTLANDS LÄN</t>
        </is>
      </c>
      <c r="E375" t="inlineStr">
        <is>
          <t>KINDA</t>
        </is>
      </c>
      <c r="G375" t="n">
        <v>2.6</v>
      </c>
      <c r="H375" t="n">
        <v>0</v>
      </c>
      <c r="I375" t="n">
        <v>0</v>
      </c>
      <c r="J375" t="n">
        <v>0</v>
      </c>
      <c r="K375" t="n">
        <v>0</v>
      </c>
      <c r="L375" t="n">
        <v>0</v>
      </c>
      <c r="M375" t="n">
        <v>0</v>
      </c>
      <c r="N375" t="n">
        <v>0</v>
      </c>
      <c r="O375" t="n">
        <v>0</v>
      </c>
      <c r="P375" t="n">
        <v>0</v>
      </c>
      <c r="Q375" t="n">
        <v>0</v>
      </c>
      <c r="R375" s="2" t="inlineStr"/>
    </row>
    <row r="376" ht="15" customHeight="1">
      <c r="A376" t="inlineStr">
        <is>
          <t>A 41657-2024</t>
        </is>
      </c>
      <c r="B376" s="1" t="n">
        <v>45560.64243055556</v>
      </c>
      <c r="C376" s="1" t="n">
        <v>46126</v>
      </c>
      <c r="D376" t="inlineStr">
        <is>
          <t>ÖSTERGÖTLANDS LÄN</t>
        </is>
      </c>
      <c r="E376" t="inlineStr">
        <is>
          <t>KINDA</t>
        </is>
      </c>
      <c r="G376" t="n">
        <v>0.4</v>
      </c>
      <c r="H376" t="n">
        <v>0</v>
      </c>
      <c r="I376" t="n">
        <v>0</v>
      </c>
      <c r="J376" t="n">
        <v>0</v>
      </c>
      <c r="K376" t="n">
        <v>0</v>
      </c>
      <c r="L376" t="n">
        <v>0</v>
      </c>
      <c r="M376" t="n">
        <v>0</v>
      </c>
      <c r="N376" t="n">
        <v>0</v>
      </c>
      <c r="O376" t="n">
        <v>0</v>
      </c>
      <c r="P376" t="n">
        <v>0</v>
      </c>
      <c r="Q376" t="n">
        <v>0</v>
      </c>
      <c r="R376" s="2" t="inlineStr"/>
    </row>
    <row r="377" ht="15" customHeight="1">
      <c r="A377" t="inlineStr">
        <is>
          <t>A 8233-2023</t>
        </is>
      </c>
      <c r="B377" s="1" t="n">
        <v>44974.57886574074</v>
      </c>
      <c r="C377" s="1" t="n">
        <v>46126</v>
      </c>
      <c r="D377" t="inlineStr">
        <is>
          <t>ÖSTERGÖTLANDS LÄN</t>
        </is>
      </c>
      <c r="E377" t="inlineStr">
        <is>
          <t>KINDA</t>
        </is>
      </c>
      <c r="G377" t="n">
        <v>1.5</v>
      </c>
      <c r="H377" t="n">
        <v>0</v>
      </c>
      <c r="I377" t="n">
        <v>0</v>
      </c>
      <c r="J377" t="n">
        <v>0</v>
      </c>
      <c r="K377" t="n">
        <v>0</v>
      </c>
      <c r="L377" t="n">
        <v>0</v>
      </c>
      <c r="M377" t="n">
        <v>0</v>
      </c>
      <c r="N377" t="n">
        <v>0</v>
      </c>
      <c r="O377" t="n">
        <v>0</v>
      </c>
      <c r="P377" t="n">
        <v>0</v>
      </c>
      <c r="Q377" t="n">
        <v>0</v>
      </c>
      <c r="R377" s="2" t="inlineStr"/>
    </row>
    <row r="378" ht="15" customHeight="1">
      <c r="A378" t="inlineStr">
        <is>
          <t>A 6098-2023</t>
        </is>
      </c>
      <c r="B378" s="1" t="n">
        <v>44964</v>
      </c>
      <c r="C378" s="1" t="n">
        <v>46126</v>
      </c>
      <c r="D378" t="inlineStr">
        <is>
          <t>ÖSTERGÖTLANDS LÄN</t>
        </is>
      </c>
      <c r="E378" t="inlineStr">
        <is>
          <t>KINDA</t>
        </is>
      </c>
      <c r="G378" t="n">
        <v>1.6</v>
      </c>
      <c r="H378" t="n">
        <v>0</v>
      </c>
      <c r="I378" t="n">
        <v>0</v>
      </c>
      <c r="J378" t="n">
        <v>0</v>
      </c>
      <c r="K378" t="n">
        <v>0</v>
      </c>
      <c r="L378" t="n">
        <v>0</v>
      </c>
      <c r="M378" t="n">
        <v>0</v>
      </c>
      <c r="N378" t="n">
        <v>0</v>
      </c>
      <c r="O378" t="n">
        <v>0</v>
      </c>
      <c r="P378" t="n">
        <v>0</v>
      </c>
      <c r="Q378" t="n">
        <v>0</v>
      </c>
      <c r="R378" s="2" t="inlineStr"/>
    </row>
    <row r="379" ht="15" customHeight="1">
      <c r="A379" t="inlineStr">
        <is>
          <t>A 53239-2024</t>
        </is>
      </c>
      <c r="B379" s="1" t="n">
        <v>45613.8235300926</v>
      </c>
      <c r="C379" s="1" t="n">
        <v>46126</v>
      </c>
      <c r="D379" t="inlineStr">
        <is>
          <t>ÖSTERGÖTLANDS LÄN</t>
        </is>
      </c>
      <c r="E379" t="inlineStr">
        <is>
          <t>KINDA</t>
        </is>
      </c>
      <c r="G379" t="n">
        <v>1.3</v>
      </c>
      <c r="H379" t="n">
        <v>0</v>
      </c>
      <c r="I379" t="n">
        <v>0</v>
      </c>
      <c r="J379" t="n">
        <v>0</v>
      </c>
      <c r="K379" t="n">
        <v>0</v>
      </c>
      <c r="L379" t="n">
        <v>0</v>
      </c>
      <c r="M379" t="n">
        <v>0</v>
      </c>
      <c r="N379" t="n">
        <v>0</v>
      </c>
      <c r="O379" t="n">
        <v>0</v>
      </c>
      <c r="P379" t="n">
        <v>0</v>
      </c>
      <c r="Q379" t="n">
        <v>0</v>
      </c>
      <c r="R379" s="2" t="inlineStr"/>
    </row>
    <row r="380" ht="15" customHeight="1">
      <c r="A380" t="inlineStr">
        <is>
          <t>A 48194-2025</t>
        </is>
      </c>
      <c r="B380" s="1" t="n">
        <v>45933.47111111111</v>
      </c>
      <c r="C380" s="1" t="n">
        <v>46126</v>
      </c>
      <c r="D380" t="inlineStr">
        <is>
          <t>ÖSTERGÖTLANDS LÄN</t>
        </is>
      </c>
      <c r="E380" t="inlineStr">
        <is>
          <t>KINDA</t>
        </is>
      </c>
      <c r="G380" t="n">
        <v>2.6</v>
      </c>
      <c r="H380" t="n">
        <v>0</v>
      </c>
      <c r="I380" t="n">
        <v>0</v>
      </c>
      <c r="J380" t="n">
        <v>0</v>
      </c>
      <c r="K380" t="n">
        <v>0</v>
      </c>
      <c r="L380" t="n">
        <v>0</v>
      </c>
      <c r="M380" t="n">
        <v>0</v>
      </c>
      <c r="N380" t="n">
        <v>0</v>
      </c>
      <c r="O380" t="n">
        <v>0</v>
      </c>
      <c r="P380" t="n">
        <v>0</v>
      </c>
      <c r="Q380" t="n">
        <v>0</v>
      </c>
      <c r="R380" s="2" t="inlineStr"/>
    </row>
    <row r="381" ht="15" customHeight="1">
      <c r="A381" t="inlineStr">
        <is>
          <t>A 53319-2023</t>
        </is>
      </c>
      <c r="B381" s="1" t="n">
        <v>45229</v>
      </c>
      <c r="C381" s="1" t="n">
        <v>46126</v>
      </c>
      <c r="D381" t="inlineStr">
        <is>
          <t>ÖSTERGÖTLANDS LÄN</t>
        </is>
      </c>
      <c r="E381" t="inlineStr">
        <is>
          <t>KINDA</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47724-2024</t>
        </is>
      </c>
      <c r="B382" s="1" t="n">
        <v>45588.49065972222</v>
      </c>
      <c r="C382" s="1" t="n">
        <v>46126</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24774-2025</t>
        </is>
      </c>
      <c r="B383" s="1" t="n">
        <v>45799</v>
      </c>
      <c r="C383" s="1" t="n">
        <v>46126</v>
      </c>
      <c r="D383" t="inlineStr">
        <is>
          <t>ÖSTERGÖTLANDS LÄN</t>
        </is>
      </c>
      <c r="E383" t="inlineStr">
        <is>
          <t>KINDA</t>
        </is>
      </c>
      <c r="G383" t="n">
        <v>1</v>
      </c>
      <c r="H383" t="n">
        <v>0</v>
      </c>
      <c r="I383" t="n">
        <v>0</v>
      </c>
      <c r="J383" t="n">
        <v>0</v>
      </c>
      <c r="K383" t="n">
        <v>0</v>
      </c>
      <c r="L383" t="n">
        <v>0</v>
      </c>
      <c r="M383" t="n">
        <v>0</v>
      </c>
      <c r="N383" t="n">
        <v>0</v>
      </c>
      <c r="O383" t="n">
        <v>0</v>
      </c>
      <c r="P383" t="n">
        <v>0</v>
      </c>
      <c r="Q383" t="n">
        <v>0</v>
      </c>
      <c r="R383" s="2" t="inlineStr"/>
    </row>
    <row r="384" ht="15" customHeight="1">
      <c r="A384" t="inlineStr">
        <is>
          <t>A 48193-2025</t>
        </is>
      </c>
      <c r="B384" s="1" t="n">
        <v>45933.46984953704</v>
      </c>
      <c r="C384" s="1" t="n">
        <v>46126</v>
      </c>
      <c r="D384" t="inlineStr">
        <is>
          <t>ÖSTERGÖTLANDS LÄN</t>
        </is>
      </c>
      <c r="E384" t="inlineStr">
        <is>
          <t>KINDA</t>
        </is>
      </c>
      <c r="G384" t="n">
        <v>1.2</v>
      </c>
      <c r="H384" t="n">
        <v>0</v>
      </c>
      <c r="I384" t="n">
        <v>0</v>
      </c>
      <c r="J384" t="n">
        <v>0</v>
      </c>
      <c r="K384" t="n">
        <v>0</v>
      </c>
      <c r="L384" t="n">
        <v>0</v>
      </c>
      <c r="M384" t="n">
        <v>0</v>
      </c>
      <c r="N384" t="n">
        <v>0</v>
      </c>
      <c r="O384" t="n">
        <v>0</v>
      </c>
      <c r="P384" t="n">
        <v>0</v>
      </c>
      <c r="Q384" t="n">
        <v>0</v>
      </c>
      <c r="R384" s="2" t="inlineStr"/>
    </row>
    <row r="385" ht="15" customHeight="1">
      <c r="A385" t="inlineStr">
        <is>
          <t>A 24754-2025</t>
        </is>
      </c>
      <c r="B385" s="1" t="n">
        <v>45799.36881944445</v>
      </c>
      <c r="C385" s="1" t="n">
        <v>46126</v>
      </c>
      <c r="D385" t="inlineStr">
        <is>
          <t>ÖSTERGÖTLANDS LÄN</t>
        </is>
      </c>
      <c r="E385" t="inlineStr">
        <is>
          <t>KINDA</t>
        </is>
      </c>
      <c r="G385" t="n">
        <v>2</v>
      </c>
      <c r="H385" t="n">
        <v>0</v>
      </c>
      <c r="I385" t="n">
        <v>0</v>
      </c>
      <c r="J385" t="n">
        <v>0</v>
      </c>
      <c r="K385" t="n">
        <v>0</v>
      </c>
      <c r="L385" t="n">
        <v>0</v>
      </c>
      <c r="M385" t="n">
        <v>0</v>
      </c>
      <c r="N385" t="n">
        <v>0</v>
      </c>
      <c r="O385" t="n">
        <v>0</v>
      </c>
      <c r="P385" t="n">
        <v>0</v>
      </c>
      <c r="Q385" t="n">
        <v>0</v>
      </c>
      <c r="R385" s="2" t="inlineStr"/>
    </row>
    <row r="386" ht="15" customHeight="1">
      <c r="A386" t="inlineStr">
        <is>
          <t>A 48592-2025</t>
        </is>
      </c>
      <c r="B386" s="1" t="n">
        <v>45935</v>
      </c>
      <c r="C386" s="1" t="n">
        <v>46126</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34882-2023</t>
        </is>
      </c>
      <c r="B387" s="1" t="n">
        <v>45141</v>
      </c>
      <c r="C387" s="1" t="n">
        <v>46126</v>
      </c>
      <c r="D387" t="inlineStr">
        <is>
          <t>ÖSTERGÖTLANDS LÄN</t>
        </is>
      </c>
      <c r="E387" t="inlineStr">
        <is>
          <t>KINDA</t>
        </is>
      </c>
      <c r="G387" t="n">
        <v>0.8</v>
      </c>
      <c r="H387" t="n">
        <v>0</v>
      </c>
      <c r="I387" t="n">
        <v>0</v>
      </c>
      <c r="J387" t="n">
        <v>0</v>
      </c>
      <c r="K387" t="n">
        <v>0</v>
      </c>
      <c r="L387" t="n">
        <v>0</v>
      </c>
      <c r="M387" t="n">
        <v>0</v>
      </c>
      <c r="N387" t="n">
        <v>0</v>
      </c>
      <c r="O387" t="n">
        <v>0</v>
      </c>
      <c r="P387" t="n">
        <v>0</v>
      </c>
      <c r="Q387" t="n">
        <v>0</v>
      </c>
      <c r="R387" s="2" t="inlineStr"/>
    </row>
    <row r="388" ht="15" customHeight="1">
      <c r="A388" t="inlineStr">
        <is>
          <t>A 61960-2022</t>
        </is>
      </c>
      <c r="B388" s="1" t="n">
        <v>44918.34784722222</v>
      </c>
      <c r="C388" s="1" t="n">
        <v>46126</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767-2025</t>
        </is>
      </c>
      <c r="B389" s="1" t="n">
        <v>45665.45471064815</v>
      </c>
      <c r="C389" s="1" t="n">
        <v>46126</v>
      </c>
      <c r="D389" t="inlineStr">
        <is>
          <t>ÖSTERGÖTLANDS LÄN</t>
        </is>
      </c>
      <c r="E389" t="inlineStr">
        <is>
          <t>KINDA</t>
        </is>
      </c>
      <c r="G389" t="n">
        <v>5</v>
      </c>
      <c r="H389" t="n">
        <v>0</v>
      </c>
      <c r="I389" t="n">
        <v>0</v>
      </c>
      <c r="J389" t="n">
        <v>0</v>
      </c>
      <c r="K389" t="n">
        <v>0</v>
      </c>
      <c r="L389" t="n">
        <v>0</v>
      </c>
      <c r="M389" t="n">
        <v>0</v>
      </c>
      <c r="N389" t="n">
        <v>0</v>
      </c>
      <c r="O389" t="n">
        <v>0</v>
      </c>
      <c r="P389" t="n">
        <v>0</v>
      </c>
      <c r="Q389" t="n">
        <v>0</v>
      </c>
      <c r="R389" s="2" t="inlineStr"/>
    </row>
    <row r="390" ht="15" customHeight="1">
      <c r="A390" t="inlineStr">
        <is>
          <t>A 6301-2025</t>
        </is>
      </c>
      <c r="B390" s="1" t="n">
        <v>45698.67719907407</v>
      </c>
      <c r="C390" s="1" t="n">
        <v>46126</v>
      </c>
      <c r="D390" t="inlineStr">
        <is>
          <t>ÖSTERGÖTLANDS LÄN</t>
        </is>
      </c>
      <c r="E390" t="inlineStr">
        <is>
          <t>KINDA</t>
        </is>
      </c>
      <c r="G390" t="n">
        <v>4.9</v>
      </c>
      <c r="H390" t="n">
        <v>0</v>
      </c>
      <c r="I390" t="n">
        <v>0</v>
      </c>
      <c r="J390" t="n">
        <v>0</v>
      </c>
      <c r="K390" t="n">
        <v>0</v>
      </c>
      <c r="L390" t="n">
        <v>0</v>
      </c>
      <c r="M390" t="n">
        <v>0</v>
      </c>
      <c r="N390" t="n">
        <v>0</v>
      </c>
      <c r="O390" t="n">
        <v>0</v>
      </c>
      <c r="P390" t="n">
        <v>0</v>
      </c>
      <c r="Q390" t="n">
        <v>0</v>
      </c>
      <c r="R390" s="2" t="inlineStr"/>
    </row>
    <row r="391" ht="15" customHeight="1">
      <c r="A391" t="inlineStr">
        <is>
          <t>A 54671-2023</t>
        </is>
      </c>
      <c r="B391" s="1" t="n">
        <v>45235</v>
      </c>
      <c r="C391" s="1" t="n">
        <v>46126</v>
      </c>
      <c r="D391" t="inlineStr">
        <is>
          <t>ÖSTERGÖTLANDS LÄN</t>
        </is>
      </c>
      <c r="E391" t="inlineStr">
        <is>
          <t>KINDA</t>
        </is>
      </c>
      <c r="G391" t="n">
        <v>10.8</v>
      </c>
      <c r="H391" t="n">
        <v>0</v>
      </c>
      <c r="I391" t="n">
        <v>0</v>
      </c>
      <c r="J391" t="n">
        <v>0</v>
      </c>
      <c r="K391" t="n">
        <v>0</v>
      </c>
      <c r="L391" t="n">
        <v>0</v>
      </c>
      <c r="M391" t="n">
        <v>0</v>
      </c>
      <c r="N391" t="n">
        <v>0</v>
      </c>
      <c r="O391" t="n">
        <v>0</v>
      </c>
      <c r="P391" t="n">
        <v>0</v>
      </c>
      <c r="Q391" t="n">
        <v>0</v>
      </c>
      <c r="R391" s="2" t="inlineStr"/>
    </row>
    <row r="392" ht="15" customHeight="1">
      <c r="A392" t="inlineStr">
        <is>
          <t>A 20325-2025</t>
        </is>
      </c>
      <c r="B392" s="1" t="n">
        <v>45775</v>
      </c>
      <c r="C392" s="1" t="n">
        <v>46126</v>
      </c>
      <c r="D392" t="inlineStr">
        <is>
          <t>ÖSTERGÖTLANDS LÄN</t>
        </is>
      </c>
      <c r="E392" t="inlineStr">
        <is>
          <t>KINDA</t>
        </is>
      </c>
      <c r="G392" t="n">
        <v>3.6</v>
      </c>
      <c r="H392" t="n">
        <v>0</v>
      </c>
      <c r="I392" t="n">
        <v>0</v>
      </c>
      <c r="J392" t="n">
        <v>0</v>
      </c>
      <c r="K392" t="n">
        <v>0</v>
      </c>
      <c r="L392" t="n">
        <v>0</v>
      </c>
      <c r="M392" t="n">
        <v>0</v>
      </c>
      <c r="N392" t="n">
        <v>0</v>
      </c>
      <c r="O392" t="n">
        <v>0</v>
      </c>
      <c r="P392" t="n">
        <v>0</v>
      </c>
      <c r="Q392" t="n">
        <v>0</v>
      </c>
      <c r="R392" s="2" t="inlineStr"/>
    </row>
    <row r="393" ht="15" customHeight="1">
      <c r="A393" t="inlineStr">
        <is>
          <t>A 37397-2024</t>
        </is>
      </c>
      <c r="B393" s="1" t="n">
        <v>45540.59917824074</v>
      </c>
      <c r="C393" s="1" t="n">
        <v>46126</v>
      </c>
      <c r="D393" t="inlineStr">
        <is>
          <t>ÖSTERGÖTLANDS LÄN</t>
        </is>
      </c>
      <c r="E393" t="inlineStr">
        <is>
          <t>KINDA</t>
        </is>
      </c>
      <c r="G393" t="n">
        <v>1.2</v>
      </c>
      <c r="H393" t="n">
        <v>0</v>
      </c>
      <c r="I393" t="n">
        <v>0</v>
      </c>
      <c r="J393" t="n">
        <v>0</v>
      </c>
      <c r="K393" t="n">
        <v>0</v>
      </c>
      <c r="L393" t="n">
        <v>0</v>
      </c>
      <c r="M393" t="n">
        <v>0</v>
      </c>
      <c r="N393" t="n">
        <v>0</v>
      </c>
      <c r="O393" t="n">
        <v>0</v>
      </c>
      <c r="P393" t="n">
        <v>0</v>
      </c>
      <c r="Q393" t="n">
        <v>0</v>
      </c>
      <c r="R393" s="2" t="inlineStr"/>
    </row>
    <row r="394" ht="15" customHeight="1">
      <c r="A394" t="inlineStr">
        <is>
          <t>A 13782-2023</t>
        </is>
      </c>
      <c r="B394" s="1" t="n">
        <v>45007</v>
      </c>
      <c r="C394" s="1" t="n">
        <v>46126</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41450-2022</t>
        </is>
      </c>
      <c r="B395" s="1" t="n">
        <v>44826</v>
      </c>
      <c r="C395" s="1" t="n">
        <v>46126</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61957-2022</t>
        </is>
      </c>
      <c r="B396" s="1" t="n">
        <v>44918.34216435185</v>
      </c>
      <c r="C396" s="1" t="n">
        <v>46126</v>
      </c>
      <c r="D396" t="inlineStr">
        <is>
          <t>ÖSTERGÖTLANDS LÄN</t>
        </is>
      </c>
      <c r="E396" t="inlineStr">
        <is>
          <t>KINDA</t>
        </is>
      </c>
      <c r="G396" t="n">
        <v>1</v>
      </c>
      <c r="H396" t="n">
        <v>0</v>
      </c>
      <c r="I396" t="n">
        <v>0</v>
      </c>
      <c r="J396" t="n">
        <v>0</v>
      </c>
      <c r="K396" t="n">
        <v>0</v>
      </c>
      <c r="L396" t="n">
        <v>0</v>
      </c>
      <c r="M396" t="n">
        <v>0</v>
      </c>
      <c r="N396" t="n">
        <v>0</v>
      </c>
      <c r="O396" t="n">
        <v>0</v>
      </c>
      <c r="P396" t="n">
        <v>0</v>
      </c>
      <c r="Q396" t="n">
        <v>0</v>
      </c>
      <c r="R396" s="2" t="inlineStr"/>
    </row>
    <row r="397" ht="15" customHeight="1">
      <c r="A397" t="inlineStr">
        <is>
          <t>A 49834-2025</t>
        </is>
      </c>
      <c r="B397" s="1" t="n">
        <v>45940.46385416666</v>
      </c>
      <c r="C397" s="1" t="n">
        <v>46126</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20829-2022</t>
        </is>
      </c>
      <c r="B398" s="1" t="n">
        <v>44701</v>
      </c>
      <c r="C398" s="1" t="n">
        <v>46126</v>
      </c>
      <c r="D398" t="inlineStr">
        <is>
          <t>ÖSTERGÖTLANDS LÄN</t>
        </is>
      </c>
      <c r="E398" t="inlineStr">
        <is>
          <t>KINDA</t>
        </is>
      </c>
      <c r="G398" t="n">
        <v>2.5</v>
      </c>
      <c r="H398" t="n">
        <v>0</v>
      </c>
      <c r="I398" t="n">
        <v>0</v>
      </c>
      <c r="J398" t="n">
        <v>0</v>
      </c>
      <c r="K398" t="n">
        <v>0</v>
      </c>
      <c r="L398" t="n">
        <v>0</v>
      </c>
      <c r="M398" t="n">
        <v>0</v>
      </c>
      <c r="N398" t="n">
        <v>0</v>
      </c>
      <c r="O398" t="n">
        <v>0</v>
      </c>
      <c r="P398" t="n">
        <v>0</v>
      </c>
      <c r="Q398" t="n">
        <v>0</v>
      </c>
      <c r="R398" s="2" t="inlineStr"/>
    </row>
    <row r="399" ht="15" customHeight="1">
      <c r="A399" t="inlineStr">
        <is>
          <t>A 50179-2025</t>
        </is>
      </c>
      <c r="B399" s="1" t="n">
        <v>45943.61493055556</v>
      </c>
      <c r="C399" s="1" t="n">
        <v>46126</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17172-2022</t>
        </is>
      </c>
      <c r="B400" s="1" t="n">
        <v>44677</v>
      </c>
      <c r="C400" s="1" t="n">
        <v>46126</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1876-2025</t>
        </is>
      </c>
      <c r="B401" s="1" t="n">
        <v>45671.62127314815</v>
      </c>
      <c r="C401" s="1" t="n">
        <v>46126</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21700-2023</t>
        </is>
      </c>
      <c r="B402" s="1" t="n">
        <v>45062</v>
      </c>
      <c r="C402" s="1" t="n">
        <v>46126</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26567-2025</t>
        </is>
      </c>
      <c r="B403" s="1" t="n">
        <v>45807.66878472222</v>
      </c>
      <c r="C403" s="1" t="n">
        <v>46126</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50741-2025</t>
        </is>
      </c>
      <c r="B404" s="1" t="n">
        <v>45946.3800462963</v>
      </c>
      <c r="C404" s="1" t="n">
        <v>46126</v>
      </c>
      <c r="D404" t="inlineStr">
        <is>
          <t>ÖSTERGÖTLANDS LÄN</t>
        </is>
      </c>
      <c r="E404" t="inlineStr">
        <is>
          <t>KINDA</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50619-2025</t>
        </is>
      </c>
      <c r="B405" s="1" t="n">
        <v>45945.63074074074</v>
      </c>
      <c r="C405" s="1" t="n">
        <v>46126</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5903-2025</t>
        </is>
      </c>
      <c r="B406" s="1" t="n">
        <v>45695.40054398148</v>
      </c>
      <c r="C406" s="1" t="n">
        <v>46126</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23717-2021</t>
        </is>
      </c>
      <c r="B407" s="1" t="n">
        <v>44334.71728009259</v>
      </c>
      <c r="C407" s="1" t="n">
        <v>46126</v>
      </c>
      <c r="D407" t="inlineStr">
        <is>
          <t>ÖSTERGÖTLANDS LÄN</t>
        </is>
      </c>
      <c r="E407" t="inlineStr">
        <is>
          <t>KINDA</t>
        </is>
      </c>
      <c r="G407" t="n">
        <v>1.8</v>
      </c>
      <c r="H407" t="n">
        <v>0</v>
      </c>
      <c r="I407" t="n">
        <v>0</v>
      </c>
      <c r="J407" t="n">
        <v>0</v>
      </c>
      <c r="K407" t="n">
        <v>0</v>
      </c>
      <c r="L407" t="n">
        <v>0</v>
      </c>
      <c r="M407" t="n">
        <v>0</v>
      </c>
      <c r="N407" t="n">
        <v>0</v>
      </c>
      <c r="O407" t="n">
        <v>0</v>
      </c>
      <c r="P407" t="n">
        <v>0</v>
      </c>
      <c r="Q407" t="n">
        <v>0</v>
      </c>
      <c r="R407" s="2" t="inlineStr"/>
    </row>
    <row r="408" ht="15" customHeight="1">
      <c r="A408" t="inlineStr">
        <is>
          <t>A 27105-2025</t>
        </is>
      </c>
      <c r="B408" s="1" t="n">
        <v>45811</v>
      </c>
      <c r="C408" s="1" t="n">
        <v>46126</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54345-2022</t>
        </is>
      </c>
      <c r="B409" s="1" t="n">
        <v>44882</v>
      </c>
      <c r="C409" s="1" t="n">
        <v>46126</v>
      </c>
      <c r="D409" t="inlineStr">
        <is>
          <t>ÖSTERGÖTLANDS LÄN</t>
        </is>
      </c>
      <c r="E409" t="inlineStr">
        <is>
          <t>KINDA</t>
        </is>
      </c>
      <c r="G409" t="n">
        <v>0.1</v>
      </c>
      <c r="H409" t="n">
        <v>0</v>
      </c>
      <c r="I409" t="n">
        <v>0</v>
      </c>
      <c r="J409" t="n">
        <v>0</v>
      </c>
      <c r="K409" t="n">
        <v>0</v>
      </c>
      <c r="L409" t="n">
        <v>0</v>
      </c>
      <c r="M409" t="n">
        <v>0</v>
      </c>
      <c r="N409" t="n">
        <v>0</v>
      </c>
      <c r="O409" t="n">
        <v>0</v>
      </c>
      <c r="P409" t="n">
        <v>0</v>
      </c>
      <c r="Q409" t="n">
        <v>0</v>
      </c>
      <c r="R409" s="2" t="inlineStr"/>
    </row>
    <row r="410" ht="15" customHeight="1">
      <c r="A410" t="inlineStr">
        <is>
          <t>A 47003-2025</t>
        </is>
      </c>
      <c r="B410" s="1" t="n">
        <v>45929</v>
      </c>
      <c r="C410" s="1" t="n">
        <v>46126</v>
      </c>
      <c r="D410" t="inlineStr">
        <is>
          <t>ÖSTERGÖTLANDS LÄN</t>
        </is>
      </c>
      <c r="E410" t="inlineStr">
        <is>
          <t>KINDA</t>
        </is>
      </c>
      <c r="G410" t="n">
        <v>0.8</v>
      </c>
      <c r="H410" t="n">
        <v>0</v>
      </c>
      <c r="I410" t="n">
        <v>0</v>
      </c>
      <c r="J410" t="n">
        <v>0</v>
      </c>
      <c r="K410" t="n">
        <v>0</v>
      </c>
      <c r="L410" t="n">
        <v>0</v>
      </c>
      <c r="M410" t="n">
        <v>0</v>
      </c>
      <c r="N410" t="n">
        <v>0</v>
      </c>
      <c r="O410" t="n">
        <v>0</v>
      </c>
      <c r="P410" t="n">
        <v>0</v>
      </c>
      <c r="Q410" t="n">
        <v>0</v>
      </c>
      <c r="R410" s="2" t="inlineStr"/>
    </row>
    <row r="411" ht="15" customHeight="1">
      <c r="A411" t="inlineStr">
        <is>
          <t>A 5649-2023</t>
        </is>
      </c>
      <c r="B411" s="1" t="n">
        <v>44960</v>
      </c>
      <c r="C411" s="1" t="n">
        <v>46126</v>
      </c>
      <c r="D411" t="inlineStr">
        <is>
          <t>ÖSTERGÖTLANDS LÄN</t>
        </is>
      </c>
      <c r="E411" t="inlineStr">
        <is>
          <t>KINDA</t>
        </is>
      </c>
      <c r="G411" t="n">
        <v>2.5</v>
      </c>
      <c r="H411" t="n">
        <v>0</v>
      </c>
      <c r="I411" t="n">
        <v>0</v>
      </c>
      <c r="J411" t="n">
        <v>0</v>
      </c>
      <c r="K411" t="n">
        <v>0</v>
      </c>
      <c r="L411" t="n">
        <v>0</v>
      </c>
      <c r="M411" t="n">
        <v>0</v>
      </c>
      <c r="N411" t="n">
        <v>0</v>
      </c>
      <c r="O411" t="n">
        <v>0</v>
      </c>
      <c r="P411" t="n">
        <v>0</v>
      </c>
      <c r="Q411" t="n">
        <v>0</v>
      </c>
      <c r="R411" s="2" t="inlineStr"/>
    </row>
    <row r="412" ht="15" customHeight="1">
      <c r="A412" t="inlineStr">
        <is>
          <t>A 27608-2025</t>
        </is>
      </c>
      <c r="B412" s="1" t="n">
        <v>45813.53402777778</v>
      </c>
      <c r="C412" s="1" t="n">
        <v>46126</v>
      </c>
      <c r="D412" t="inlineStr">
        <is>
          <t>ÖSTERGÖTLANDS LÄN</t>
        </is>
      </c>
      <c r="E412" t="inlineStr">
        <is>
          <t>KINDA</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27587-2025</t>
        </is>
      </c>
      <c r="B413" s="1" t="n">
        <v>45813.50763888889</v>
      </c>
      <c r="C413" s="1" t="n">
        <v>46126</v>
      </c>
      <c r="D413" t="inlineStr">
        <is>
          <t>ÖSTERGÖTLANDS LÄN</t>
        </is>
      </c>
      <c r="E413" t="inlineStr">
        <is>
          <t>KINDA</t>
        </is>
      </c>
      <c r="F413" t="inlineStr">
        <is>
          <t>Övriga Aktiebolag</t>
        </is>
      </c>
      <c r="G413" t="n">
        <v>13.6</v>
      </c>
      <c r="H413" t="n">
        <v>0</v>
      </c>
      <c r="I413" t="n">
        <v>0</v>
      </c>
      <c r="J413" t="n">
        <v>0</v>
      </c>
      <c r="K413" t="n">
        <v>0</v>
      </c>
      <c r="L413" t="n">
        <v>0</v>
      </c>
      <c r="M413" t="n">
        <v>0</v>
      </c>
      <c r="N413" t="n">
        <v>0</v>
      </c>
      <c r="O413" t="n">
        <v>0</v>
      </c>
      <c r="P413" t="n">
        <v>0</v>
      </c>
      <c r="Q413" t="n">
        <v>0</v>
      </c>
      <c r="R413" s="2" t="inlineStr"/>
    </row>
    <row r="414" ht="15" customHeight="1">
      <c r="A414" t="inlineStr">
        <is>
          <t>A 27600-2025</t>
        </is>
      </c>
      <c r="B414" s="1" t="n">
        <v>45813.52677083333</v>
      </c>
      <c r="C414" s="1" t="n">
        <v>46126</v>
      </c>
      <c r="D414" t="inlineStr">
        <is>
          <t>ÖSTERGÖTLANDS LÄN</t>
        </is>
      </c>
      <c r="E414" t="inlineStr">
        <is>
          <t>KINDA</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56140-2024</t>
        </is>
      </c>
      <c r="B415" s="1" t="n">
        <v>45624</v>
      </c>
      <c r="C415" s="1" t="n">
        <v>46126</v>
      </c>
      <c r="D415" t="inlineStr">
        <is>
          <t>ÖSTERGÖTLANDS LÄN</t>
        </is>
      </c>
      <c r="E415" t="inlineStr">
        <is>
          <t>KINDA</t>
        </is>
      </c>
      <c r="G415" t="n">
        <v>0.7</v>
      </c>
      <c r="H415" t="n">
        <v>0</v>
      </c>
      <c r="I415" t="n">
        <v>0</v>
      </c>
      <c r="J415" t="n">
        <v>0</v>
      </c>
      <c r="K415" t="n">
        <v>0</v>
      </c>
      <c r="L415" t="n">
        <v>0</v>
      </c>
      <c r="M415" t="n">
        <v>0</v>
      </c>
      <c r="N415" t="n">
        <v>0</v>
      </c>
      <c r="O415" t="n">
        <v>0</v>
      </c>
      <c r="P415" t="n">
        <v>0</v>
      </c>
      <c r="Q415" t="n">
        <v>0</v>
      </c>
      <c r="R415" s="2" t="inlineStr"/>
    </row>
    <row r="416" ht="15" customHeight="1">
      <c r="A416" t="inlineStr">
        <is>
          <t>A 9576-2024</t>
        </is>
      </c>
      <c r="B416" s="1" t="n">
        <v>45360.41204861111</v>
      </c>
      <c r="C416" s="1" t="n">
        <v>46126</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9600-2024</t>
        </is>
      </c>
      <c r="B417" s="1" t="n">
        <v>45361.37284722222</v>
      </c>
      <c r="C417" s="1" t="n">
        <v>46126</v>
      </c>
      <c r="D417" t="inlineStr">
        <is>
          <t>ÖSTERGÖTLANDS LÄN</t>
        </is>
      </c>
      <c r="E417" t="inlineStr">
        <is>
          <t>KINDA</t>
        </is>
      </c>
      <c r="G417" t="n">
        <v>1.1</v>
      </c>
      <c r="H417" t="n">
        <v>0</v>
      </c>
      <c r="I417" t="n">
        <v>0</v>
      </c>
      <c r="J417" t="n">
        <v>0</v>
      </c>
      <c r="K417" t="n">
        <v>0</v>
      </c>
      <c r="L417" t="n">
        <v>0</v>
      </c>
      <c r="M417" t="n">
        <v>0</v>
      </c>
      <c r="N417" t="n">
        <v>0</v>
      </c>
      <c r="O417" t="n">
        <v>0</v>
      </c>
      <c r="P417" t="n">
        <v>0</v>
      </c>
      <c r="Q417" t="n">
        <v>0</v>
      </c>
      <c r="R417" s="2" t="inlineStr"/>
    </row>
    <row r="418" ht="15" customHeight="1">
      <c r="A418" t="inlineStr">
        <is>
          <t>A 1503-2023</t>
        </is>
      </c>
      <c r="B418" s="1" t="n">
        <v>44935</v>
      </c>
      <c r="C418" s="1" t="n">
        <v>46126</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27966-2025</t>
        </is>
      </c>
      <c r="B419" s="1" t="n">
        <v>45817.55668981482</v>
      </c>
      <c r="C419" s="1" t="n">
        <v>46126</v>
      </c>
      <c r="D419" t="inlineStr">
        <is>
          <t>ÖSTERGÖTLANDS LÄN</t>
        </is>
      </c>
      <c r="E419" t="inlineStr">
        <is>
          <t>KINDA</t>
        </is>
      </c>
      <c r="G419" t="n">
        <v>0.6</v>
      </c>
      <c r="H419" t="n">
        <v>0</v>
      </c>
      <c r="I419" t="n">
        <v>0</v>
      </c>
      <c r="J419" t="n">
        <v>0</v>
      </c>
      <c r="K419" t="n">
        <v>0</v>
      </c>
      <c r="L419" t="n">
        <v>0</v>
      </c>
      <c r="M419" t="n">
        <v>0</v>
      </c>
      <c r="N419" t="n">
        <v>0</v>
      </c>
      <c r="O419" t="n">
        <v>0</v>
      </c>
      <c r="P419" t="n">
        <v>0</v>
      </c>
      <c r="Q419" t="n">
        <v>0</v>
      </c>
      <c r="R419" s="2" t="inlineStr"/>
    </row>
    <row r="420" ht="15" customHeight="1">
      <c r="A420" t="inlineStr">
        <is>
          <t>A 9702-2022</t>
        </is>
      </c>
      <c r="B420" s="1" t="n">
        <v>44617.6878125</v>
      </c>
      <c r="C420" s="1" t="n">
        <v>46126</v>
      </c>
      <c r="D420" t="inlineStr">
        <is>
          <t>ÖSTERGÖTLANDS LÄN</t>
        </is>
      </c>
      <c r="E420" t="inlineStr">
        <is>
          <t>KINDA</t>
        </is>
      </c>
      <c r="G420" t="n">
        <v>2.8</v>
      </c>
      <c r="H420" t="n">
        <v>0</v>
      </c>
      <c r="I420" t="n">
        <v>0</v>
      </c>
      <c r="J420" t="n">
        <v>0</v>
      </c>
      <c r="K420" t="n">
        <v>0</v>
      </c>
      <c r="L420" t="n">
        <v>0</v>
      </c>
      <c r="M420" t="n">
        <v>0</v>
      </c>
      <c r="N420" t="n">
        <v>0</v>
      </c>
      <c r="O420" t="n">
        <v>0</v>
      </c>
      <c r="P420" t="n">
        <v>0</v>
      </c>
      <c r="Q420" t="n">
        <v>0</v>
      </c>
      <c r="R420" s="2" t="inlineStr"/>
    </row>
    <row r="421" ht="15" customHeight="1">
      <c r="A421" t="inlineStr">
        <is>
          <t>A 18410-2023</t>
        </is>
      </c>
      <c r="B421" s="1" t="n">
        <v>45042.40232638889</v>
      </c>
      <c r="C421" s="1" t="n">
        <v>46126</v>
      </c>
      <c r="D421" t="inlineStr">
        <is>
          <t>ÖSTERGÖTLANDS LÄN</t>
        </is>
      </c>
      <c r="E421" t="inlineStr">
        <is>
          <t>KINDA</t>
        </is>
      </c>
      <c r="G421" t="n">
        <v>5.6</v>
      </c>
      <c r="H421" t="n">
        <v>0</v>
      </c>
      <c r="I421" t="n">
        <v>0</v>
      </c>
      <c r="J421" t="n">
        <v>0</v>
      </c>
      <c r="K421" t="n">
        <v>0</v>
      </c>
      <c r="L421" t="n">
        <v>0</v>
      </c>
      <c r="M421" t="n">
        <v>0</v>
      </c>
      <c r="N421" t="n">
        <v>0</v>
      </c>
      <c r="O421" t="n">
        <v>0</v>
      </c>
      <c r="P421" t="n">
        <v>0</v>
      </c>
      <c r="Q421" t="n">
        <v>0</v>
      </c>
      <c r="R421" s="2" t="inlineStr"/>
    </row>
    <row r="422" ht="15" customHeight="1">
      <c r="A422" t="inlineStr">
        <is>
          <t>A 4659-2023</t>
        </is>
      </c>
      <c r="B422" s="1" t="n">
        <v>44952</v>
      </c>
      <c r="C422" s="1" t="n">
        <v>46126</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17671-2025</t>
        </is>
      </c>
      <c r="B423" s="1" t="n">
        <v>45758.36788194445</v>
      </c>
      <c r="C423" s="1" t="n">
        <v>46126</v>
      </c>
      <c r="D423" t="inlineStr">
        <is>
          <t>ÖSTERGÖTLANDS LÄN</t>
        </is>
      </c>
      <c r="E423" t="inlineStr">
        <is>
          <t>KINDA</t>
        </is>
      </c>
      <c r="G423" t="n">
        <v>1.9</v>
      </c>
      <c r="H423" t="n">
        <v>0</v>
      </c>
      <c r="I423" t="n">
        <v>0</v>
      </c>
      <c r="J423" t="n">
        <v>0</v>
      </c>
      <c r="K423" t="n">
        <v>0</v>
      </c>
      <c r="L423" t="n">
        <v>0</v>
      </c>
      <c r="M423" t="n">
        <v>0</v>
      </c>
      <c r="N423" t="n">
        <v>0</v>
      </c>
      <c r="O423" t="n">
        <v>0</v>
      </c>
      <c r="P423" t="n">
        <v>0</v>
      </c>
      <c r="Q423" t="n">
        <v>0</v>
      </c>
      <c r="R423" s="2" t="inlineStr"/>
    </row>
    <row r="424" ht="15" customHeight="1">
      <c r="A424" t="inlineStr">
        <is>
          <t>A 6104-2022</t>
        </is>
      </c>
      <c r="B424" s="1" t="n">
        <v>44599</v>
      </c>
      <c r="C424" s="1" t="n">
        <v>46126</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48811-2024</t>
        </is>
      </c>
      <c r="B425" s="1" t="n">
        <v>45593.66861111111</v>
      </c>
      <c r="C425" s="1" t="n">
        <v>46126</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27969-2025</t>
        </is>
      </c>
      <c r="B426" s="1" t="n">
        <v>45817.55887731481</v>
      </c>
      <c r="C426" s="1" t="n">
        <v>46126</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28256-2025</t>
        </is>
      </c>
      <c r="B427" s="1" t="n">
        <v>45818</v>
      </c>
      <c r="C427" s="1" t="n">
        <v>46126</v>
      </c>
      <c r="D427" t="inlineStr">
        <is>
          <t>ÖSTERGÖTLANDS LÄN</t>
        </is>
      </c>
      <c r="E427" t="inlineStr">
        <is>
          <t>KINDA</t>
        </is>
      </c>
      <c r="G427" t="n">
        <v>1.9</v>
      </c>
      <c r="H427" t="n">
        <v>0</v>
      </c>
      <c r="I427" t="n">
        <v>0</v>
      </c>
      <c r="J427" t="n">
        <v>0</v>
      </c>
      <c r="K427" t="n">
        <v>0</v>
      </c>
      <c r="L427" t="n">
        <v>0</v>
      </c>
      <c r="M427" t="n">
        <v>0</v>
      </c>
      <c r="N427" t="n">
        <v>0</v>
      </c>
      <c r="O427" t="n">
        <v>0</v>
      </c>
      <c r="P427" t="n">
        <v>0</v>
      </c>
      <c r="Q427" t="n">
        <v>0</v>
      </c>
      <c r="R427" s="2" t="inlineStr"/>
    </row>
    <row r="428" ht="15" customHeight="1">
      <c r="A428" t="inlineStr">
        <is>
          <t>A 28258-2025</t>
        </is>
      </c>
      <c r="B428" s="1" t="n">
        <v>45818</v>
      </c>
      <c r="C428" s="1" t="n">
        <v>46126</v>
      </c>
      <c r="D428" t="inlineStr">
        <is>
          <t>ÖSTERGÖTLANDS LÄN</t>
        </is>
      </c>
      <c r="E428" t="inlineStr">
        <is>
          <t>KINDA</t>
        </is>
      </c>
      <c r="G428" t="n">
        <v>3.4</v>
      </c>
      <c r="H428" t="n">
        <v>0</v>
      </c>
      <c r="I428" t="n">
        <v>0</v>
      </c>
      <c r="J428" t="n">
        <v>0</v>
      </c>
      <c r="K428" t="n">
        <v>0</v>
      </c>
      <c r="L428" t="n">
        <v>0</v>
      </c>
      <c r="M428" t="n">
        <v>0</v>
      </c>
      <c r="N428" t="n">
        <v>0</v>
      </c>
      <c r="O428" t="n">
        <v>0</v>
      </c>
      <c r="P428" t="n">
        <v>0</v>
      </c>
      <c r="Q428" t="n">
        <v>0</v>
      </c>
      <c r="R428" s="2" t="inlineStr"/>
    </row>
    <row r="429" ht="15" customHeight="1">
      <c r="A429" t="inlineStr">
        <is>
          <t>A 28519-2025</t>
        </is>
      </c>
      <c r="B429" s="1" t="n">
        <v>45819.4893287037</v>
      </c>
      <c r="C429" s="1" t="n">
        <v>46126</v>
      </c>
      <c r="D429" t="inlineStr">
        <is>
          <t>ÖSTERGÖTLANDS LÄN</t>
        </is>
      </c>
      <c r="E429" t="inlineStr">
        <is>
          <t>KINDA</t>
        </is>
      </c>
      <c r="F429" t="inlineStr">
        <is>
          <t>Övriga Aktiebolag</t>
        </is>
      </c>
      <c r="G429" t="n">
        <v>2.9</v>
      </c>
      <c r="H429" t="n">
        <v>0</v>
      </c>
      <c r="I429" t="n">
        <v>0</v>
      </c>
      <c r="J429" t="n">
        <v>0</v>
      </c>
      <c r="K429" t="n">
        <v>0</v>
      </c>
      <c r="L429" t="n">
        <v>0</v>
      </c>
      <c r="M429" t="n">
        <v>0</v>
      </c>
      <c r="N429" t="n">
        <v>0</v>
      </c>
      <c r="O429" t="n">
        <v>0</v>
      </c>
      <c r="P429" t="n">
        <v>0</v>
      </c>
      <c r="Q429" t="n">
        <v>0</v>
      </c>
      <c r="R429" s="2" t="inlineStr"/>
    </row>
    <row r="430" ht="15" customHeight="1">
      <c r="A430" t="inlineStr">
        <is>
          <t>A 28552-2025</t>
        </is>
      </c>
      <c r="B430" s="1" t="n">
        <v>45819.53686342593</v>
      </c>
      <c r="C430" s="1" t="n">
        <v>46126</v>
      </c>
      <c r="D430" t="inlineStr">
        <is>
          <t>ÖSTERGÖTLANDS LÄN</t>
        </is>
      </c>
      <c r="E430" t="inlineStr">
        <is>
          <t>KINDA</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28568-2025</t>
        </is>
      </c>
      <c r="B431" s="1" t="n">
        <v>45819.55849537037</v>
      </c>
      <c r="C431" s="1" t="n">
        <v>46126</v>
      </c>
      <c r="D431" t="inlineStr">
        <is>
          <t>ÖSTERGÖTLANDS LÄN</t>
        </is>
      </c>
      <c r="E431" t="inlineStr">
        <is>
          <t>KINDA</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28479-2025</t>
        </is>
      </c>
      <c r="B432" s="1" t="n">
        <v>45819.4475</v>
      </c>
      <c r="C432" s="1" t="n">
        <v>46126</v>
      </c>
      <c r="D432" t="inlineStr">
        <is>
          <t>ÖSTERGÖTLANDS LÄN</t>
        </is>
      </c>
      <c r="E432" t="inlineStr">
        <is>
          <t>KINDA</t>
        </is>
      </c>
      <c r="F432" t="inlineStr">
        <is>
          <t>Övriga Aktiebolag</t>
        </is>
      </c>
      <c r="G432" t="n">
        <v>15.2</v>
      </c>
      <c r="H432" t="n">
        <v>0</v>
      </c>
      <c r="I432" t="n">
        <v>0</v>
      </c>
      <c r="J432" t="n">
        <v>0</v>
      </c>
      <c r="K432" t="n">
        <v>0</v>
      </c>
      <c r="L432" t="n">
        <v>0</v>
      </c>
      <c r="M432" t="n">
        <v>0</v>
      </c>
      <c r="N432" t="n">
        <v>0</v>
      </c>
      <c r="O432" t="n">
        <v>0</v>
      </c>
      <c r="P432" t="n">
        <v>0</v>
      </c>
      <c r="Q432" t="n">
        <v>0</v>
      </c>
      <c r="R432" s="2" t="inlineStr"/>
    </row>
    <row r="433" ht="15" customHeight="1">
      <c r="A433" t="inlineStr">
        <is>
          <t>A 19161-2025</t>
        </is>
      </c>
      <c r="B433" s="1" t="n">
        <v>45769.37105324074</v>
      </c>
      <c r="C433" s="1" t="n">
        <v>46126</v>
      </c>
      <c r="D433" t="inlineStr">
        <is>
          <t>ÖSTERGÖTLANDS LÄN</t>
        </is>
      </c>
      <c r="E433" t="inlineStr">
        <is>
          <t>KINDA</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28611-2025</t>
        </is>
      </c>
      <c r="B434" s="1" t="n">
        <v>45819.60376157407</v>
      </c>
      <c r="C434" s="1" t="n">
        <v>46126</v>
      </c>
      <c r="D434" t="inlineStr">
        <is>
          <t>ÖSTERGÖTLANDS LÄN</t>
        </is>
      </c>
      <c r="E434" t="inlineStr">
        <is>
          <t>KINDA</t>
        </is>
      </c>
      <c r="F434" t="inlineStr">
        <is>
          <t>Övriga Aktiebolag</t>
        </is>
      </c>
      <c r="G434" t="n">
        <v>4.2</v>
      </c>
      <c r="H434" t="n">
        <v>0</v>
      </c>
      <c r="I434" t="n">
        <v>0</v>
      </c>
      <c r="J434" t="n">
        <v>0</v>
      </c>
      <c r="K434" t="n">
        <v>0</v>
      </c>
      <c r="L434" t="n">
        <v>0</v>
      </c>
      <c r="M434" t="n">
        <v>0</v>
      </c>
      <c r="N434" t="n">
        <v>0</v>
      </c>
      <c r="O434" t="n">
        <v>0</v>
      </c>
      <c r="P434" t="n">
        <v>0</v>
      </c>
      <c r="Q434" t="n">
        <v>0</v>
      </c>
      <c r="R434" s="2" t="inlineStr"/>
    </row>
    <row r="435" ht="15" customHeight="1">
      <c r="A435" t="inlineStr">
        <is>
          <t>A 29210-2025</t>
        </is>
      </c>
      <c r="B435" s="1" t="n">
        <v>45823.95060185185</v>
      </c>
      <c r="C435" s="1" t="n">
        <v>46126</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29079-2025</t>
        </is>
      </c>
      <c r="B436" s="1" t="n">
        <v>45821</v>
      </c>
      <c r="C436" s="1" t="n">
        <v>46126</v>
      </c>
      <c r="D436" t="inlineStr">
        <is>
          <t>ÖSTERGÖTLANDS LÄN</t>
        </is>
      </c>
      <c r="E436" t="inlineStr">
        <is>
          <t>KINDA</t>
        </is>
      </c>
      <c r="G436" t="n">
        <v>5.7</v>
      </c>
      <c r="H436" t="n">
        <v>0</v>
      </c>
      <c r="I436" t="n">
        <v>0</v>
      </c>
      <c r="J436" t="n">
        <v>0</v>
      </c>
      <c r="K436" t="n">
        <v>0</v>
      </c>
      <c r="L436" t="n">
        <v>0</v>
      </c>
      <c r="M436" t="n">
        <v>0</v>
      </c>
      <c r="N436" t="n">
        <v>0</v>
      </c>
      <c r="O436" t="n">
        <v>0</v>
      </c>
      <c r="P436" t="n">
        <v>0</v>
      </c>
      <c r="Q436" t="n">
        <v>0</v>
      </c>
      <c r="R436" s="2" t="inlineStr"/>
    </row>
    <row r="437" ht="15" customHeight="1">
      <c r="A437" t="inlineStr">
        <is>
          <t>A 29086-2025</t>
        </is>
      </c>
      <c r="B437" s="1" t="n">
        <v>45821</v>
      </c>
      <c r="C437" s="1" t="n">
        <v>46126</v>
      </c>
      <c r="D437" t="inlineStr">
        <is>
          <t>ÖSTERGÖTLANDS LÄN</t>
        </is>
      </c>
      <c r="E437" t="inlineStr">
        <is>
          <t>KINDA</t>
        </is>
      </c>
      <c r="G437" t="n">
        <v>2</v>
      </c>
      <c r="H437" t="n">
        <v>0</v>
      </c>
      <c r="I437" t="n">
        <v>0</v>
      </c>
      <c r="J437" t="n">
        <v>0</v>
      </c>
      <c r="K437" t="n">
        <v>0</v>
      </c>
      <c r="L437" t="n">
        <v>0</v>
      </c>
      <c r="M437" t="n">
        <v>0</v>
      </c>
      <c r="N437" t="n">
        <v>0</v>
      </c>
      <c r="O437" t="n">
        <v>0</v>
      </c>
      <c r="P437" t="n">
        <v>0</v>
      </c>
      <c r="Q437" t="n">
        <v>0</v>
      </c>
      <c r="R437" s="2" t="inlineStr"/>
    </row>
    <row r="438" ht="15" customHeight="1">
      <c r="A438" t="inlineStr">
        <is>
          <t>A 29078-2025</t>
        </is>
      </c>
      <c r="B438" s="1" t="n">
        <v>45821</v>
      </c>
      <c r="C438" s="1" t="n">
        <v>46126</v>
      </c>
      <c r="D438" t="inlineStr">
        <is>
          <t>ÖSTERGÖTLANDS LÄN</t>
        </is>
      </c>
      <c r="E438" t="inlineStr">
        <is>
          <t>KINDA</t>
        </is>
      </c>
      <c r="G438" t="n">
        <v>2</v>
      </c>
      <c r="H438" t="n">
        <v>0</v>
      </c>
      <c r="I438" t="n">
        <v>0</v>
      </c>
      <c r="J438" t="n">
        <v>0</v>
      </c>
      <c r="K438" t="n">
        <v>0</v>
      </c>
      <c r="L438" t="n">
        <v>0</v>
      </c>
      <c r="M438" t="n">
        <v>0</v>
      </c>
      <c r="N438" t="n">
        <v>0</v>
      </c>
      <c r="O438" t="n">
        <v>0</v>
      </c>
      <c r="P438" t="n">
        <v>0</v>
      </c>
      <c r="Q438" t="n">
        <v>0</v>
      </c>
      <c r="R438" s="2" t="inlineStr"/>
    </row>
    <row r="439" ht="15" customHeight="1">
      <c r="A439" t="inlineStr">
        <is>
          <t>A 46918-2022</t>
        </is>
      </c>
      <c r="B439" s="1" t="n">
        <v>44851.67681712963</v>
      </c>
      <c r="C439" s="1" t="n">
        <v>46126</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52766-2025</t>
        </is>
      </c>
      <c r="B440" s="1" t="n">
        <v>45957.4008912037</v>
      </c>
      <c r="C440" s="1" t="n">
        <v>46126</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29211-2025</t>
        </is>
      </c>
      <c r="B441" s="1" t="n">
        <v>45823.95393518519</v>
      </c>
      <c r="C441" s="1" t="n">
        <v>46126</v>
      </c>
      <c r="D441" t="inlineStr">
        <is>
          <t>ÖSTERGÖTLANDS LÄN</t>
        </is>
      </c>
      <c r="E441" t="inlineStr">
        <is>
          <t>KINDA</t>
        </is>
      </c>
      <c r="G441" t="n">
        <v>2.4</v>
      </c>
      <c r="H441" t="n">
        <v>0</v>
      </c>
      <c r="I441" t="n">
        <v>0</v>
      </c>
      <c r="J441" t="n">
        <v>0</v>
      </c>
      <c r="K441" t="n">
        <v>0</v>
      </c>
      <c r="L441" t="n">
        <v>0</v>
      </c>
      <c r="M441" t="n">
        <v>0</v>
      </c>
      <c r="N441" t="n">
        <v>0</v>
      </c>
      <c r="O441" t="n">
        <v>0</v>
      </c>
      <c r="P441" t="n">
        <v>0</v>
      </c>
      <c r="Q441" t="n">
        <v>0</v>
      </c>
      <c r="R441" s="2" t="inlineStr"/>
    </row>
    <row r="442" ht="15" customHeight="1">
      <c r="A442" t="inlineStr">
        <is>
          <t>A 29061-2025</t>
        </is>
      </c>
      <c r="B442" s="1" t="n">
        <v>45821</v>
      </c>
      <c r="C442" s="1" t="n">
        <v>46126</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29092-2025</t>
        </is>
      </c>
      <c r="B443" s="1" t="n">
        <v>45821</v>
      </c>
      <c r="C443" s="1" t="n">
        <v>46126</v>
      </c>
      <c r="D443" t="inlineStr">
        <is>
          <t>ÖSTERGÖTLANDS LÄN</t>
        </is>
      </c>
      <c r="E443" t="inlineStr">
        <is>
          <t>KINDA</t>
        </is>
      </c>
      <c r="G443" t="n">
        <v>1.8</v>
      </c>
      <c r="H443" t="n">
        <v>0</v>
      </c>
      <c r="I443" t="n">
        <v>0</v>
      </c>
      <c r="J443" t="n">
        <v>0</v>
      </c>
      <c r="K443" t="n">
        <v>0</v>
      </c>
      <c r="L443" t="n">
        <v>0</v>
      </c>
      <c r="M443" t="n">
        <v>0</v>
      </c>
      <c r="N443" t="n">
        <v>0</v>
      </c>
      <c r="O443" t="n">
        <v>0</v>
      </c>
      <c r="P443" t="n">
        <v>0</v>
      </c>
      <c r="Q443" t="n">
        <v>0</v>
      </c>
      <c r="R443" s="2" t="inlineStr"/>
    </row>
    <row r="444" ht="15" customHeight="1">
      <c r="A444" t="inlineStr">
        <is>
          <t>A 53417-2025</t>
        </is>
      </c>
      <c r="B444" s="1" t="n">
        <v>45959.58710648148</v>
      </c>
      <c r="C444" s="1" t="n">
        <v>46126</v>
      </c>
      <c r="D444" t="inlineStr">
        <is>
          <t>ÖSTERGÖTLANDS LÄN</t>
        </is>
      </c>
      <c r="E444" t="inlineStr">
        <is>
          <t>KINDA</t>
        </is>
      </c>
      <c r="G444" t="n">
        <v>4.5</v>
      </c>
      <c r="H444" t="n">
        <v>0</v>
      </c>
      <c r="I444" t="n">
        <v>0</v>
      </c>
      <c r="J444" t="n">
        <v>0</v>
      </c>
      <c r="K444" t="n">
        <v>0</v>
      </c>
      <c r="L444" t="n">
        <v>0</v>
      </c>
      <c r="M444" t="n">
        <v>0</v>
      </c>
      <c r="N444" t="n">
        <v>0</v>
      </c>
      <c r="O444" t="n">
        <v>0</v>
      </c>
      <c r="P444" t="n">
        <v>0</v>
      </c>
      <c r="Q444" t="n">
        <v>0</v>
      </c>
      <c r="R444" s="2" t="inlineStr"/>
    </row>
    <row r="445" ht="15" customHeight="1">
      <c r="A445" t="inlineStr">
        <is>
          <t>A 29471-2025</t>
        </is>
      </c>
      <c r="B445" s="1" t="n">
        <v>45824</v>
      </c>
      <c r="C445" s="1" t="n">
        <v>46126</v>
      </c>
      <c r="D445" t="inlineStr">
        <is>
          <t>ÖSTERGÖTLANDS LÄN</t>
        </is>
      </c>
      <c r="E445" t="inlineStr">
        <is>
          <t>KINDA</t>
        </is>
      </c>
      <c r="G445" t="n">
        <v>5.4</v>
      </c>
      <c r="H445" t="n">
        <v>0</v>
      </c>
      <c r="I445" t="n">
        <v>0</v>
      </c>
      <c r="J445" t="n">
        <v>0</v>
      </c>
      <c r="K445" t="n">
        <v>0</v>
      </c>
      <c r="L445" t="n">
        <v>0</v>
      </c>
      <c r="M445" t="n">
        <v>0</v>
      </c>
      <c r="N445" t="n">
        <v>0</v>
      </c>
      <c r="O445" t="n">
        <v>0</v>
      </c>
      <c r="P445" t="n">
        <v>0</v>
      </c>
      <c r="Q445" t="n">
        <v>0</v>
      </c>
      <c r="R445" s="2" t="inlineStr"/>
    </row>
    <row r="446" ht="15" customHeight="1">
      <c r="A446" t="inlineStr">
        <is>
          <t>A 650-2023</t>
        </is>
      </c>
      <c r="B446" s="1" t="n">
        <v>44930.64962962963</v>
      </c>
      <c r="C446" s="1" t="n">
        <v>46126</v>
      </c>
      <c r="D446" t="inlineStr">
        <is>
          <t>ÖSTERGÖTLANDS LÄN</t>
        </is>
      </c>
      <c r="E446" t="inlineStr">
        <is>
          <t>KINDA</t>
        </is>
      </c>
      <c r="G446" t="n">
        <v>1.3</v>
      </c>
      <c r="H446" t="n">
        <v>0</v>
      </c>
      <c r="I446" t="n">
        <v>0</v>
      </c>
      <c r="J446" t="n">
        <v>0</v>
      </c>
      <c r="K446" t="n">
        <v>0</v>
      </c>
      <c r="L446" t="n">
        <v>0</v>
      </c>
      <c r="M446" t="n">
        <v>0</v>
      </c>
      <c r="N446" t="n">
        <v>0</v>
      </c>
      <c r="O446" t="n">
        <v>0</v>
      </c>
      <c r="P446" t="n">
        <v>0</v>
      </c>
      <c r="Q446" t="n">
        <v>0</v>
      </c>
      <c r="R446" s="2" t="inlineStr"/>
    </row>
    <row r="447" ht="15" customHeight="1">
      <c r="A447" t="inlineStr">
        <is>
          <t>A 45119-2023</t>
        </is>
      </c>
      <c r="B447" s="1" t="n">
        <v>45187</v>
      </c>
      <c r="C447" s="1" t="n">
        <v>46126</v>
      </c>
      <c r="D447" t="inlineStr">
        <is>
          <t>ÖSTERGÖTLANDS LÄN</t>
        </is>
      </c>
      <c r="E447" t="inlineStr">
        <is>
          <t>KINDA</t>
        </is>
      </c>
      <c r="G447" t="n">
        <v>2.3</v>
      </c>
      <c r="H447" t="n">
        <v>0</v>
      </c>
      <c r="I447" t="n">
        <v>0</v>
      </c>
      <c r="J447" t="n">
        <v>0</v>
      </c>
      <c r="K447" t="n">
        <v>0</v>
      </c>
      <c r="L447" t="n">
        <v>0</v>
      </c>
      <c r="M447" t="n">
        <v>0</v>
      </c>
      <c r="N447" t="n">
        <v>0</v>
      </c>
      <c r="O447" t="n">
        <v>0</v>
      </c>
      <c r="P447" t="n">
        <v>0</v>
      </c>
      <c r="Q447" t="n">
        <v>0</v>
      </c>
      <c r="R447" s="2" t="inlineStr"/>
    </row>
    <row r="448" ht="15" customHeight="1">
      <c r="A448" t="inlineStr">
        <is>
          <t>A 53808-2025</t>
        </is>
      </c>
      <c r="B448" s="1" t="n">
        <v>45960.86200231482</v>
      </c>
      <c r="C448" s="1" t="n">
        <v>46126</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32781-2021</t>
        </is>
      </c>
      <c r="B449" s="1" t="n">
        <v>44375</v>
      </c>
      <c r="C449" s="1" t="n">
        <v>46126</v>
      </c>
      <c r="D449" t="inlineStr">
        <is>
          <t>ÖSTERGÖTLANDS LÄN</t>
        </is>
      </c>
      <c r="E449" t="inlineStr">
        <is>
          <t>KINDA</t>
        </is>
      </c>
      <c r="G449" t="n">
        <v>2</v>
      </c>
      <c r="H449" t="n">
        <v>0</v>
      </c>
      <c r="I449" t="n">
        <v>0</v>
      </c>
      <c r="J449" t="n">
        <v>0</v>
      </c>
      <c r="K449" t="n">
        <v>0</v>
      </c>
      <c r="L449" t="n">
        <v>0</v>
      </c>
      <c r="M449" t="n">
        <v>0</v>
      </c>
      <c r="N449" t="n">
        <v>0</v>
      </c>
      <c r="O449" t="n">
        <v>0</v>
      </c>
      <c r="P449" t="n">
        <v>0</v>
      </c>
      <c r="Q449" t="n">
        <v>0</v>
      </c>
      <c r="R449" s="2" t="inlineStr"/>
      <c r="U449">
        <f>HYPERLINK("https://klasma.github.io/Logging_0513/knärot/A 32781-2021 karta knärot.png", "A 32781-2021")</f>
        <v/>
      </c>
      <c r="V449">
        <f>HYPERLINK("https://klasma.github.io/Logging_0513/klagomål/A 32781-2021 FSC-klagomål.docx", "A 32781-2021")</f>
        <v/>
      </c>
      <c r="W449">
        <f>HYPERLINK("https://klasma.github.io/Logging_0513/klagomålsmail/A 32781-2021 FSC-klagomål mail.docx", "A 32781-2021")</f>
        <v/>
      </c>
      <c r="X449">
        <f>HYPERLINK("https://klasma.github.io/Logging_0513/tillsyn/A 32781-2021 tillsynsbegäran.docx", "A 32781-2021")</f>
        <v/>
      </c>
      <c r="Y449">
        <f>HYPERLINK("https://klasma.github.io/Logging_0513/tillsynsmail/A 32781-2021 tillsynsbegäran mail.docx", "A 32781-2021")</f>
        <v/>
      </c>
    </row>
    <row r="450" ht="15" customHeight="1">
      <c r="A450" t="inlineStr">
        <is>
          <t>A 54403-2025</t>
        </is>
      </c>
      <c r="B450" s="1" t="n">
        <v>45965.45344907408</v>
      </c>
      <c r="C450" s="1" t="n">
        <v>46126</v>
      </c>
      <c r="D450" t="inlineStr">
        <is>
          <t>ÖSTERGÖTLANDS LÄN</t>
        </is>
      </c>
      <c r="E450" t="inlineStr">
        <is>
          <t>KINDA</t>
        </is>
      </c>
      <c r="G450" t="n">
        <v>0.8</v>
      </c>
      <c r="H450" t="n">
        <v>0</v>
      </c>
      <c r="I450" t="n">
        <v>0</v>
      </c>
      <c r="J450" t="n">
        <v>0</v>
      </c>
      <c r="K450" t="n">
        <v>0</v>
      </c>
      <c r="L450" t="n">
        <v>0</v>
      </c>
      <c r="M450" t="n">
        <v>0</v>
      </c>
      <c r="N450" t="n">
        <v>0</v>
      </c>
      <c r="O450" t="n">
        <v>0</v>
      </c>
      <c r="P450" t="n">
        <v>0</v>
      </c>
      <c r="Q450" t="n">
        <v>0</v>
      </c>
      <c r="R450" s="2" t="inlineStr"/>
    </row>
    <row r="451" ht="15" customHeight="1">
      <c r="A451" t="inlineStr">
        <is>
          <t>A 8318-2025</t>
        </is>
      </c>
      <c r="B451" s="1" t="n">
        <v>45708.62505787037</v>
      </c>
      <c r="C451" s="1" t="n">
        <v>46126</v>
      </c>
      <c r="D451" t="inlineStr">
        <is>
          <t>ÖSTERGÖTLANDS LÄN</t>
        </is>
      </c>
      <c r="E451" t="inlineStr">
        <is>
          <t>KINDA</t>
        </is>
      </c>
      <c r="G451" t="n">
        <v>2.9</v>
      </c>
      <c r="H451" t="n">
        <v>0</v>
      </c>
      <c r="I451" t="n">
        <v>0</v>
      </c>
      <c r="J451" t="n">
        <v>0</v>
      </c>
      <c r="K451" t="n">
        <v>0</v>
      </c>
      <c r="L451" t="n">
        <v>0</v>
      </c>
      <c r="M451" t="n">
        <v>0</v>
      </c>
      <c r="N451" t="n">
        <v>0</v>
      </c>
      <c r="O451" t="n">
        <v>0</v>
      </c>
      <c r="P451" t="n">
        <v>0</v>
      </c>
      <c r="Q451" t="n">
        <v>0</v>
      </c>
      <c r="R451" s="2" t="inlineStr"/>
    </row>
    <row r="452" ht="15" customHeight="1">
      <c r="A452" t="inlineStr">
        <is>
          <t>A 31054-2025</t>
        </is>
      </c>
      <c r="B452" s="1" t="n">
        <v>45832.56275462963</v>
      </c>
      <c r="C452" s="1" t="n">
        <v>46126</v>
      </c>
      <c r="D452" t="inlineStr">
        <is>
          <t>ÖSTERGÖTLANDS LÄN</t>
        </is>
      </c>
      <c r="E452" t="inlineStr">
        <is>
          <t>KINDA</t>
        </is>
      </c>
      <c r="G452" t="n">
        <v>2.3</v>
      </c>
      <c r="H452" t="n">
        <v>0</v>
      </c>
      <c r="I452" t="n">
        <v>0</v>
      </c>
      <c r="J452" t="n">
        <v>0</v>
      </c>
      <c r="K452" t="n">
        <v>0</v>
      </c>
      <c r="L452" t="n">
        <v>0</v>
      </c>
      <c r="M452" t="n">
        <v>0</v>
      </c>
      <c r="N452" t="n">
        <v>0</v>
      </c>
      <c r="O452" t="n">
        <v>0</v>
      </c>
      <c r="P452" t="n">
        <v>0</v>
      </c>
      <c r="Q452" t="n">
        <v>0</v>
      </c>
      <c r="R452" s="2" t="inlineStr"/>
    </row>
    <row r="453" ht="15" customHeight="1">
      <c r="A453" t="inlineStr">
        <is>
          <t>A 31048-2025</t>
        </is>
      </c>
      <c r="B453" s="1" t="n">
        <v>45832.55696759259</v>
      </c>
      <c r="C453" s="1" t="n">
        <v>46126</v>
      </c>
      <c r="D453" t="inlineStr">
        <is>
          <t>ÖSTERGÖTLANDS LÄN</t>
        </is>
      </c>
      <c r="E453" t="inlineStr">
        <is>
          <t>KINDA</t>
        </is>
      </c>
      <c r="G453" t="n">
        <v>1.4</v>
      </c>
      <c r="H453" t="n">
        <v>0</v>
      </c>
      <c r="I453" t="n">
        <v>0</v>
      </c>
      <c r="J453" t="n">
        <v>0</v>
      </c>
      <c r="K453" t="n">
        <v>0</v>
      </c>
      <c r="L453" t="n">
        <v>0</v>
      </c>
      <c r="M453" t="n">
        <v>0</v>
      </c>
      <c r="N453" t="n">
        <v>0</v>
      </c>
      <c r="O453" t="n">
        <v>0</v>
      </c>
      <c r="P453" t="n">
        <v>0</v>
      </c>
      <c r="Q453" t="n">
        <v>0</v>
      </c>
      <c r="R453" s="2" t="inlineStr"/>
    </row>
    <row r="454" ht="15" customHeight="1">
      <c r="A454" t="inlineStr">
        <is>
          <t>A 30631-2025</t>
        </is>
      </c>
      <c r="B454" s="1" t="n">
        <v>45831.47709490741</v>
      </c>
      <c r="C454" s="1" t="n">
        <v>46126</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30613-2025</t>
        </is>
      </c>
      <c r="B455" s="1" t="n">
        <v>45831.46635416667</v>
      </c>
      <c r="C455" s="1" t="n">
        <v>46126</v>
      </c>
      <c r="D455" t="inlineStr">
        <is>
          <t>ÖSTERGÖTLANDS LÄN</t>
        </is>
      </c>
      <c r="E455" t="inlineStr">
        <is>
          <t>KINDA</t>
        </is>
      </c>
      <c r="G455" t="n">
        <v>2.3</v>
      </c>
      <c r="H455" t="n">
        <v>0</v>
      </c>
      <c r="I455" t="n">
        <v>0</v>
      </c>
      <c r="J455" t="n">
        <v>0</v>
      </c>
      <c r="K455" t="n">
        <v>0</v>
      </c>
      <c r="L455" t="n">
        <v>0</v>
      </c>
      <c r="M455" t="n">
        <v>0</v>
      </c>
      <c r="N455" t="n">
        <v>0</v>
      </c>
      <c r="O455" t="n">
        <v>0</v>
      </c>
      <c r="P455" t="n">
        <v>0</v>
      </c>
      <c r="Q455" t="n">
        <v>0</v>
      </c>
      <c r="R455" s="2" t="inlineStr"/>
    </row>
    <row r="456" ht="15" customHeight="1">
      <c r="A456" t="inlineStr">
        <is>
          <t>A 54870-2025</t>
        </is>
      </c>
      <c r="B456" s="1" t="n">
        <v>45966.87212962963</v>
      </c>
      <c r="C456" s="1" t="n">
        <v>46126</v>
      </c>
      <c r="D456" t="inlineStr">
        <is>
          <t>ÖSTERGÖTLANDS LÄN</t>
        </is>
      </c>
      <c r="E456" t="inlineStr">
        <is>
          <t>KINDA</t>
        </is>
      </c>
      <c r="G456" t="n">
        <v>2.1</v>
      </c>
      <c r="H456" t="n">
        <v>0</v>
      </c>
      <c r="I456" t="n">
        <v>0</v>
      </c>
      <c r="J456" t="n">
        <v>0</v>
      </c>
      <c r="K456" t="n">
        <v>0</v>
      </c>
      <c r="L456" t="n">
        <v>0</v>
      </c>
      <c r="M456" t="n">
        <v>0</v>
      </c>
      <c r="N456" t="n">
        <v>0</v>
      </c>
      <c r="O456" t="n">
        <v>0</v>
      </c>
      <c r="P456" t="n">
        <v>0</v>
      </c>
      <c r="Q456" t="n">
        <v>0</v>
      </c>
      <c r="R456" s="2" t="inlineStr"/>
    </row>
    <row r="457" ht="15" customHeight="1">
      <c r="A457" t="inlineStr">
        <is>
          <t>A 55000-2025</t>
        </is>
      </c>
      <c r="B457" s="1" t="n">
        <v>45967.60479166666</v>
      </c>
      <c r="C457" s="1" t="n">
        <v>46126</v>
      </c>
      <c r="D457" t="inlineStr">
        <is>
          <t>ÖSTERGÖTLANDS LÄN</t>
        </is>
      </c>
      <c r="E457" t="inlineStr">
        <is>
          <t>KINDA</t>
        </is>
      </c>
      <c r="F457" t="inlineStr">
        <is>
          <t>Övriga Aktiebolag</t>
        </is>
      </c>
      <c r="G457" t="n">
        <v>3</v>
      </c>
      <c r="H457" t="n">
        <v>0</v>
      </c>
      <c r="I457" t="n">
        <v>0</v>
      </c>
      <c r="J457" t="n">
        <v>0</v>
      </c>
      <c r="K457" t="n">
        <v>0</v>
      </c>
      <c r="L457" t="n">
        <v>0</v>
      </c>
      <c r="M457" t="n">
        <v>0</v>
      </c>
      <c r="N457" t="n">
        <v>0</v>
      </c>
      <c r="O457" t="n">
        <v>0</v>
      </c>
      <c r="P457" t="n">
        <v>0</v>
      </c>
      <c r="Q457" t="n">
        <v>0</v>
      </c>
      <c r="R457" s="2" t="inlineStr"/>
    </row>
    <row r="458" ht="15" customHeight="1">
      <c r="A458" t="inlineStr">
        <is>
          <t>A 31811-2025</t>
        </is>
      </c>
      <c r="B458" s="1" t="n">
        <v>45834.56487268519</v>
      </c>
      <c r="C458" s="1" t="n">
        <v>46126</v>
      </c>
      <c r="D458" t="inlineStr">
        <is>
          <t>ÖSTERGÖTLANDS LÄN</t>
        </is>
      </c>
      <c r="E458" t="inlineStr">
        <is>
          <t>KINDA</t>
        </is>
      </c>
      <c r="G458" t="n">
        <v>4.4</v>
      </c>
      <c r="H458" t="n">
        <v>0</v>
      </c>
      <c r="I458" t="n">
        <v>0</v>
      </c>
      <c r="J458" t="n">
        <v>0</v>
      </c>
      <c r="K458" t="n">
        <v>0</v>
      </c>
      <c r="L458" t="n">
        <v>0</v>
      </c>
      <c r="M458" t="n">
        <v>0</v>
      </c>
      <c r="N458" t="n">
        <v>0</v>
      </c>
      <c r="O458" t="n">
        <v>0</v>
      </c>
      <c r="P458" t="n">
        <v>0</v>
      </c>
      <c r="Q458" t="n">
        <v>0</v>
      </c>
      <c r="R458" s="2" t="inlineStr"/>
    </row>
    <row r="459" ht="15" customHeight="1">
      <c r="A459" t="inlineStr">
        <is>
          <t>A 59573-2022</t>
        </is>
      </c>
      <c r="B459" s="1" t="n">
        <v>44907</v>
      </c>
      <c r="C459" s="1" t="n">
        <v>46126</v>
      </c>
      <c r="D459" t="inlineStr">
        <is>
          <t>ÖSTERGÖTLANDS LÄN</t>
        </is>
      </c>
      <c r="E459" t="inlineStr">
        <is>
          <t>KINDA</t>
        </is>
      </c>
      <c r="G459" t="n">
        <v>0.8</v>
      </c>
      <c r="H459" t="n">
        <v>0</v>
      </c>
      <c r="I459" t="n">
        <v>0</v>
      </c>
      <c r="J459" t="n">
        <v>0</v>
      </c>
      <c r="K459" t="n">
        <v>0</v>
      </c>
      <c r="L459" t="n">
        <v>0</v>
      </c>
      <c r="M459" t="n">
        <v>0</v>
      </c>
      <c r="N459" t="n">
        <v>0</v>
      </c>
      <c r="O459" t="n">
        <v>0</v>
      </c>
      <c r="P459" t="n">
        <v>0</v>
      </c>
      <c r="Q459" t="n">
        <v>0</v>
      </c>
      <c r="R459" s="2" t="inlineStr"/>
    </row>
    <row r="460" ht="15" customHeight="1">
      <c r="A460" t="inlineStr">
        <is>
          <t>A 55531-2025</t>
        </is>
      </c>
      <c r="B460" s="1" t="n">
        <v>45971.62304398148</v>
      </c>
      <c r="C460" s="1" t="n">
        <v>46126</v>
      </c>
      <c r="D460" t="inlineStr">
        <is>
          <t>ÖSTERGÖTLANDS LÄN</t>
        </is>
      </c>
      <c r="E460" t="inlineStr">
        <is>
          <t>KINDA</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29060-2025</t>
        </is>
      </c>
      <c r="B461" s="1" t="n">
        <v>45821.4841087963</v>
      </c>
      <c r="C461" s="1" t="n">
        <v>46126</v>
      </c>
      <c r="D461" t="inlineStr">
        <is>
          <t>ÖSTERGÖTLANDS LÄN</t>
        </is>
      </c>
      <c r="E461" t="inlineStr">
        <is>
          <t>KINDA</t>
        </is>
      </c>
      <c r="G461" t="n">
        <v>1.9</v>
      </c>
      <c r="H461" t="n">
        <v>0</v>
      </c>
      <c r="I461" t="n">
        <v>0</v>
      </c>
      <c r="J461" t="n">
        <v>0</v>
      </c>
      <c r="K461" t="n">
        <v>0</v>
      </c>
      <c r="L461" t="n">
        <v>0</v>
      </c>
      <c r="M461" t="n">
        <v>0</v>
      </c>
      <c r="N461" t="n">
        <v>0</v>
      </c>
      <c r="O461" t="n">
        <v>0</v>
      </c>
      <c r="P461" t="n">
        <v>0</v>
      </c>
      <c r="Q461" t="n">
        <v>0</v>
      </c>
      <c r="R461" s="2" t="inlineStr"/>
    </row>
    <row r="462" ht="15" customHeight="1">
      <c r="A462" t="inlineStr">
        <is>
          <t>A 55521-2025</t>
        </is>
      </c>
      <c r="B462" s="1" t="n">
        <v>45971.60863425926</v>
      </c>
      <c r="C462" s="1" t="n">
        <v>46126</v>
      </c>
      <c r="D462" t="inlineStr">
        <is>
          <t>ÖSTERGÖTLANDS LÄN</t>
        </is>
      </c>
      <c r="E462" t="inlineStr">
        <is>
          <t>KINDA</t>
        </is>
      </c>
      <c r="F462" t="inlineStr">
        <is>
          <t>Övriga Aktiebolag</t>
        </is>
      </c>
      <c r="G462" t="n">
        <v>5.4</v>
      </c>
      <c r="H462" t="n">
        <v>0</v>
      </c>
      <c r="I462" t="n">
        <v>0</v>
      </c>
      <c r="J462" t="n">
        <v>0</v>
      </c>
      <c r="K462" t="n">
        <v>0</v>
      </c>
      <c r="L462" t="n">
        <v>0</v>
      </c>
      <c r="M462" t="n">
        <v>0</v>
      </c>
      <c r="N462" t="n">
        <v>0</v>
      </c>
      <c r="O462" t="n">
        <v>0</v>
      </c>
      <c r="P462" t="n">
        <v>0</v>
      </c>
      <c r="Q462" t="n">
        <v>0</v>
      </c>
      <c r="R462" s="2" t="inlineStr"/>
    </row>
    <row r="463" ht="15" customHeight="1">
      <c r="A463" t="inlineStr">
        <is>
          <t>A 31989-2025</t>
        </is>
      </c>
      <c r="B463" s="1" t="n">
        <v>45835.36383101852</v>
      </c>
      <c r="C463" s="1" t="n">
        <v>46126</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55511-2025</t>
        </is>
      </c>
      <c r="B464" s="1" t="n">
        <v>45971.60042824074</v>
      </c>
      <c r="C464" s="1" t="n">
        <v>46126</v>
      </c>
      <c r="D464" t="inlineStr">
        <is>
          <t>ÖSTERGÖTLANDS LÄN</t>
        </is>
      </c>
      <c r="E464" t="inlineStr">
        <is>
          <t>KINDA</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55800-2025</t>
        </is>
      </c>
      <c r="B465" s="1" t="n">
        <v>45972</v>
      </c>
      <c r="C465" s="1" t="n">
        <v>46126</v>
      </c>
      <c r="D465" t="inlineStr">
        <is>
          <t>ÖSTERGÖTLANDS LÄN</t>
        </is>
      </c>
      <c r="E465" t="inlineStr">
        <is>
          <t>KINDA</t>
        </is>
      </c>
      <c r="G465" t="n">
        <v>1.2</v>
      </c>
      <c r="H465" t="n">
        <v>0</v>
      </c>
      <c r="I465" t="n">
        <v>0</v>
      </c>
      <c r="J465" t="n">
        <v>0</v>
      </c>
      <c r="K465" t="n">
        <v>0</v>
      </c>
      <c r="L465" t="n">
        <v>0</v>
      </c>
      <c r="M465" t="n">
        <v>0</v>
      </c>
      <c r="N465" t="n">
        <v>0</v>
      </c>
      <c r="O465" t="n">
        <v>0</v>
      </c>
      <c r="P465" t="n">
        <v>0</v>
      </c>
      <c r="Q465" t="n">
        <v>0</v>
      </c>
      <c r="R465" s="2" t="inlineStr"/>
    </row>
    <row r="466" ht="15" customHeight="1">
      <c r="A466" t="inlineStr">
        <is>
          <t>A 50406-2024</t>
        </is>
      </c>
      <c r="B466" s="1" t="n">
        <v>45601.35923611111</v>
      </c>
      <c r="C466" s="1" t="n">
        <v>46126</v>
      </c>
      <c r="D466" t="inlineStr">
        <is>
          <t>ÖSTERGÖTLANDS LÄN</t>
        </is>
      </c>
      <c r="E466" t="inlineStr">
        <is>
          <t>KINDA</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56003-2025</t>
        </is>
      </c>
      <c r="B467" s="1" t="n">
        <v>45973</v>
      </c>
      <c r="C467" s="1" t="n">
        <v>46126</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56006-2025</t>
        </is>
      </c>
      <c r="B468" s="1" t="n">
        <v>45973</v>
      </c>
      <c r="C468" s="1" t="n">
        <v>46126</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31980-2025</t>
        </is>
      </c>
      <c r="B469" s="1" t="n">
        <v>45835.35780092593</v>
      </c>
      <c r="C469" s="1" t="n">
        <v>46126</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56007-2025</t>
        </is>
      </c>
      <c r="B470" s="1" t="n">
        <v>45973</v>
      </c>
      <c r="C470" s="1" t="n">
        <v>46126</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32811-2025</t>
        </is>
      </c>
      <c r="B471" s="1" t="n">
        <v>45839.51413194444</v>
      </c>
      <c r="C471" s="1" t="n">
        <v>46126</v>
      </c>
      <c r="D471" t="inlineStr">
        <is>
          <t>ÖSTERGÖTLANDS LÄN</t>
        </is>
      </c>
      <c r="E471" t="inlineStr">
        <is>
          <t>KINDA</t>
        </is>
      </c>
      <c r="G471" t="n">
        <v>3.7</v>
      </c>
      <c r="H471" t="n">
        <v>0</v>
      </c>
      <c r="I471" t="n">
        <v>0</v>
      </c>
      <c r="J471" t="n">
        <v>0</v>
      </c>
      <c r="K471" t="n">
        <v>0</v>
      </c>
      <c r="L471" t="n">
        <v>0</v>
      </c>
      <c r="M471" t="n">
        <v>0</v>
      </c>
      <c r="N471" t="n">
        <v>0</v>
      </c>
      <c r="O471" t="n">
        <v>0</v>
      </c>
      <c r="P471" t="n">
        <v>0</v>
      </c>
      <c r="Q471" t="n">
        <v>0</v>
      </c>
      <c r="R471" s="2" t="inlineStr"/>
    </row>
    <row r="472" ht="15" customHeight="1">
      <c r="A472" t="inlineStr">
        <is>
          <t>A 57165-2025</t>
        </is>
      </c>
      <c r="B472" s="1" t="n">
        <v>45978</v>
      </c>
      <c r="C472" s="1" t="n">
        <v>46126</v>
      </c>
      <c r="D472" t="inlineStr">
        <is>
          <t>ÖSTERGÖTLANDS LÄN</t>
        </is>
      </c>
      <c r="E472" t="inlineStr">
        <is>
          <t>KINDA</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56710-2025</t>
        </is>
      </c>
      <c r="B473" s="1" t="n">
        <v>45977.81061342593</v>
      </c>
      <c r="C473" s="1" t="n">
        <v>46126</v>
      </c>
      <c r="D473" t="inlineStr">
        <is>
          <t>ÖSTERGÖTLANDS LÄN</t>
        </is>
      </c>
      <c r="E473" t="inlineStr">
        <is>
          <t>KINDA</t>
        </is>
      </c>
      <c r="G473" t="n">
        <v>4.8</v>
      </c>
      <c r="H473" t="n">
        <v>0</v>
      </c>
      <c r="I473" t="n">
        <v>0</v>
      </c>
      <c r="J473" t="n">
        <v>0</v>
      </c>
      <c r="K473" t="n">
        <v>0</v>
      </c>
      <c r="L473" t="n">
        <v>0</v>
      </c>
      <c r="M473" t="n">
        <v>0</v>
      </c>
      <c r="N473" t="n">
        <v>0</v>
      </c>
      <c r="O473" t="n">
        <v>0</v>
      </c>
      <c r="P473" t="n">
        <v>0</v>
      </c>
      <c r="Q473" t="n">
        <v>0</v>
      </c>
      <c r="R473" s="2" t="inlineStr"/>
    </row>
    <row r="474" ht="15" customHeight="1">
      <c r="A474" t="inlineStr">
        <is>
          <t>A 20350-2025</t>
        </is>
      </c>
      <c r="B474" s="1" t="n">
        <v>45775</v>
      </c>
      <c r="C474" s="1" t="n">
        <v>46126</v>
      </c>
      <c r="D474" t="inlineStr">
        <is>
          <t>ÖSTERGÖTLANDS LÄN</t>
        </is>
      </c>
      <c r="E474" t="inlineStr">
        <is>
          <t>KINDA</t>
        </is>
      </c>
      <c r="G474" t="n">
        <v>2</v>
      </c>
      <c r="H474" t="n">
        <v>0</v>
      </c>
      <c r="I474" t="n">
        <v>0</v>
      </c>
      <c r="J474" t="n">
        <v>0</v>
      </c>
      <c r="K474" t="n">
        <v>0</v>
      </c>
      <c r="L474" t="n">
        <v>0</v>
      </c>
      <c r="M474" t="n">
        <v>0</v>
      </c>
      <c r="N474" t="n">
        <v>0</v>
      </c>
      <c r="O474" t="n">
        <v>0</v>
      </c>
      <c r="P474" t="n">
        <v>0</v>
      </c>
      <c r="Q474" t="n">
        <v>0</v>
      </c>
      <c r="R474" s="2" t="inlineStr"/>
    </row>
    <row r="475" ht="15" customHeight="1">
      <c r="A475" t="inlineStr">
        <is>
          <t>A 32674-2025</t>
        </is>
      </c>
      <c r="B475" s="1" t="n">
        <v>45838.72785879629</v>
      </c>
      <c r="C475" s="1" t="n">
        <v>46126</v>
      </c>
      <c r="D475" t="inlineStr">
        <is>
          <t>ÖSTERGÖTLANDS LÄN</t>
        </is>
      </c>
      <c r="E475" t="inlineStr">
        <is>
          <t>KINDA</t>
        </is>
      </c>
      <c r="G475" t="n">
        <v>2.4</v>
      </c>
      <c r="H475" t="n">
        <v>0</v>
      </c>
      <c r="I475" t="n">
        <v>0</v>
      </c>
      <c r="J475" t="n">
        <v>0</v>
      </c>
      <c r="K475" t="n">
        <v>0</v>
      </c>
      <c r="L475" t="n">
        <v>0</v>
      </c>
      <c r="M475" t="n">
        <v>0</v>
      </c>
      <c r="N475" t="n">
        <v>0</v>
      </c>
      <c r="O475" t="n">
        <v>0</v>
      </c>
      <c r="P475" t="n">
        <v>0</v>
      </c>
      <c r="Q475" t="n">
        <v>0</v>
      </c>
      <c r="R475" s="2" t="inlineStr"/>
    </row>
    <row r="476" ht="15" customHeight="1">
      <c r="A476" t="inlineStr">
        <is>
          <t>A 32809-2025</t>
        </is>
      </c>
      <c r="B476" s="1" t="n">
        <v>45839.50966435186</v>
      </c>
      <c r="C476" s="1" t="n">
        <v>46126</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33744-2025</t>
        </is>
      </c>
      <c r="B477" s="1" t="n">
        <v>45842.35203703704</v>
      </c>
      <c r="C477" s="1" t="n">
        <v>46126</v>
      </c>
      <c r="D477" t="inlineStr">
        <is>
          <t>ÖSTERGÖTLANDS LÄN</t>
        </is>
      </c>
      <c r="E477" t="inlineStr">
        <is>
          <t>KINDA</t>
        </is>
      </c>
      <c r="G477" t="n">
        <v>3.5</v>
      </c>
      <c r="H477" t="n">
        <v>0</v>
      </c>
      <c r="I477" t="n">
        <v>0</v>
      </c>
      <c r="J477" t="n">
        <v>0</v>
      </c>
      <c r="K477" t="n">
        <v>0</v>
      </c>
      <c r="L477" t="n">
        <v>0</v>
      </c>
      <c r="M477" t="n">
        <v>0</v>
      </c>
      <c r="N477" t="n">
        <v>0</v>
      </c>
      <c r="O477" t="n">
        <v>0</v>
      </c>
      <c r="P477" t="n">
        <v>0</v>
      </c>
      <c r="Q477" t="n">
        <v>0</v>
      </c>
      <c r="R477" s="2" t="inlineStr"/>
    </row>
    <row r="478" ht="15" customHeight="1">
      <c r="A478" t="inlineStr">
        <is>
          <t>A 24367-2023</t>
        </is>
      </c>
      <c r="B478" s="1" t="n">
        <v>45082.34861111111</v>
      </c>
      <c r="C478" s="1" t="n">
        <v>46126</v>
      </c>
      <c r="D478" t="inlineStr">
        <is>
          <t>ÖSTERGÖTLANDS LÄN</t>
        </is>
      </c>
      <c r="E478" t="inlineStr">
        <is>
          <t>KINDA</t>
        </is>
      </c>
      <c r="G478" t="n">
        <v>1.7</v>
      </c>
      <c r="H478" t="n">
        <v>0</v>
      </c>
      <c r="I478" t="n">
        <v>0</v>
      </c>
      <c r="J478" t="n">
        <v>0</v>
      </c>
      <c r="K478" t="n">
        <v>0</v>
      </c>
      <c r="L478" t="n">
        <v>0</v>
      </c>
      <c r="M478" t="n">
        <v>0</v>
      </c>
      <c r="N478" t="n">
        <v>0</v>
      </c>
      <c r="O478" t="n">
        <v>0</v>
      </c>
      <c r="P478" t="n">
        <v>0</v>
      </c>
      <c r="Q478" t="n">
        <v>0</v>
      </c>
      <c r="R478" s="2" t="inlineStr"/>
    </row>
    <row r="479" ht="15" customHeight="1">
      <c r="A479" t="inlineStr">
        <is>
          <t>A 33289-2025</t>
        </is>
      </c>
      <c r="B479" s="1" t="n">
        <v>45840.85745370371</v>
      </c>
      <c r="C479" s="1" t="n">
        <v>46126</v>
      </c>
      <c r="D479" t="inlineStr">
        <is>
          <t>ÖSTERGÖTLANDS LÄN</t>
        </is>
      </c>
      <c r="E479" t="inlineStr">
        <is>
          <t>KINDA</t>
        </is>
      </c>
      <c r="G479" t="n">
        <v>3.2</v>
      </c>
      <c r="H479" t="n">
        <v>0</v>
      </c>
      <c r="I479" t="n">
        <v>0</v>
      </c>
      <c r="J479" t="n">
        <v>0</v>
      </c>
      <c r="K479" t="n">
        <v>0</v>
      </c>
      <c r="L479" t="n">
        <v>0</v>
      </c>
      <c r="M479" t="n">
        <v>0</v>
      </c>
      <c r="N479" t="n">
        <v>0</v>
      </c>
      <c r="O479" t="n">
        <v>0</v>
      </c>
      <c r="P479" t="n">
        <v>0</v>
      </c>
      <c r="Q479" t="n">
        <v>0</v>
      </c>
      <c r="R479" s="2" t="inlineStr"/>
    </row>
    <row r="480" ht="15" customHeight="1">
      <c r="A480" t="inlineStr">
        <is>
          <t>A 33493-2025</t>
        </is>
      </c>
      <c r="B480" s="1" t="n">
        <v>45841.50858796296</v>
      </c>
      <c r="C480" s="1" t="n">
        <v>46126</v>
      </c>
      <c r="D480" t="inlineStr">
        <is>
          <t>ÖSTERGÖTLANDS LÄN</t>
        </is>
      </c>
      <c r="E480" t="inlineStr">
        <is>
          <t>KINDA</t>
        </is>
      </c>
      <c r="G480" t="n">
        <v>1.6</v>
      </c>
      <c r="H480" t="n">
        <v>0</v>
      </c>
      <c r="I480" t="n">
        <v>0</v>
      </c>
      <c r="J480" t="n">
        <v>0</v>
      </c>
      <c r="K480" t="n">
        <v>0</v>
      </c>
      <c r="L480" t="n">
        <v>0</v>
      </c>
      <c r="M480" t="n">
        <v>0</v>
      </c>
      <c r="N480" t="n">
        <v>0</v>
      </c>
      <c r="O480" t="n">
        <v>0</v>
      </c>
      <c r="P480" t="n">
        <v>0</v>
      </c>
      <c r="Q480" t="n">
        <v>0</v>
      </c>
      <c r="R480" s="2" t="inlineStr"/>
    </row>
    <row r="481" ht="15" customHeight="1">
      <c r="A481" t="inlineStr">
        <is>
          <t>A 33445-2025</t>
        </is>
      </c>
      <c r="B481" s="1" t="n">
        <v>45841.4630787037</v>
      </c>
      <c r="C481" s="1" t="n">
        <v>46126</v>
      </c>
      <c r="D481" t="inlineStr">
        <is>
          <t>ÖSTERGÖTLANDS LÄN</t>
        </is>
      </c>
      <c r="E481" t="inlineStr">
        <is>
          <t>KINDA</t>
        </is>
      </c>
      <c r="G481" t="n">
        <v>0.8</v>
      </c>
      <c r="H481" t="n">
        <v>0</v>
      </c>
      <c r="I481" t="n">
        <v>0</v>
      </c>
      <c r="J481" t="n">
        <v>0</v>
      </c>
      <c r="K481" t="n">
        <v>0</v>
      </c>
      <c r="L481" t="n">
        <v>0</v>
      </c>
      <c r="M481" t="n">
        <v>0</v>
      </c>
      <c r="N481" t="n">
        <v>0</v>
      </c>
      <c r="O481" t="n">
        <v>0</v>
      </c>
      <c r="P481" t="n">
        <v>0</v>
      </c>
      <c r="Q481" t="n">
        <v>0</v>
      </c>
      <c r="R481" s="2" t="inlineStr"/>
    </row>
    <row r="482" ht="15" customHeight="1">
      <c r="A482" t="inlineStr">
        <is>
          <t>A 33482-2025</t>
        </is>
      </c>
      <c r="B482" s="1" t="n">
        <v>45841.49861111111</v>
      </c>
      <c r="C482" s="1" t="n">
        <v>46126</v>
      </c>
      <c r="D482" t="inlineStr">
        <is>
          <t>ÖSTERGÖTLANDS LÄN</t>
        </is>
      </c>
      <c r="E482" t="inlineStr">
        <is>
          <t>KINDA</t>
        </is>
      </c>
      <c r="G482" t="n">
        <v>1.1</v>
      </c>
      <c r="H482" t="n">
        <v>0</v>
      </c>
      <c r="I482" t="n">
        <v>0</v>
      </c>
      <c r="J482" t="n">
        <v>0</v>
      </c>
      <c r="K482" t="n">
        <v>0</v>
      </c>
      <c r="L482" t="n">
        <v>0</v>
      </c>
      <c r="M482" t="n">
        <v>0</v>
      </c>
      <c r="N482" t="n">
        <v>0</v>
      </c>
      <c r="O482" t="n">
        <v>0</v>
      </c>
      <c r="P482" t="n">
        <v>0</v>
      </c>
      <c r="Q482" t="n">
        <v>0</v>
      </c>
      <c r="R482" s="2" t="inlineStr"/>
    </row>
    <row r="483" ht="15" customHeight="1">
      <c r="A483" t="inlineStr">
        <is>
          <t>A 12856-2025</t>
        </is>
      </c>
      <c r="B483" s="1" t="n">
        <v>45733.66236111111</v>
      </c>
      <c r="C483" s="1" t="n">
        <v>46126</v>
      </c>
      <c r="D483" t="inlineStr">
        <is>
          <t>ÖSTERGÖTLANDS LÄN</t>
        </is>
      </c>
      <c r="E483" t="inlineStr">
        <is>
          <t>KINDA</t>
        </is>
      </c>
      <c r="G483" t="n">
        <v>2.5</v>
      </c>
      <c r="H483" t="n">
        <v>0</v>
      </c>
      <c r="I483" t="n">
        <v>0</v>
      </c>
      <c r="J483" t="n">
        <v>0</v>
      </c>
      <c r="K483" t="n">
        <v>0</v>
      </c>
      <c r="L483" t="n">
        <v>0</v>
      </c>
      <c r="M483" t="n">
        <v>0</v>
      </c>
      <c r="N483" t="n">
        <v>0</v>
      </c>
      <c r="O483" t="n">
        <v>0</v>
      </c>
      <c r="P483" t="n">
        <v>0</v>
      </c>
      <c r="Q483" t="n">
        <v>0</v>
      </c>
      <c r="R483" s="2" t="inlineStr"/>
    </row>
    <row r="484" ht="15" customHeight="1">
      <c r="A484" t="inlineStr">
        <is>
          <t>A 29782-2025</t>
        </is>
      </c>
      <c r="B484" s="1" t="n">
        <v>45825.6502662037</v>
      </c>
      <c r="C484" s="1" t="n">
        <v>46126</v>
      </c>
      <c r="D484" t="inlineStr">
        <is>
          <t>ÖSTERGÖTLANDS LÄN</t>
        </is>
      </c>
      <c r="E484" t="inlineStr">
        <is>
          <t>KINDA</t>
        </is>
      </c>
      <c r="G484" t="n">
        <v>2.6</v>
      </c>
      <c r="H484" t="n">
        <v>0</v>
      </c>
      <c r="I484" t="n">
        <v>0</v>
      </c>
      <c r="J484" t="n">
        <v>0</v>
      </c>
      <c r="K484" t="n">
        <v>0</v>
      </c>
      <c r="L484" t="n">
        <v>0</v>
      </c>
      <c r="M484" t="n">
        <v>0</v>
      </c>
      <c r="N484" t="n">
        <v>0</v>
      </c>
      <c r="O484" t="n">
        <v>0</v>
      </c>
      <c r="P484" t="n">
        <v>0</v>
      </c>
      <c r="Q484" t="n">
        <v>0</v>
      </c>
      <c r="R484" s="2" t="inlineStr"/>
    </row>
    <row r="485" ht="15" customHeight="1">
      <c r="A485" t="inlineStr">
        <is>
          <t>A 56041-2024</t>
        </is>
      </c>
      <c r="B485" s="1" t="n">
        <v>45624.33611111111</v>
      </c>
      <c r="C485" s="1" t="n">
        <v>46126</v>
      </c>
      <c r="D485" t="inlineStr">
        <is>
          <t>ÖSTERGÖTLANDS LÄN</t>
        </is>
      </c>
      <c r="E485" t="inlineStr">
        <is>
          <t>KINDA</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34262-2025</t>
        </is>
      </c>
      <c r="B486" s="1" t="n">
        <v>45845</v>
      </c>
      <c r="C486" s="1" t="n">
        <v>46126</v>
      </c>
      <c r="D486" t="inlineStr">
        <is>
          <t>ÖSTERGÖTLANDS LÄN</t>
        </is>
      </c>
      <c r="E486" t="inlineStr">
        <is>
          <t>KINDA</t>
        </is>
      </c>
      <c r="G486" t="n">
        <v>1.3</v>
      </c>
      <c r="H486" t="n">
        <v>0</v>
      </c>
      <c r="I486" t="n">
        <v>0</v>
      </c>
      <c r="J486" t="n">
        <v>0</v>
      </c>
      <c r="K486" t="n">
        <v>0</v>
      </c>
      <c r="L486" t="n">
        <v>0</v>
      </c>
      <c r="M486" t="n">
        <v>0</v>
      </c>
      <c r="N486" t="n">
        <v>0</v>
      </c>
      <c r="O486" t="n">
        <v>0</v>
      </c>
      <c r="P486" t="n">
        <v>0</v>
      </c>
      <c r="Q486" t="n">
        <v>0</v>
      </c>
      <c r="R486" s="2" t="inlineStr"/>
    </row>
    <row r="487" ht="15" customHeight="1">
      <c r="A487" t="inlineStr">
        <is>
          <t>A 46262-2021</t>
        </is>
      </c>
      <c r="B487" s="1" t="n">
        <v>44442.55604166666</v>
      </c>
      <c r="C487" s="1" t="n">
        <v>46126</v>
      </c>
      <c r="D487" t="inlineStr">
        <is>
          <t>ÖSTERGÖTLANDS LÄN</t>
        </is>
      </c>
      <c r="E487" t="inlineStr">
        <is>
          <t>KINDA</t>
        </is>
      </c>
      <c r="G487" t="n">
        <v>1.5</v>
      </c>
      <c r="H487" t="n">
        <v>0</v>
      </c>
      <c r="I487" t="n">
        <v>0</v>
      </c>
      <c r="J487" t="n">
        <v>0</v>
      </c>
      <c r="K487" t="n">
        <v>0</v>
      </c>
      <c r="L487" t="n">
        <v>0</v>
      </c>
      <c r="M487" t="n">
        <v>0</v>
      </c>
      <c r="N487" t="n">
        <v>0</v>
      </c>
      <c r="O487" t="n">
        <v>0</v>
      </c>
      <c r="P487" t="n">
        <v>0</v>
      </c>
      <c r="Q487" t="n">
        <v>0</v>
      </c>
      <c r="R487" s="2" t="inlineStr"/>
    </row>
    <row r="488" ht="15" customHeight="1">
      <c r="A488" t="inlineStr">
        <is>
          <t>A 34123-2025</t>
        </is>
      </c>
      <c r="B488" s="1" t="n">
        <v>45845.52050925926</v>
      </c>
      <c r="C488" s="1" t="n">
        <v>46126</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35947-2023</t>
        </is>
      </c>
      <c r="B489" s="1" t="n">
        <v>45148.70342592592</v>
      </c>
      <c r="C489" s="1" t="n">
        <v>46126</v>
      </c>
      <c r="D489" t="inlineStr">
        <is>
          <t>ÖSTERGÖTLANDS LÄN</t>
        </is>
      </c>
      <c r="E489" t="inlineStr">
        <is>
          <t>KINDA</t>
        </is>
      </c>
      <c r="G489" t="n">
        <v>0.4</v>
      </c>
      <c r="H489" t="n">
        <v>0</v>
      </c>
      <c r="I489" t="n">
        <v>0</v>
      </c>
      <c r="J489" t="n">
        <v>0</v>
      </c>
      <c r="K489" t="n">
        <v>0</v>
      </c>
      <c r="L489" t="n">
        <v>0</v>
      </c>
      <c r="M489" t="n">
        <v>0</v>
      </c>
      <c r="N489" t="n">
        <v>0</v>
      </c>
      <c r="O489" t="n">
        <v>0</v>
      </c>
      <c r="P489" t="n">
        <v>0</v>
      </c>
      <c r="Q489" t="n">
        <v>0</v>
      </c>
      <c r="R489" s="2" t="inlineStr"/>
    </row>
    <row r="490" ht="15" customHeight="1">
      <c r="A490" t="inlineStr">
        <is>
          <t>A 59079-2025</t>
        </is>
      </c>
      <c r="B490" s="1" t="n">
        <v>45988.43372685185</v>
      </c>
      <c r="C490" s="1" t="n">
        <v>46126</v>
      </c>
      <c r="D490" t="inlineStr">
        <is>
          <t>ÖSTERGÖTLANDS LÄN</t>
        </is>
      </c>
      <c r="E490" t="inlineStr">
        <is>
          <t>KINDA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59040-2025</t>
        </is>
      </c>
      <c r="B491" s="1" t="n">
        <v>45988.36878472222</v>
      </c>
      <c r="C491" s="1" t="n">
        <v>46126</v>
      </c>
      <c r="D491" t="inlineStr">
        <is>
          <t>ÖSTERGÖTLANDS LÄN</t>
        </is>
      </c>
      <c r="E491" t="inlineStr">
        <is>
          <t>KINDA</t>
        </is>
      </c>
      <c r="F491" t="inlineStr">
        <is>
          <t>Sveaskog</t>
        </is>
      </c>
      <c r="G491" t="n">
        <v>9.1</v>
      </c>
      <c r="H491" t="n">
        <v>0</v>
      </c>
      <c r="I491" t="n">
        <v>0</v>
      </c>
      <c r="J491" t="n">
        <v>0</v>
      </c>
      <c r="K491" t="n">
        <v>0</v>
      </c>
      <c r="L491" t="n">
        <v>0</v>
      </c>
      <c r="M491" t="n">
        <v>0</v>
      </c>
      <c r="N491" t="n">
        <v>0</v>
      </c>
      <c r="O491" t="n">
        <v>0</v>
      </c>
      <c r="P491" t="n">
        <v>0</v>
      </c>
      <c r="Q491" t="n">
        <v>0</v>
      </c>
      <c r="R491" s="2" t="inlineStr"/>
    </row>
    <row r="492" ht="15" customHeight="1">
      <c r="A492" t="inlineStr">
        <is>
          <t>A 15349-2024</t>
        </is>
      </c>
      <c r="B492" s="1" t="n">
        <v>45400.7590162037</v>
      </c>
      <c r="C492" s="1" t="n">
        <v>46126</v>
      </c>
      <c r="D492" t="inlineStr">
        <is>
          <t>ÖSTERGÖTLANDS LÄN</t>
        </is>
      </c>
      <c r="E492" t="inlineStr">
        <is>
          <t>KINDA</t>
        </is>
      </c>
      <c r="G492" t="n">
        <v>0.8</v>
      </c>
      <c r="H492" t="n">
        <v>0</v>
      </c>
      <c r="I492" t="n">
        <v>0</v>
      </c>
      <c r="J492" t="n">
        <v>0</v>
      </c>
      <c r="K492" t="n">
        <v>0</v>
      </c>
      <c r="L492" t="n">
        <v>0</v>
      </c>
      <c r="M492" t="n">
        <v>0</v>
      </c>
      <c r="N492" t="n">
        <v>0</v>
      </c>
      <c r="O492" t="n">
        <v>0</v>
      </c>
      <c r="P492" t="n">
        <v>0</v>
      </c>
      <c r="Q492" t="n">
        <v>0</v>
      </c>
      <c r="R492" s="2" t="inlineStr"/>
    </row>
    <row r="493" ht="15" customHeight="1">
      <c r="A493" t="inlineStr">
        <is>
          <t>A 59081-2025</t>
        </is>
      </c>
      <c r="B493" s="1" t="n">
        <v>45988.43559027778</v>
      </c>
      <c r="C493" s="1" t="n">
        <v>46126</v>
      </c>
      <c r="D493" t="inlineStr">
        <is>
          <t>ÖSTERGÖTLANDS LÄN</t>
        </is>
      </c>
      <c r="E493" t="inlineStr">
        <is>
          <t>KINDA</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59103-2025</t>
        </is>
      </c>
      <c r="B494" s="1" t="n">
        <v>45988.46053240741</v>
      </c>
      <c r="C494" s="1" t="n">
        <v>46126</v>
      </c>
      <c r="D494" t="inlineStr">
        <is>
          <t>ÖSTERGÖTLANDS LÄN</t>
        </is>
      </c>
      <c r="E494" t="inlineStr">
        <is>
          <t>KINDA</t>
        </is>
      </c>
      <c r="F494" t="inlineStr">
        <is>
          <t>Sveaskog</t>
        </is>
      </c>
      <c r="G494" t="n">
        <v>5.5</v>
      </c>
      <c r="H494" t="n">
        <v>0</v>
      </c>
      <c r="I494" t="n">
        <v>0</v>
      </c>
      <c r="J494" t="n">
        <v>0</v>
      </c>
      <c r="K494" t="n">
        <v>0</v>
      </c>
      <c r="L494" t="n">
        <v>0</v>
      </c>
      <c r="M494" t="n">
        <v>0</v>
      </c>
      <c r="N494" t="n">
        <v>0</v>
      </c>
      <c r="O494" t="n">
        <v>0</v>
      </c>
      <c r="P494" t="n">
        <v>0</v>
      </c>
      <c r="Q494" t="n">
        <v>0</v>
      </c>
      <c r="R494" s="2" t="inlineStr"/>
    </row>
    <row r="495" ht="15" customHeight="1">
      <c r="A495" t="inlineStr">
        <is>
          <t>A 59100-2025</t>
        </is>
      </c>
      <c r="B495" s="1" t="n">
        <v>45988.45670138889</v>
      </c>
      <c r="C495" s="1" t="n">
        <v>46126</v>
      </c>
      <c r="D495" t="inlineStr">
        <is>
          <t>ÖSTERGÖTLANDS LÄN</t>
        </is>
      </c>
      <c r="E495" t="inlineStr">
        <is>
          <t>KINDA</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59101-2025</t>
        </is>
      </c>
      <c r="B496" s="1" t="n">
        <v>45988.45870370371</v>
      </c>
      <c r="C496" s="1" t="n">
        <v>46126</v>
      </c>
      <c r="D496" t="inlineStr">
        <is>
          <t>ÖSTERGÖTLANDS LÄN</t>
        </is>
      </c>
      <c r="E496" t="inlineStr">
        <is>
          <t>KINDA</t>
        </is>
      </c>
      <c r="F496" t="inlineStr">
        <is>
          <t>Sveaskog</t>
        </is>
      </c>
      <c r="G496" t="n">
        <v>5.6</v>
      </c>
      <c r="H496" t="n">
        <v>0</v>
      </c>
      <c r="I496" t="n">
        <v>0</v>
      </c>
      <c r="J496" t="n">
        <v>0</v>
      </c>
      <c r="K496" t="n">
        <v>0</v>
      </c>
      <c r="L496" t="n">
        <v>0</v>
      </c>
      <c r="M496" t="n">
        <v>0</v>
      </c>
      <c r="N496" t="n">
        <v>0</v>
      </c>
      <c r="O496" t="n">
        <v>0</v>
      </c>
      <c r="P496" t="n">
        <v>0</v>
      </c>
      <c r="Q496" t="n">
        <v>0</v>
      </c>
      <c r="R496" s="2" t="inlineStr"/>
    </row>
    <row r="497" ht="15" customHeight="1">
      <c r="A497" t="inlineStr">
        <is>
          <t>A 13845-2025</t>
        </is>
      </c>
      <c r="B497" s="1" t="n">
        <v>45737.5596875</v>
      </c>
      <c r="C497" s="1" t="n">
        <v>46126</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17480-2025</t>
        </is>
      </c>
      <c r="B498" s="1" t="n">
        <v>45757.48918981481</v>
      </c>
      <c r="C498" s="1" t="n">
        <v>46126</v>
      </c>
      <c r="D498" t="inlineStr">
        <is>
          <t>ÖSTERGÖTLANDS LÄN</t>
        </is>
      </c>
      <c r="E498" t="inlineStr">
        <is>
          <t>KINDA</t>
        </is>
      </c>
      <c r="F498" t="inlineStr">
        <is>
          <t>Allmännings- och besparingsskogar</t>
        </is>
      </c>
      <c r="G498" t="n">
        <v>2</v>
      </c>
      <c r="H498" t="n">
        <v>0</v>
      </c>
      <c r="I498" t="n">
        <v>0</v>
      </c>
      <c r="J498" t="n">
        <v>0</v>
      </c>
      <c r="K498" t="n">
        <v>0</v>
      </c>
      <c r="L498" t="n">
        <v>0</v>
      </c>
      <c r="M498" t="n">
        <v>0</v>
      </c>
      <c r="N498" t="n">
        <v>0</v>
      </c>
      <c r="O498" t="n">
        <v>0</v>
      </c>
      <c r="P498" t="n">
        <v>0</v>
      </c>
      <c r="Q498" t="n">
        <v>0</v>
      </c>
      <c r="R498" s="2" t="inlineStr"/>
    </row>
    <row r="499" ht="15" customHeight="1">
      <c r="A499" t="inlineStr">
        <is>
          <t>A 2969-2024</t>
        </is>
      </c>
      <c r="B499" s="1" t="n">
        <v>45315.66914351852</v>
      </c>
      <c r="C499" s="1" t="n">
        <v>46126</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23886-2023</t>
        </is>
      </c>
      <c r="B500" s="1" t="n">
        <v>45078.5274537037</v>
      </c>
      <c r="C500" s="1" t="n">
        <v>46126</v>
      </c>
      <c r="D500" t="inlineStr">
        <is>
          <t>ÖSTERGÖTLANDS LÄN</t>
        </is>
      </c>
      <c r="E500" t="inlineStr">
        <is>
          <t>KINDA</t>
        </is>
      </c>
      <c r="G500" t="n">
        <v>1.1</v>
      </c>
      <c r="H500" t="n">
        <v>0</v>
      </c>
      <c r="I500" t="n">
        <v>0</v>
      </c>
      <c r="J500" t="n">
        <v>0</v>
      </c>
      <c r="K500" t="n">
        <v>0</v>
      </c>
      <c r="L500" t="n">
        <v>0</v>
      </c>
      <c r="M500" t="n">
        <v>0</v>
      </c>
      <c r="N500" t="n">
        <v>0</v>
      </c>
      <c r="O500" t="n">
        <v>0</v>
      </c>
      <c r="P500" t="n">
        <v>0</v>
      </c>
      <c r="Q500" t="n">
        <v>0</v>
      </c>
      <c r="R500" s="2" t="inlineStr"/>
    </row>
    <row r="501" ht="15" customHeight="1">
      <c r="A501" t="inlineStr">
        <is>
          <t>A 60314-2025</t>
        </is>
      </c>
      <c r="B501" s="1" t="n">
        <v>45994.70809027777</v>
      </c>
      <c r="C501" s="1" t="n">
        <v>46126</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35982-2025</t>
        </is>
      </c>
      <c r="B502" s="1" t="n">
        <v>45863.44907407407</v>
      </c>
      <c r="C502" s="1" t="n">
        <v>46126</v>
      </c>
      <c r="D502" t="inlineStr">
        <is>
          <t>ÖSTERGÖTLANDS LÄN</t>
        </is>
      </c>
      <c r="E502" t="inlineStr">
        <is>
          <t>KINDA</t>
        </is>
      </c>
      <c r="G502" t="n">
        <v>2.8</v>
      </c>
      <c r="H502" t="n">
        <v>0</v>
      </c>
      <c r="I502" t="n">
        <v>0</v>
      </c>
      <c r="J502" t="n">
        <v>0</v>
      </c>
      <c r="K502" t="n">
        <v>0</v>
      </c>
      <c r="L502" t="n">
        <v>0</v>
      </c>
      <c r="M502" t="n">
        <v>0</v>
      </c>
      <c r="N502" t="n">
        <v>0</v>
      </c>
      <c r="O502" t="n">
        <v>0</v>
      </c>
      <c r="P502" t="n">
        <v>0</v>
      </c>
      <c r="Q502" t="n">
        <v>0</v>
      </c>
      <c r="R502" s="2" t="inlineStr"/>
    </row>
    <row r="503" ht="15" customHeight="1">
      <c r="A503" t="inlineStr">
        <is>
          <t>A 35986-2025</t>
        </is>
      </c>
      <c r="B503" s="1" t="n">
        <v>45863</v>
      </c>
      <c r="C503" s="1" t="n">
        <v>46126</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36173-2025</t>
        </is>
      </c>
      <c r="B504" s="1" t="n">
        <v>45866</v>
      </c>
      <c r="C504" s="1" t="n">
        <v>46126</v>
      </c>
      <c r="D504" t="inlineStr">
        <is>
          <t>ÖSTERGÖTLANDS LÄN</t>
        </is>
      </c>
      <c r="E504" t="inlineStr">
        <is>
          <t>KINDA</t>
        </is>
      </c>
      <c r="G504" t="n">
        <v>4.4</v>
      </c>
      <c r="H504" t="n">
        <v>0</v>
      </c>
      <c r="I504" t="n">
        <v>0</v>
      </c>
      <c r="J504" t="n">
        <v>0</v>
      </c>
      <c r="K504" t="n">
        <v>0</v>
      </c>
      <c r="L504" t="n">
        <v>0</v>
      </c>
      <c r="M504" t="n">
        <v>0</v>
      </c>
      <c r="N504" t="n">
        <v>0</v>
      </c>
      <c r="O504" t="n">
        <v>0</v>
      </c>
      <c r="P504" t="n">
        <v>0</v>
      </c>
      <c r="Q504" t="n">
        <v>0</v>
      </c>
      <c r="R504" s="2" t="inlineStr"/>
    </row>
    <row r="505" ht="15" customHeight="1">
      <c r="A505" t="inlineStr">
        <is>
          <t>A 36000-2025</t>
        </is>
      </c>
      <c r="B505" s="1" t="n">
        <v>45863.51805555556</v>
      </c>
      <c r="C505" s="1" t="n">
        <v>46126</v>
      </c>
      <c r="D505" t="inlineStr">
        <is>
          <t>ÖSTERGÖTLANDS LÄN</t>
        </is>
      </c>
      <c r="E505" t="inlineStr">
        <is>
          <t>KINDA</t>
        </is>
      </c>
      <c r="G505" t="n">
        <v>1.1</v>
      </c>
      <c r="H505" t="n">
        <v>0</v>
      </c>
      <c r="I505" t="n">
        <v>0</v>
      </c>
      <c r="J505" t="n">
        <v>0</v>
      </c>
      <c r="K505" t="n">
        <v>0</v>
      </c>
      <c r="L505" t="n">
        <v>0</v>
      </c>
      <c r="M505" t="n">
        <v>0</v>
      </c>
      <c r="N505" t="n">
        <v>0</v>
      </c>
      <c r="O505" t="n">
        <v>0</v>
      </c>
      <c r="P505" t="n">
        <v>0</v>
      </c>
      <c r="Q505" t="n">
        <v>0</v>
      </c>
      <c r="R505" s="2" t="inlineStr"/>
    </row>
    <row r="506" ht="15" customHeight="1">
      <c r="A506" t="inlineStr">
        <is>
          <t>A 22002-2025</t>
        </is>
      </c>
      <c r="B506" s="1" t="n">
        <v>45784.70443287037</v>
      </c>
      <c r="C506" s="1" t="n">
        <v>46126</v>
      </c>
      <c r="D506" t="inlineStr">
        <is>
          <t>ÖSTERGÖTLANDS LÄN</t>
        </is>
      </c>
      <c r="E506" t="inlineStr">
        <is>
          <t>KINDA</t>
        </is>
      </c>
      <c r="G506" t="n">
        <v>3.7</v>
      </c>
      <c r="H506" t="n">
        <v>0</v>
      </c>
      <c r="I506" t="n">
        <v>0</v>
      </c>
      <c r="J506" t="n">
        <v>0</v>
      </c>
      <c r="K506" t="n">
        <v>0</v>
      </c>
      <c r="L506" t="n">
        <v>0</v>
      </c>
      <c r="M506" t="n">
        <v>0</v>
      </c>
      <c r="N506" t="n">
        <v>0</v>
      </c>
      <c r="O506" t="n">
        <v>0</v>
      </c>
      <c r="P506" t="n">
        <v>0</v>
      </c>
      <c r="Q506" t="n">
        <v>0</v>
      </c>
      <c r="R506" s="2" t="inlineStr"/>
    </row>
    <row r="507" ht="15" customHeight="1">
      <c r="A507" t="inlineStr">
        <is>
          <t>A 35975-2025</t>
        </is>
      </c>
      <c r="B507" s="1" t="n">
        <v>45863.43395833333</v>
      </c>
      <c r="C507" s="1" t="n">
        <v>46126</v>
      </c>
      <c r="D507" t="inlineStr">
        <is>
          <t>ÖSTERGÖTLANDS LÄN</t>
        </is>
      </c>
      <c r="E507" t="inlineStr">
        <is>
          <t>KINDA</t>
        </is>
      </c>
      <c r="G507" t="n">
        <v>4.9</v>
      </c>
      <c r="H507" t="n">
        <v>0</v>
      </c>
      <c r="I507" t="n">
        <v>0</v>
      </c>
      <c r="J507" t="n">
        <v>0</v>
      </c>
      <c r="K507" t="n">
        <v>0</v>
      </c>
      <c r="L507" t="n">
        <v>0</v>
      </c>
      <c r="M507" t="n">
        <v>0</v>
      </c>
      <c r="N507" t="n">
        <v>0</v>
      </c>
      <c r="O507" t="n">
        <v>0</v>
      </c>
      <c r="P507" t="n">
        <v>0</v>
      </c>
      <c r="Q507" t="n">
        <v>0</v>
      </c>
      <c r="R507" s="2" t="inlineStr"/>
    </row>
    <row r="508" ht="15" customHeight="1">
      <c r="A508" t="inlineStr">
        <is>
          <t>A 22443-2025</t>
        </is>
      </c>
      <c r="B508" s="1" t="n">
        <v>45786</v>
      </c>
      <c r="C508" s="1" t="n">
        <v>46126</v>
      </c>
      <c r="D508" t="inlineStr">
        <is>
          <t>ÖSTERGÖTLANDS LÄN</t>
        </is>
      </c>
      <c r="E508" t="inlineStr">
        <is>
          <t>KINDA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36172-2025</t>
        </is>
      </c>
      <c r="B509" s="1" t="n">
        <v>45866</v>
      </c>
      <c r="C509" s="1" t="n">
        <v>46126</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59462-2025</t>
        </is>
      </c>
      <c r="B510" s="1" t="n">
        <v>45989</v>
      </c>
      <c r="C510" s="1" t="n">
        <v>46126</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17666-2025</t>
        </is>
      </c>
      <c r="B511" s="1" t="n">
        <v>45758.36324074074</v>
      </c>
      <c r="C511" s="1" t="n">
        <v>46126</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61571-2025</t>
        </is>
      </c>
      <c r="B512" s="1" t="n">
        <v>46002.30209490741</v>
      </c>
      <c r="C512" s="1" t="n">
        <v>46126</v>
      </c>
      <c r="D512" t="inlineStr">
        <is>
          <t>ÖSTERGÖTLANDS LÄN</t>
        </is>
      </c>
      <c r="E512" t="inlineStr">
        <is>
          <t>KINDA</t>
        </is>
      </c>
      <c r="G512" t="n">
        <v>3</v>
      </c>
      <c r="H512" t="n">
        <v>0</v>
      </c>
      <c r="I512" t="n">
        <v>0</v>
      </c>
      <c r="J512" t="n">
        <v>0</v>
      </c>
      <c r="K512" t="n">
        <v>0</v>
      </c>
      <c r="L512" t="n">
        <v>0</v>
      </c>
      <c r="M512" t="n">
        <v>0</v>
      </c>
      <c r="N512" t="n">
        <v>0</v>
      </c>
      <c r="O512" t="n">
        <v>0</v>
      </c>
      <c r="P512" t="n">
        <v>0</v>
      </c>
      <c r="Q512" t="n">
        <v>0</v>
      </c>
      <c r="R512" s="2" t="inlineStr"/>
    </row>
    <row r="513" ht="15" customHeight="1">
      <c r="A513" t="inlineStr">
        <is>
          <t>A 61567-2025</t>
        </is>
      </c>
      <c r="B513" s="1" t="n">
        <v>46002.24141203704</v>
      </c>
      <c r="C513" s="1" t="n">
        <v>46126</v>
      </c>
      <c r="D513" t="inlineStr">
        <is>
          <t>ÖSTERGÖTLANDS LÄN</t>
        </is>
      </c>
      <c r="E513" t="inlineStr">
        <is>
          <t>KINDA</t>
        </is>
      </c>
      <c r="G513" t="n">
        <v>5.7</v>
      </c>
      <c r="H513" t="n">
        <v>0</v>
      </c>
      <c r="I513" t="n">
        <v>0</v>
      </c>
      <c r="J513" t="n">
        <v>0</v>
      </c>
      <c r="K513" t="n">
        <v>0</v>
      </c>
      <c r="L513" t="n">
        <v>0</v>
      </c>
      <c r="M513" t="n">
        <v>0</v>
      </c>
      <c r="N513" t="n">
        <v>0</v>
      </c>
      <c r="O513" t="n">
        <v>0</v>
      </c>
      <c r="P513" t="n">
        <v>0</v>
      </c>
      <c r="Q513" t="n">
        <v>0</v>
      </c>
      <c r="R513" s="2" t="inlineStr"/>
    </row>
    <row r="514" ht="15" customHeight="1">
      <c r="A514" t="inlineStr">
        <is>
          <t>A 61742-2025</t>
        </is>
      </c>
      <c r="B514" s="1" t="n">
        <v>46002.60186342592</v>
      </c>
      <c r="C514" s="1" t="n">
        <v>46126</v>
      </c>
      <c r="D514" t="inlineStr">
        <is>
          <t>ÖSTERGÖTLANDS LÄN</t>
        </is>
      </c>
      <c r="E514" t="inlineStr">
        <is>
          <t>KINDA</t>
        </is>
      </c>
      <c r="G514" t="n">
        <v>2.3</v>
      </c>
      <c r="H514" t="n">
        <v>0</v>
      </c>
      <c r="I514" t="n">
        <v>0</v>
      </c>
      <c r="J514" t="n">
        <v>0</v>
      </c>
      <c r="K514" t="n">
        <v>0</v>
      </c>
      <c r="L514" t="n">
        <v>0</v>
      </c>
      <c r="M514" t="n">
        <v>0</v>
      </c>
      <c r="N514" t="n">
        <v>0</v>
      </c>
      <c r="O514" t="n">
        <v>0</v>
      </c>
      <c r="P514" t="n">
        <v>0</v>
      </c>
      <c r="Q514" t="n">
        <v>0</v>
      </c>
      <c r="R514" s="2" t="inlineStr"/>
    </row>
    <row r="515" ht="15" customHeight="1">
      <c r="A515" t="inlineStr">
        <is>
          <t>A 61776-2025</t>
        </is>
      </c>
      <c r="B515" s="1" t="n">
        <v>46002.6596875</v>
      </c>
      <c r="C515" s="1" t="n">
        <v>46126</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61774-2025</t>
        </is>
      </c>
      <c r="B516" s="1" t="n">
        <v>46002.65667824074</v>
      </c>
      <c r="C516" s="1" t="n">
        <v>46126</v>
      </c>
      <c r="D516" t="inlineStr">
        <is>
          <t>ÖSTERGÖTLANDS LÄN</t>
        </is>
      </c>
      <c r="E516" t="inlineStr">
        <is>
          <t>KINDA</t>
        </is>
      </c>
      <c r="G516" t="n">
        <v>1.9</v>
      </c>
      <c r="H516" t="n">
        <v>0</v>
      </c>
      <c r="I516" t="n">
        <v>0</v>
      </c>
      <c r="J516" t="n">
        <v>0</v>
      </c>
      <c r="K516" t="n">
        <v>0</v>
      </c>
      <c r="L516" t="n">
        <v>0</v>
      </c>
      <c r="M516" t="n">
        <v>0</v>
      </c>
      <c r="N516" t="n">
        <v>0</v>
      </c>
      <c r="O516" t="n">
        <v>0</v>
      </c>
      <c r="P516" t="n">
        <v>0</v>
      </c>
      <c r="Q516" t="n">
        <v>0</v>
      </c>
      <c r="R516" s="2" t="inlineStr"/>
    </row>
    <row r="517" ht="15" customHeight="1">
      <c r="A517" t="inlineStr">
        <is>
          <t>A 61572-2025</t>
        </is>
      </c>
      <c r="B517" s="1" t="n">
        <v>46002.30625</v>
      </c>
      <c r="C517" s="1" t="n">
        <v>46126</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61779-2025</t>
        </is>
      </c>
      <c r="B518" s="1" t="n">
        <v>46002.66668981482</v>
      </c>
      <c r="C518" s="1" t="n">
        <v>46126</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37014-2025</t>
        </is>
      </c>
      <c r="B519" s="1" t="n">
        <v>45874</v>
      </c>
      <c r="C519" s="1" t="n">
        <v>46126</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57455-2021</t>
        </is>
      </c>
      <c r="B520" s="1" t="n">
        <v>44483.65453703704</v>
      </c>
      <c r="C520" s="1" t="n">
        <v>46126</v>
      </c>
      <c r="D520" t="inlineStr">
        <is>
          <t>ÖSTERGÖTLANDS LÄN</t>
        </is>
      </c>
      <c r="E520" t="inlineStr">
        <is>
          <t>KINDA</t>
        </is>
      </c>
      <c r="G520" t="n">
        <v>1.8</v>
      </c>
      <c r="H520" t="n">
        <v>0</v>
      </c>
      <c r="I520" t="n">
        <v>0</v>
      </c>
      <c r="J520" t="n">
        <v>0</v>
      </c>
      <c r="K520" t="n">
        <v>0</v>
      </c>
      <c r="L520" t="n">
        <v>0</v>
      </c>
      <c r="M520" t="n">
        <v>0</v>
      </c>
      <c r="N520" t="n">
        <v>0</v>
      </c>
      <c r="O520" t="n">
        <v>0</v>
      </c>
      <c r="P520" t="n">
        <v>0</v>
      </c>
      <c r="Q520" t="n">
        <v>0</v>
      </c>
      <c r="R520" s="2" t="inlineStr"/>
    </row>
    <row r="521" ht="15" customHeight="1">
      <c r="A521" t="inlineStr">
        <is>
          <t>A 66100-2021</t>
        </is>
      </c>
      <c r="B521" s="1" t="n">
        <v>44517</v>
      </c>
      <c r="C521" s="1" t="n">
        <v>46126</v>
      </c>
      <c r="D521" t="inlineStr">
        <is>
          <t>ÖSTERGÖTLANDS LÄN</t>
        </is>
      </c>
      <c r="E521" t="inlineStr">
        <is>
          <t>KINDA</t>
        </is>
      </c>
      <c r="G521" t="n">
        <v>2.5</v>
      </c>
      <c r="H521" t="n">
        <v>0</v>
      </c>
      <c r="I521" t="n">
        <v>0</v>
      </c>
      <c r="J521" t="n">
        <v>0</v>
      </c>
      <c r="K521" t="n">
        <v>0</v>
      </c>
      <c r="L521" t="n">
        <v>0</v>
      </c>
      <c r="M521" t="n">
        <v>0</v>
      </c>
      <c r="N521" t="n">
        <v>0</v>
      </c>
      <c r="O521" t="n">
        <v>0</v>
      </c>
      <c r="P521" t="n">
        <v>0</v>
      </c>
      <c r="Q521" t="n">
        <v>0</v>
      </c>
      <c r="R521" s="2" t="inlineStr"/>
    </row>
    <row r="522" ht="15" customHeight="1">
      <c r="A522" t="inlineStr">
        <is>
          <t>A 61705-2025</t>
        </is>
      </c>
      <c r="B522" s="1" t="n">
        <v>46002.55034722222</v>
      </c>
      <c r="C522" s="1" t="n">
        <v>46126</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5184-2023</t>
        </is>
      </c>
      <c r="B523" s="1" t="n">
        <v>44959.3233912037</v>
      </c>
      <c r="C523" s="1" t="n">
        <v>46126</v>
      </c>
      <c r="D523" t="inlineStr">
        <is>
          <t>ÖSTERGÖTLANDS LÄN</t>
        </is>
      </c>
      <c r="E523" t="inlineStr">
        <is>
          <t>KINDA</t>
        </is>
      </c>
      <c r="G523" t="n">
        <v>3.4</v>
      </c>
      <c r="H523" t="n">
        <v>0</v>
      </c>
      <c r="I523" t="n">
        <v>0</v>
      </c>
      <c r="J523" t="n">
        <v>0</v>
      </c>
      <c r="K523" t="n">
        <v>0</v>
      </c>
      <c r="L523" t="n">
        <v>0</v>
      </c>
      <c r="M523" t="n">
        <v>0</v>
      </c>
      <c r="N523" t="n">
        <v>0</v>
      </c>
      <c r="O523" t="n">
        <v>0</v>
      </c>
      <c r="P523" t="n">
        <v>0</v>
      </c>
      <c r="Q523" t="n">
        <v>0</v>
      </c>
      <c r="R523" s="2" t="inlineStr"/>
    </row>
    <row r="524" ht="15" customHeight="1">
      <c r="A524" t="inlineStr">
        <is>
          <t>A 61901-2025</t>
        </is>
      </c>
      <c r="B524" s="1" t="n">
        <v>46003.46927083333</v>
      </c>
      <c r="C524" s="1" t="n">
        <v>46126</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37069-2025</t>
        </is>
      </c>
      <c r="B525" s="1" t="n">
        <v>45875</v>
      </c>
      <c r="C525" s="1" t="n">
        <v>46126</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62008-2025</t>
        </is>
      </c>
      <c r="B526" s="1" t="n">
        <v>46003.66984953704</v>
      </c>
      <c r="C526" s="1" t="n">
        <v>46126</v>
      </c>
      <c r="D526" t="inlineStr">
        <is>
          <t>ÖSTERGÖTLANDS LÄN</t>
        </is>
      </c>
      <c r="E526" t="inlineStr">
        <is>
          <t>KINDA</t>
        </is>
      </c>
      <c r="G526" t="n">
        <v>0.6</v>
      </c>
      <c r="H526" t="n">
        <v>0</v>
      </c>
      <c r="I526" t="n">
        <v>0</v>
      </c>
      <c r="J526" t="n">
        <v>0</v>
      </c>
      <c r="K526" t="n">
        <v>0</v>
      </c>
      <c r="L526" t="n">
        <v>0</v>
      </c>
      <c r="M526" t="n">
        <v>0</v>
      </c>
      <c r="N526" t="n">
        <v>0</v>
      </c>
      <c r="O526" t="n">
        <v>0</v>
      </c>
      <c r="P526" t="n">
        <v>0</v>
      </c>
      <c r="Q526" t="n">
        <v>0</v>
      </c>
      <c r="R526" s="2" t="inlineStr"/>
    </row>
    <row r="527" ht="15" customHeight="1">
      <c r="A527" t="inlineStr">
        <is>
          <t>A 37670-2025</t>
        </is>
      </c>
      <c r="B527" s="1" t="n">
        <v>45880</v>
      </c>
      <c r="C527" s="1" t="n">
        <v>46126</v>
      </c>
      <c r="D527" t="inlineStr">
        <is>
          <t>ÖSTERGÖTLANDS LÄN</t>
        </is>
      </c>
      <c r="E527" t="inlineStr">
        <is>
          <t>KINDA</t>
        </is>
      </c>
      <c r="G527" t="n">
        <v>1.2</v>
      </c>
      <c r="H527" t="n">
        <v>0</v>
      </c>
      <c r="I527" t="n">
        <v>0</v>
      </c>
      <c r="J527" t="n">
        <v>0</v>
      </c>
      <c r="K527" t="n">
        <v>0</v>
      </c>
      <c r="L527" t="n">
        <v>0</v>
      </c>
      <c r="M527" t="n">
        <v>0</v>
      </c>
      <c r="N527" t="n">
        <v>0</v>
      </c>
      <c r="O527" t="n">
        <v>0</v>
      </c>
      <c r="P527" t="n">
        <v>0</v>
      </c>
      <c r="Q527" t="n">
        <v>0</v>
      </c>
      <c r="R527" s="2" t="inlineStr"/>
    </row>
    <row r="528" ht="15" customHeight="1">
      <c r="A528" t="inlineStr">
        <is>
          <t>A 19296-2023</t>
        </is>
      </c>
      <c r="B528" s="1" t="n">
        <v>45048</v>
      </c>
      <c r="C528" s="1" t="n">
        <v>46126</v>
      </c>
      <c r="D528" t="inlineStr">
        <is>
          <t>ÖSTERGÖTLANDS LÄN</t>
        </is>
      </c>
      <c r="E528" t="inlineStr">
        <is>
          <t>KINDA</t>
        </is>
      </c>
      <c r="G528" t="n">
        <v>1.5</v>
      </c>
      <c r="H528" t="n">
        <v>0</v>
      </c>
      <c r="I528" t="n">
        <v>0</v>
      </c>
      <c r="J528" t="n">
        <v>0</v>
      </c>
      <c r="K528" t="n">
        <v>0</v>
      </c>
      <c r="L528" t="n">
        <v>0</v>
      </c>
      <c r="M528" t="n">
        <v>0</v>
      </c>
      <c r="N528" t="n">
        <v>0</v>
      </c>
      <c r="O528" t="n">
        <v>0</v>
      </c>
      <c r="P528" t="n">
        <v>0</v>
      </c>
      <c r="Q528" t="n">
        <v>0</v>
      </c>
      <c r="R528" s="2" t="inlineStr"/>
    </row>
    <row r="529" ht="15" customHeight="1">
      <c r="A529" t="inlineStr">
        <is>
          <t>A 61908-2025</t>
        </is>
      </c>
      <c r="B529" s="1" t="n">
        <v>46003.47145833333</v>
      </c>
      <c r="C529" s="1" t="n">
        <v>46126</v>
      </c>
      <c r="D529" t="inlineStr">
        <is>
          <t>ÖSTERGÖTLANDS LÄN</t>
        </is>
      </c>
      <c r="E529" t="inlineStr">
        <is>
          <t>KINDA</t>
        </is>
      </c>
      <c r="G529" t="n">
        <v>6.7</v>
      </c>
      <c r="H529" t="n">
        <v>0</v>
      </c>
      <c r="I529" t="n">
        <v>0</v>
      </c>
      <c r="J529" t="n">
        <v>0</v>
      </c>
      <c r="K529" t="n">
        <v>0</v>
      </c>
      <c r="L529" t="n">
        <v>0</v>
      </c>
      <c r="M529" t="n">
        <v>0</v>
      </c>
      <c r="N529" t="n">
        <v>0</v>
      </c>
      <c r="O529" t="n">
        <v>0</v>
      </c>
      <c r="P529" t="n">
        <v>0</v>
      </c>
      <c r="Q529" t="n">
        <v>0</v>
      </c>
      <c r="R529" s="2" t="inlineStr"/>
    </row>
    <row r="530" ht="15" customHeight="1">
      <c r="A530" t="inlineStr">
        <is>
          <t>A 62697-2025</t>
        </is>
      </c>
      <c r="B530" s="1" t="n">
        <v>46008.48805555556</v>
      </c>
      <c r="C530" s="1" t="n">
        <v>46126</v>
      </c>
      <c r="D530" t="inlineStr">
        <is>
          <t>ÖSTERGÖTLANDS LÄN</t>
        </is>
      </c>
      <c r="E530" t="inlineStr">
        <is>
          <t>KINDA</t>
        </is>
      </c>
      <c r="G530" t="n">
        <v>2.9</v>
      </c>
      <c r="H530" t="n">
        <v>0</v>
      </c>
      <c r="I530" t="n">
        <v>0</v>
      </c>
      <c r="J530" t="n">
        <v>0</v>
      </c>
      <c r="K530" t="n">
        <v>0</v>
      </c>
      <c r="L530" t="n">
        <v>0</v>
      </c>
      <c r="M530" t="n">
        <v>0</v>
      </c>
      <c r="N530" t="n">
        <v>0</v>
      </c>
      <c r="O530" t="n">
        <v>0</v>
      </c>
      <c r="P530" t="n">
        <v>0</v>
      </c>
      <c r="Q530" t="n">
        <v>0</v>
      </c>
      <c r="R530" s="2" t="inlineStr"/>
    </row>
    <row r="531" ht="15" customHeight="1">
      <c r="A531" t="inlineStr">
        <is>
          <t>A 62444-2025</t>
        </is>
      </c>
      <c r="B531" s="1" t="n">
        <v>46007.48309027778</v>
      </c>
      <c r="C531" s="1" t="n">
        <v>46126</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62443-2025</t>
        </is>
      </c>
      <c r="B532" s="1" t="n">
        <v>46007.48135416667</v>
      </c>
      <c r="C532" s="1" t="n">
        <v>46126</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38134-2025</t>
        </is>
      </c>
      <c r="B533" s="1" t="n">
        <v>45882.56501157407</v>
      </c>
      <c r="C533" s="1" t="n">
        <v>46126</v>
      </c>
      <c r="D533" t="inlineStr">
        <is>
          <t>ÖSTERGÖTLANDS LÄN</t>
        </is>
      </c>
      <c r="E533" t="inlineStr">
        <is>
          <t>KINDA</t>
        </is>
      </c>
      <c r="G533" t="n">
        <v>2</v>
      </c>
      <c r="H533" t="n">
        <v>0</v>
      </c>
      <c r="I533" t="n">
        <v>0</v>
      </c>
      <c r="J533" t="n">
        <v>0</v>
      </c>
      <c r="K533" t="n">
        <v>0</v>
      </c>
      <c r="L533" t="n">
        <v>0</v>
      </c>
      <c r="M533" t="n">
        <v>0</v>
      </c>
      <c r="N533" t="n">
        <v>0</v>
      </c>
      <c r="O533" t="n">
        <v>0</v>
      </c>
      <c r="P533" t="n">
        <v>0</v>
      </c>
      <c r="Q533" t="n">
        <v>0</v>
      </c>
      <c r="R533" s="2" t="inlineStr"/>
    </row>
    <row r="534" ht="15" customHeight="1">
      <c r="A534" t="inlineStr">
        <is>
          <t>A 62703-2025</t>
        </is>
      </c>
      <c r="B534" s="1" t="n">
        <v>46008.49290509259</v>
      </c>
      <c r="C534" s="1" t="n">
        <v>46126</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62707-2025</t>
        </is>
      </c>
      <c r="B535" s="1" t="n">
        <v>46008.50423611111</v>
      </c>
      <c r="C535" s="1" t="n">
        <v>46126</v>
      </c>
      <c r="D535" t="inlineStr">
        <is>
          <t>ÖSTERGÖTLANDS LÄN</t>
        </is>
      </c>
      <c r="E535" t="inlineStr">
        <is>
          <t>KINDA</t>
        </is>
      </c>
      <c r="F535" t="inlineStr">
        <is>
          <t>Kommuner</t>
        </is>
      </c>
      <c r="G535" t="n">
        <v>0.9</v>
      </c>
      <c r="H535" t="n">
        <v>0</v>
      </c>
      <c r="I535" t="n">
        <v>0</v>
      </c>
      <c r="J535" t="n">
        <v>0</v>
      </c>
      <c r="K535" t="n">
        <v>0</v>
      </c>
      <c r="L535" t="n">
        <v>0</v>
      </c>
      <c r="M535" t="n">
        <v>0</v>
      </c>
      <c r="N535" t="n">
        <v>0</v>
      </c>
      <c r="O535" t="n">
        <v>0</v>
      </c>
      <c r="P535" t="n">
        <v>0</v>
      </c>
      <c r="Q535" t="n">
        <v>0</v>
      </c>
      <c r="R535" s="2" t="inlineStr"/>
    </row>
    <row r="536" ht="15" customHeight="1">
      <c r="A536" t="inlineStr">
        <is>
          <t>A 38138-2025</t>
        </is>
      </c>
      <c r="B536" s="1" t="n">
        <v>45882.57047453704</v>
      </c>
      <c r="C536" s="1" t="n">
        <v>46126</v>
      </c>
      <c r="D536" t="inlineStr">
        <is>
          <t>ÖSTERGÖTLANDS LÄN</t>
        </is>
      </c>
      <c r="E536" t="inlineStr">
        <is>
          <t>KINDA</t>
        </is>
      </c>
      <c r="G536" t="n">
        <v>2.2</v>
      </c>
      <c r="H536" t="n">
        <v>0</v>
      </c>
      <c r="I536" t="n">
        <v>0</v>
      </c>
      <c r="J536" t="n">
        <v>0</v>
      </c>
      <c r="K536" t="n">
        <v>0</v>
      </c>
      <c r="L536" t="n">
        <v>0</v>
      </c>
      <c r="M536" t="n">
        <v>0</v>
      </c>
      <c r="N536" t="n">
        <v>0</v>
      </c>
      <c r="O536" t="n">
        <v>0</v>
      </c>
      <c r="P536" t="n">
        <v>0</v>
      </c>
      <c r="Q536" t="n">
        <v>0</v>
      </c>
      <c r="R536" s="2" t="inlineStr"/>
    </row>
    <row r="537" ht="15" customHeight="1">
      <c r="A537" t="inlineStr">
        <is>
          <t>A 24075-2025</t>
        </is>
      </c>
      <c r="B537" s="1" t="n">
        <v>45796.54888888889</v>
      </c>
      <c r="C537" s="1" t="n">
        <v>46126</v>
      </c>
      <c r="D537" t="inlineStr">
        <is>
          <t>ÖSTERGÖTLANDS LÄN</t>
        </is>
      </c>
      <c r="E537" t="inlineStr">
        <is>
          <t>KINDA</t>
        </is>
      </c>
      <c r="G537" t="n">
        <v>1.7</v>
      </c>
      <c r="H537" t="n">
        <v>0</v>
      </c>
      <c r="I537" t="n">
        <v>0</v>
      </c>
      <c r="J537" t="n">
        <v>0</v>
      </c>
      <c r="K537" t="n">
        <v>0</v>
      </c>
      <c r="L537" t="n">
        <v>0</v>
      </c>
      <c r="M537" t="n">
        <v>0</v>
      </c>
      <c r="N537" t="n">
        <v>0</v>
      </c>
      <c r="O537" t="n">
        <v>0</v>
      </c>
      <c r="P537" t="n">
        <v>0</v>
      </c>
      <c r="Q537" t="n">
        <v>0</v>
      </c>
      <c r="R537" s="2" t="inlineStr"/>
    </row>
    <row r="538" ht="15" customHeight="1">
      <c r="A538" t="inlineStr">
        <is>
          <t>A 62415-2025</t>
        </is>
      </c>
      <c r="B538" s="1" t="n">
        <v>46007.44498842592</v>
      </c>
      <c r="C538" s="1" t="n">
        <v>46126</v>
      </c>
      <c r="D538" t="inlineStr">
        <is>
          <t>ÖSTERGÖTLANDS LÄN</t>
        </is>
      </c>
      <c r="E538" t="inlineStr">
        <is>
          <t>KINDA</t>
        </is>
      </c>
      <c r="G538" t="n">
        <v>0.4</v>
      </c>
      <c r="H538" t="n">
        <v>0</v>
      </c>
      <c r="I538" t="n">
        <v>0</v>
      </c>
      <c r="J538" t="n">
        <v>0</v>
      </c>
      <c r="K538" t="n">
        <v>0</v>
      </c>
      <c r="L538" t="n">
        <v>0</v>
      </c>
      <c r="M538" t="n">
        <v>0</v>
      </c>
      <c r="N538" t="n">
        <v>0</v>
      </c>
      <c r="O538" t="n">
        <v>0</v>
      </c>
      <c r="P538" t="n">
        <v>0</v>
      </c>
      <c r="Q538" t="n">
        <v>0</v>
      </c>
      <c r="R538" s="2" t="inlineStr"/>
    </row>
    <row r="539" ht="15" customHeight="1">
      <c r="A539" t="inlineStr">
        <is>
          <t>A 62694-2025</t>
        </is>
      </c>
      <c r="B539" s="1" t="n">
        <v>46008.4852662037</v>
      </c>
      <c r="C539" s="1" t="n">
        <v>46126</v>
      </c>
      <c r="D539" t="inlineStr">
        <is>
          <t>ÖSTERGÖTLANDS LÄN</t>
        </is>
      </c>
      <c r="E539" t="inlineStr">
        <is>
          <t>KINDA</t>
        </is>
      </c>
      <c r="G539" t="n">
        <v>5</v>
      </c>
      <c r="H539" t="n">
        <v>0</v>
      </c>
      <c r="I539" t="n">
        <v>0</v>
      </c>
      <c r="J539" t="n">
        <v>0</v>
      </c>
      <c r="K539" t="n">
        <v>0</v>
      </c>
      <c r="L539" t="n">
        <v>0</v>
      </c>
      <c r="M539" t="n">
        <v>0</v>
      </c>
      <c r="N539" t="n">
        <v>0</v>
      </c>
      <c r="O539" t="n">
        <v>0</v>
      </c>
      <c r="P539" t="n">
        <v>0</v>
      </c>
      <c r="Q539" t="n">
        <v>0</v>
      </c>
      <c r="R539" s="2" t="inlineStr"/>
    </row>
    <row r="540" ht="15" customHeight="1">
      <c r="A540" t="inlineStr">
        <is>
          <t>A 38131-2025</t>
        </is>
      </c>
      <c r="B540" s="1" t="n">
        <v>45882.56136574074</v>
      </c>
      <c r="C540" s="1" t="n">
        <v>46126</v>
      </c>
      <c r="D540" t="inlineStr">
        <is>
          <t>ÖSTERGÖTLANDS LÄN</t>
        </is>
      </c>
      <c r="E540" t="inlineStr">
        <is>
          <t>KINDA</t>
        </is>
      </c>
      <c r="G540" t="n">
        <v>3.9</v>
      </c>
      <c r="H540" t="n">
        <v>0</v>
      </c>
      <c r="I540" t="n">
        <v>0</v>
      </c>
      <c r="J540" t="n">
        <v>0</v>
      </c>
      <c r="K540" t="n">
        <v>0</v>
      </c>
      <c r="L540" t="n">
        <v>0</v>
      </c>
      <c r="M540" t="n">
        <v>0</v>
      </c>
      <c r="N540" t="n">
        <v>0</v>
      </c>
      <c r="O540" t="n">
        <v>0</v>
      </c>
      <c r="P540" t="n">
        <v>0</v>
      </c>
      <c r="Q540" t="n">
        <v>0</v>
      </c>
      <c r="R540" s="2" t="inlineStr"/>
    </row>
    <row r="541" ht="15" customHeight="1">
      <c r="A541" t="inlineStr">
        <is>
          <t>A 38128-2025</t>
        </is>
      </c>
      <c r="B541" s="1" t="n">
        <v>45882.55935185185</v>
      </c>
      <c r="C541" s="1" t="n">
        <v>46126</v>
      </c>
      <c r="D541" t="inlineStr">
        <is>
          <t>ÖSTERGÖTLANDS LÄN</t>
        </is>
      </c>
      <c r="E541" t="inlineStr">
        <is>
          <t>KINDA</t>
        </is>
      </c>
      <c r="G541" t="n">
        <v>9.1</v>
      </c>
      <c r="H541" t="n">
        <v>0</v>
      </c>
      <c r="I541" t="n">
        <v>0</v>
      </c>
      <c r="J541" t="n">
        <v>0</v>
      </c>
      <c r="K541" t="n">
        <v>0</v>
      </c>
      <c r="L541" t="n">
        <v>0</v>
      </c>
      <c r="M541" t="n">
        <v>0</v>
      </c>
      <c r="N541" t="n">
        <v>0</v>
      </c>
      <c r="O541" t="n">
        <v>0</v>
      </c>
      <c r="P541" t="n">
        <v>0</v>
      </c>
      <c r="Q541" t="n">
        <v>0</v>
      </c>
      <c r="R541" s="2" t="inlineStr"/>
    </row>
    <row r="542" ht="15" customHeight="1">
      <c r="A542" t="inlineStr">
        <is>
          <t>A 63139-2025</t>
        </is>
      </c>
      <c r="B542" s="1" t="n">
        <v>46010.34168981481</v>
      </c>
      <c r="C542" s="1" t="n">
        <v>46126</v>
      </c>
      <c r="D542" t="inlineStr">
        <is>
          <t>ÖSTERGÖTLANDS LÄN</t>
        </is>
      </c>
      <c r="E542" t="inlineStr">
        <is>
          <t>KINDA</t>
        </is>
      </c>
      <c r="F542" t="inlineStr">
        <is>
          <t>Kommuner</t>
        </is>
      </c>
      <c r="G542" t="n">
        <v>2.2</v>
      </c>
      <c r="H542" t="n">
        <v>0</v>
      </c>
      <c r="I542" t="n">
        <v>0</v>
      </c>
      <c r="J542" t="n">
        <v>0</v>
      </c>
      <c r="K542" t="n">
        <v>0</v>
      </c>
      <c r="L542" t="n">
        <v>0</v>
      </c>
      <c r="M542" t="n">
        <v>0</v>
      </c>
      <c r="N542" t="n">
        <v>0</v>
      </c>
      <c r="O542" t="n">
        <v>0</v>
      </c>
      <c r="P542" t="n">
        <v>0</v>
      </c>
      <c r="Q542" t="n">
        <v>0</v>
      </c>
      <c r="R542" s="2" t="inlineStr"/>
    </row>
    <row r="543" ht="15" customHeight="1">
      <c r="A543" t="inlineStr">
        <is>
          <t>A 38142-2025</t>
        </is>
      </c>
      <c r="B543" s="1" t="n">
        <v>45882.58010416666</v>
      </c>
      <c r="C543" s="1" t="n">
        <v>46126</v>
      </c>
      <c r="D543" t="inlineStr">
        <is>
          <t>ÖSTERGÖTLANDS LÄN</t>
        </is>
      </c>
      <c r="E543" t="inlineStr">
        <is>
          <t>KINDA</t>
        </is>
      </c>
      <c r="G543" t="n">
        <v>4.2</v>
      </c>
      <c r="H543" t="n">
        <v>0</v>
      </c>
      <c r="I543" t="n">
        <v>0</v>
      </c>
      <c r="J543" t="n">
        <v>0</v>
      </c>
      <c r="K543" t="n">
        <v>0</v>
      </c>
      <c r="L543" t="n">
        <v>0</v>
      </c>
      <c r="M543" t="n">
        <v>0</v>
      </c>
      <c r="N543" t="n">
        <v>0</v>
      </c>
      <c r="O543" t="n">
        <v>0</v>
      </c>
      <c r="P543" t="n">
        <v>0</v>
      </c>
      <c r="Q543" t="n">
        <v>0</v>
      </c>
      <c r="R543" s="2" t="inlineStr"/>
    </row>
    <row r="544" ht="15" customHeight="1">
      <c r="A544" t="inlineStr">
        <is>
          <t>A 12948-2023</t>
        </is>
      </c>
      <c r="B544" s="1" t="n">
        <v>45001.72512731481</v>
      </c>
      <c r="C544" s="1" t="n">
        <v>46126</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6404-2023</t>
        </is>
      </c>
      <c r="B545" s="1" t="n">
        <v>44965.67148148148</v>
      </c>
      <c r="C545" s="1" t="n">
        <v>46126</v>
      </c>
      <c r="D545" t="inlineStr">
        <is>
          <t>ÖSTERGÖTLANDS LÄN</t>
        </is>
      </c>
      <c r="E545" t="inlineStr">
        <is>
          <t>KINDA</t>
        </is>
      </c>
      <c r="G545" t="n">
        <v>2.2</v>
      </c>
      <c r="H545" t="n">
        <v>0</v>
      </c>
      <c r="I545" t="n">
        <v>0</v>
      </c>
      <c r="J545" t="n">
        <v>0</v>
      </c>
      <c r="K545" t="n">
        <v>0</v>
      </c>
      <c r="L545" t="n">
        <v>0</v>
      </c>
      <c r="M545" t="n">
        <v>0</v>
      </c>
      <c r="N545" t="n">
        <v>0</v>
      </c>
      <c r="O545" t="n">
        <v>0</v>
      </c>
      <c r="P545" t="n">
        <v>0</v>
      </c>
      <c r="Q545" t="n">
        <v>0</v>
      </c>
      <c r="R545" s="2" t="inlineStr"/>
    </row>
    <row r="546" ht="15" customHeight="1">
      <c r="A546" t="inlineStr">
        <is>
          <t>A 25268-2023</t>
        </is>
      </c>
      <c r="B546" s="1" t="n">
        <v>45086.66693287037</v>
      </c>
      <c r="C546" s="1" t="n">
        <v>46126</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1881-2025</t>
        </is>
      </c>
      <c r="B547" s="1" t="n">
        <v>45671.62480324074</v>
      </c>
      <c r="C547" s="1" t="n">
        <v>46126</v>
      </c>
      <c r="D547" t="inlineStr">
        <is>
          <t>ÖSTERGÖTLANDS LÄN</t>
        </is>
      </c>
      <c r="E547" t="inlineStr">
        <is>
          <t>KINDA</t>
        </is>
      </c>
      <c r="G547" t="n">
        <v>2.4</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46126</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40850-2025</t>
        </is>
      </c>
      <c r="B549" s="1" t="n">
        <v>45897.55149305556</v>
      </c>
      <c r="C549" s="1" t="n">
        <v>46126</v>
      </c>
      <c r="D549" t="inlineStr">
        <is>
          <t>ÖSTERGÖTLANDS LÄN</t>
        </is>
      </c>
      <c r="E549" t="inlineStr">
        <is>
          <t>KINDA</t>
        </is>
      </c>
      <c r="G549" t="n">
        <v>3</v>
      </c>
      <c r="H549" t="n">
        <v>0</v>
      </c>
      <c r="I549" t="n">
        <v>0</v>
      </c>
      <c r="J549" t="n">
        <v>0</v>
      </c>
      <c r="K549" t="n">
        <v>0</v>
      </c>
      <c r="L549" t="n">
        <v>0</v>
      </c>
      <c r="M549" t="n">
        <v>0</v>
      </c>
      <c r="N549" t="n">
        <v>0</v>
      </c>
      <c r="O549" t="n">
        <v>0</v>
      </c>
      <c r="P549" t="n">
        <v>0</v>
      </c>
      <c r="Q549" t="n">
        <v>0</v>
      </c>
      <c r="R549" s="2" t="inlineStr"/>
    </row>
    <row r="550" ht="15" customHeight="1">
      <c r="A550" t="inlineStr">
        <is>
          <t>A 19654-2025</t>
        </is>
      </c>
      <c r="B550" s="1" t="n">
        <v>45770.67305555556</v>
      </c>
      <c r="C550" s="1" t="n">
        <v>46126</v>
      </c>
      <c r="D550" t="inlineStr">
        <is>
          <t>ÖSTERGÖTLANDS LÄN</t>
        </is>
      </c>
      <c r="E550" t="inlineStr">
        <is>
          <t>KINDA</t>
        </is>
      </c>
      <c r="F550" t="inlineStr">
        <is>
          <t>Allmännings- och besparingsskogar</t>
        </is>
      </c>
      <c r="G550" t="n">
        <v>10.7</v>
      </c>
      <c r="H550" t="n">
        <v>0</v>
      </c>
      <c r="I550" t="n">
        <v>0</v>
      </c>
      <c r="J550" t="n">
        <v>0</v>
      </c>
      <c r="K550" t="n">
        <v>0</v>
      </c>
      <c r="L550" t="n">
        <v>0</v>
      </c>
      <c r="M550" t="n">
        <v>0</v>
      </c>
      <c r="N550" t="n">
        <v>0</v>
      </c>
      <c r="O550" t="n">
        <v>0</v>
      </c>
      <c r="P550" t="n">
        <v>0</v>
      </c>
      <c r="Q550" t="n">
        <v>0</v>
      </c>
      <c r="R550" s="2" t="inlineStr"/>
    </row>
    <row r="551" ht="15" customHeight="1">
      <c r="A551" t="inlineStr">
        <is>
          <t>A 6561-2024</t>
        </is>
      </c>
      <c r="B551" s="1" t="n">
        <v>45341</v>
      </c>
      <c r="C551" s="1" t="n">
        <v>46126</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5371-2024</t>
        </is>
      </c>
      <c r="B552" s="1" t="n">
        <v>45331</v>
      </c>
      <c r="C552" s="1" t="n">
        <v>46126</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35203-2023</t>
        </is>
      </c>
      <c r="B553" s="1" t="n">
        <v>45145</v>
      </c>
      <c r="C553" s="1" t="n">
        <v>46126</v>
      </c>
      <c r="D553" t="inlineStr">
        <is>
          <t>ÖSTERGÖTLANDS LÄN</t>
        </is>
      </c>
      <c r="E553" t="inlineStr">
        <is>
          <t>KINDA</t>
        </is>
      </c>
      <c r="G553" t="n">
        <v>1.4</v>
      </c>
      <c r="H553" t="n">
        <v>0</v>
      </c>
      <c r="I553" t="n">
        <v>0</v>
      </c>
      <c r="J553" t="n">
        <v>0</v>
      </c>
      <c r="K553" t="n">
        <v>0</v>
      </c>
      <c r="L553" t="n">
        <v>0</v>
      </c>
      <c r="M553" t="n">
        <v>0</v>
      </c>
      <c r="N553" t="n">
        <v>0</v>
      </c>
      <c r="O553" t="n">
        <v>0</v>
      </c>
      <c r="P553" t="n">
        <v>0</v>
      </c>
      <c r="Q553" t="n">
        <v>0</v>
      </c>
      <c r="R553" s="2" t="inlineStr"/>
    </row>
    <row r="554" ht="15" customHeight="1">
      <c r="A554" t="inlineStr">
        <is>
          <t>A 27099-2023</t>
        </is>
      </c>
      <c r="B554" s="1" t="n">
        <v>45096</v>
      </c>
      <c r="C554" s="1" t="n">
        <v>46126</v>
      </c>
      <c r="D554" t="inlineStr">
        <is>
          <t>ÖSTERGÖTLANDS LÄN</t>
        </is>
      </c>
      <c r="E554" t="inlineStr">
        <is>
          <t>KINDA</t>
        </is>
      </c>
      <c r="G554" t="n">
        <v>4.2</v>
      </c>
      <c r="H554" t="n">
        <v>0</v>
      </c>
      <c r="I554" t="n">
        <v>0</v>
      </c>
      <c r="J554" t="n">
        <v>0</v>
      </c>
      <c r="K554" t="n">
        <v>0</v>
      </c>
      <c r="L554" t="n">
        <v>0</v>
      </c>
      <c r="M554" t="n">
        <v>0</v>
      </c>
      <c r="N554" t="n">
        <v>0</v>
      </c>
      <c r="O554" t="n">
        <v>0</v>
      </c>
      <c r="P554" t="n">
        <v>0</v>
      </c>
      <c r="Q554" t="n">
        <v>0</v>
      </c>
      <c r="R554" s="2" t="inlineStr"/>
    </row>
    <row r="555" ht="15" customHeight="1">
      <c r="A555" t="inlineStr">
        <is>
          <t>A 656-2026</t>
        </is>
      </c>
      <c r="B555" s="1" t="n">
        <v>46029.58138888889</v>
      </c>
      <c r="C555" s="1" t="n">
        <v>46126</v>
      </c>
      <c r="D555" t="inlineStr">
        <is>
          <t>ÖSTERGÖTLANDS LÄN</t>
        </is>
      </c>
      <c r="E555" t="inlineStr">
        <is>
          <t>KINDA</t>
        </is>
      </c>
      <c r="G555" t="n">
        <v>1</v>
      </c>
      <c r="H555" t="n">
        <v>0</v>
      </c>
      <c r="I555" t="n">
        <v>0</v>
      </c>
      <c r="J555" t="n">
        <v>0</v>
      </c>
      <c r="K555" t="n">
        <v>0</v>
      </c>
      <c r="L555" t="n">
        <v>0</v>
      </c>
      <c r="M555" t="n">
        <v>0</v>
      </c>
      <c r="N555" t="n">
        <v>0</v>
      </c>
      <c r="O555" t="n">
        <v>0</v>
      </c>
      <c r="P555" t="n">
        <v>0</v>
      </c>
      <c r="Q555" t="n">
        <v>0</v>
      </c>
      <c r="R555" s="2" t="inlineStr"/>
    </row>
    <row r="556" ht="15" customHeight="1">
      <c r="A556" t="inlineStr">
        <is>
          <t>A 53306-2024</t>
        </is>
      </c>
      <c r="B556" s="1" t="n">
        <v>45614.39091435185</v>
      </c>
      <c r="C556" s="1" t="n">
        <v>46126</v>
      </c>
      <c r="D556" t="inlineStr">
        <is>
          <t>ÖSTERGÖTLANDS LÄN</t>
        </is>
      </c>
      <c r="E556" t="inlineStr">
        <is>
          <t>KINDA</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654-2026</t>
        </is>
      </c>
      <c r="B557" s="1" t="n">
        <v>46029.57982638889</v>
      </c>
      <c r="C557" s="1" t="n">
        <v>46126</v>
      </c>
      <c r="D557" t="inlineStr">
        <is>
          <t>ÖSTERGÖTLANDS LÄN</t>
        </is>
      </c>
      <c r="E557" t="inlineStr">
        <is>
          <t>KINDA</t>
        </is>
      </c>
      <c r="G557" t="n">
        <v>1.4</v>
      </c>
      <c r="H557" t="n">
        <v>0</v>
      </c>
      <c r="I557" t="n">
        <v>0</v>
      </c>
      <c r="J557" t="n">
        <v>0</v>
      </c>
      <c r="K557" t="n">
        <v>0</v>
      </c>
      <c r="L557" t="n">
        <v>0</v>
      </c>
      <c r="M557" t="n">
        <v>0</v>
      </c>
      <c r="N557" t="n">
        <v>0</v>
      </c>
      <c r="O557" t="n">
        <v>0</v>
      </c>
      <c r="P557" t="n">
        <v>0</v>
      </c>
      <c r="Q557" t="n">
        <v>0</v>
      </c>
      <c r="R557" s="2" t="inlineStr"/>
    </row>
    <row r="558" ht="15" customHeight="1">
      <c r="A558" t="inlineStr">
        <is>
          <t>A 41379-2024</t>
        </is>
      </c>
      <c r="B558" s="1" t="n">
        <v>45560.2703125</v>
      </c>
      <c r="C558" s="1" t="n">
        <v>46126</v>
      </c>
      <c r="D558" t="inlineStr">
        <is>
          <t>ÖSTERGÖTLANDS LÄN</t>
        </is>
      </c>
      <c r="E558" t="inlineStr">
        <is>
          <t>KINDA</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1885-2022</t>
        </is>
      </c>
      <c r="B559" s="1" t="n">
        <v>44575</v>
      </c>
      <c r="C559" s="1" t="n">
        <v>46126</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1491-2026</t>
        </is>
      </c>
      <c r="B560" s="1" t="n">
        <v>46034.30648148148</v>
      </c>
      <c r="C560" s="1" t="n">
        <v>46126</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27809-2024</t>
        </is>
      </c>
      <c r="B561" s="1" t="n">
        <v>45475</v>
      </c>
      <c r="C561" s="1" t="n">
        <v>46126</v>
      </c>
      <c r="D561" t="inlineStr">
        <is>
          <t>ÖSTERGÖTLANDS LÄN</t>
        </is>
      </c>
      <c r="E561" t="inlineStr">
        <is>
          <t>KINDA</t>
        </is>
      </c>
      <c r="G561" t="n">
        <v>2.7</v>
      </c>
      <c r="H561" t="n">
        <v>0</v>
      </c>
      <c r="I561" t="n">
        <v>0</v>
      </c>
      <c r="J561" t="n">
        <v>0</v>
      </c>
      <c r="K561" t="n">
        <v>0</v>
      </c>
      <c r="L561" t="n">
        <v>0</v>
      </c>
      <c r="M561" t="n">
        <v>0</v>
      </c>
      <c r="N561" t="n">
        <v>0</v>
      </c>
      <c r="O561" t="n">
        <v>0</v>
      </c>
      <c r="P561" t="n">
        <v>0</v>
      </c>
      <c r="Q561" t="n">
        <v>0</v>
      </c>
      <c r="R561" s="2" t="inlineStr"/>
    </row>
    <row r="562" ht="15" customHeight="1">
      <c r="A562" t="inlineStr">
        <is>
          <t>A 7631-2024</t>
        </is>
      </c>
      <c r="B562" s="1" t="n">
        <v>45348.6147337963</v>
      </c>
      <c r="C562" s="1" t="n">
        <v>46126</v>
      </c>
      <c r="D562" t="inlineStr">
        <is>
          <t>ÖSTERGÖTLANDS LÄN</t>
        </is>
      </c>
      <c r="E562" t="inlineStr">
        <is>
          <t>KINDA</t>
        </is>
      </c>
      <c r="G562" t="n">
        <v>3.2</v>
      </c>
      <c r="H562" t="n">
        <v>0</v>
      </c>
      <c r="I562" t="n">
        <v>0</v>
      </c>
      <c r="J562" t="n">
        <v>0</v>
      </c>
      <c r="K562" t="n">
        <v>0</v>
      </c>
      <c r="L562" t="n">
        <v>0</v>
      </c>
      <c r="M562" t="n">
        <v>0</v>
      </c>
      <c r="N562" t="n">
        <v>0</v>
      </c>
      <c r="O562" t="n">
        <v>0</v>
      </c>
      <c r="P562" t="n">
        <v>0</v>
      </c>
      <c r="Q562" t="n">
        <v>0</v>
      </c>
      <c r="R562" s="2" t="inlineStr"/>
    </row>
    <row r="563" ht="15" customHeight="1">
      <c r="A563" t="inlineStr">
        <is>
          <t>A 1704-2026</t>
        </is>
      </c>
      <c r="B563" s="1" t="n">
        <v>46034.59744212963</v>
      </c>
      <c r="C563" s="1" t="n">
        <v>46126</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35588-2024</t>
        </is>
      </c>
      <c r="B564" s="1" t="n">
        <v>45531.64934027778</v>
      </c>
      <c r="C564" s="1" t="n">
        <v>46126</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2168-2026</t>
        </is>
      </c>
      <c r="B565" s="1" t="n">
        <v>46036.44412037037</v>
      </c>
      <c r="C565" s="1" t="n">
        <v>46126</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610-2022</t>
        </is>
      </c>
      <c r="B566" s="1" t="n">
        <v>44567.77518518519</v>
      </c>
      <c r="C566" s="1" t="n">
        <v>46126</v>
      </c>
      <c r="D566" t="inlineStr">
        <is>
          <t>ÖSTERGÖTLANDS LÄN</t>
        </is>
      </c>
      <c r="E566" t="inlineStr">
        <is>
          <t>KINDA</t>
        </is>
      </c>
      <c r="G566" t="n">
        <v>2.2</v>
      </c>
      <c r="H566" t="n">
        <v>0</v>
      </c>
      <c r="I566" t="n">
        <v>0</v>
      </c>
      <c r="J566" t="n">
        <v>0</v>
      </c>
      <c r="K566" t="n">
        <v>0</v>
      </c>
      <c r="L566" t="n">
        <v>0</v>
      </c>
      <c r="M566" t="n">
        <v>0</v>
      </c>
      <c r="N566" t="n">
        <v>0</v>
      </c>
      <c r="O566" t="n">
        <v>0</v>
      </c>
      <c r="P566" t="n">
        <v>0</v>
      </c>
      <c r="Q566" t="n">
        <v>0</v>
      </c>
      <c r="R566" s="2" t="inlineStr"/>
    </row>
    <row r="567" ht="15" customHeight="1">
      <c r="A567" t="inlineStr">
        <is>
          <t>A 62254-2023</t>
        </is>
      </c>
      <c r="B567" s="1" t="n">
        <v>45267.61618055555</v>
      </c>
      <c r="C567" s="1" t="n">
        <v>46126</v>
      </c>
      <c r="D567" t="inlineStr">
        <is>
          <t>ÖSTERGÖTLANDS LÄN</t>
        </is>
      </c>
      <c r="E567" t="inlineStr">
        <is>
          <t>KINDA</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1818-2026</t>
        </is>
      </c>
      <c r="B568" s="1" t="n">
        <v>46035.35317129629</v>
      </c>
      <c r="C568" s="1" t="n">
        <v>46126</v>
      </c>
      <c r="D568" t="inlineStr">
        <is>
          <t>ÖSTERGÖTLANDS LÄN</t>
        </is>
      </c>
      <c r="E568" t="inlineStr">
        <is>
          <t>KINDA</t>
        </is>
      </c>
      <c r="G568" t="n">
        <v>5.3</v>
      </c>
      <c r="H568" t="n">
        <v>0</v>
      </c>
      <c r="I568" t="n">
        <v>0</v>
      </c>
      <c r="J568" t="n">
        <v>0</v>
      </c>
      <c r="K568" t="n">
        <v>0</v>
      </c>
      <c r="L568" t="n">
        <v>0</v>
      </c>
      <c r="M568" t="n">
        <v>0</v>
      </c>
      <c r="N568" t="n">
        <v>0</v>
      </c>
      <c r="O568" t="n">
        <v>0</v>
      </c>
      <c r="P568" t="n">
        <v>0</v>
      </c>
      <c r="Q568" t="n">
        <v>0</v>
      </c>
      <c r="R568" s="2" t="inlineStr"/>
    </row>
    <row r="569" ht="15" customHeight="1">
      <c r="A569" t="inlineStr">
        <is>
          <t>A 58875-2023</t>
        </is>
      </c>
      <c r="B569" s="1" t="n">
        <v>45250</v>
      </c>
      <c r="C569" s="1" t="n">
        <v>46126</v>
      </c>
      <c r="D569" t="inlineStr">
        <is>
          <t>ÖSTERGÖTLANDS LÄN</t>
        </is>
      </c>
      <c r="E569" t="inlineStr">
        <is>
          <t>KINDA</t>
        </is>
      </c>
      <c r="G569" t="n">
        <v>1.3</v>
      </c>
      <c r="H569" t="n">
        <v>0</v>
      </c>
      <c r="I569" t="n">
        <v>0</v>
      </c>
      <c r="J569" t="n">
        <v>0</v>
      </c>
      <c r="K569" t="n">
        <v>0</v>
      </c>
      <c r="L569" t="n">
        <v>0</v>
      </c>
      <c r="M569" t="n">
        <v>0</v>
      </c>
      <c r="N569" t="n">
        <v>0</v>
      </c>
      <c r="O569" t="n">
        <v>0</v>
      </c>
      <c r="P569" t="n">
        <v>0</v>
      </c>
      <c r="Q569" t="n">
        <v>0</v>
      </c>
      <c r="R569" s="2" t="inlineStr"/>
    </row>
    <row r="570" ht="15" customHeight="1">
      <c r="A570" t="inlineStr">
        <is>
          <t>A 24110-2024</t>
        </is>
      </c>
      <c r="B570" s="1" t="n">
        <v>45456.61288194444</v>
      </c>
      <c r="C570" s="1" t="n">
        <v>46126</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15599-2023</t>
        </is>
      </c>
      <c r="B571" s="1" t="n">
        <v>45020.71773148148</v>
      </c>
      <c r="C571" s="1" t="n">
        <v>46126</v>
      </c>
      <c r="D571" t="inlineStr">
        <is>
          <t>ÖSTERGÖTLANDS LÄN</t>
        </is>
      </c>
      <c r="E571" t="inlineStr">
        <is>
          <t>KINDA</t>
        </is>
      </c>
      <c r="G571" t="n">
        <v>1.2</v>
      </c>
      <c r="H571" t="n">
        <v>0</v>
      </c>
      <c r="I571" t="n">
        <v>0</v>
      </c>
      <c r="J571" t="n">
        <v>0</v>
      </c>
      <c r="K571" t="n">
        <v>0</v>
      </c>
      <c r="L571" t="n">
        <v>0</v>
      </c>
      <c r="M571" t="n">
        <v>0</v>
      </c>
      <c r="N571" t="n">
        <v>0</v>
      </c>
      <c r="O571" t="n">
        <v>0</v>
      </c>
      <c r="P571" t="n">
        <v>0</v>
      </c>
      <c r="Q571" t="n">
        <v>0</v>
      </c>
      <c r="R571" s="2" t="inlineStr"/>
    </row>
    <row r="572" ht="15" customHeight="1">
      <c r="A572" t="inlineStr">
        <is>
          <t>A 1157-2024</t>
        </is>
      </c>
      <c r="B572" s="1" t="n">
        <v>45302.51340277777</v>
      </c>
      <c r="C572" s="1" t="n">
        <v>46126</v>
      </c>
      <c r="D572" t="inlineStr">
        <is>
          <t>ÖSTERGÖTLANDS LÄN</t>
        </is>
      </c>
      <c r="E572" t="inlineStr">
        <is>
          <t>KINDA</t>
        </is>
      </c>
      <c r="G572" t="n">
        <v>1</v>
      </c>
      <c r="H572" t="n">
        <v>0</v>
      </c>
      <c r="I572" t="n">
        <v>0</v>
      </c>
      <c r="J572" t="n">
        <v>0</v>
      </c>
      <c r="K572" t="n">
        <v>0</v>
      </c>
      <c r="L572" t="n">
        <v>0</v>
      </c>
      <c r="M572" t="n">
        <v>0</v>
      </c>
      <c r="N572" t="n">
        <v>0</v>
      </c>
      <c r="O572" t="n">
        <v>0</v>
      </c>
      <c r="P572" t="n">
        <v>0</v>
      </c>
      <c r="Q572" t="n">
        <v>0</v>
      </c>
      <c r="R572" s="2" t="inlineStr"/>
    </row>
    <row r="573" ht="15" customHeight="1">
      <c r="A573" t="inlineStr">
        <is>
          <t>A 3217-2026</t>
        </is>
      </c>
      <c r="B573" s="1" t="n">
        <v>46041.50924768519</v>
      </c>
      <c r="C573" s="1" t="n">
        <v>46126</v>
      </c>
      <c r="D573" t="inlineStr">
        <is>
          <t>ÖSTERGÖTLANDS LÄN</t>
        </is>
      </c>
      <c r="E573" t="inlineStr">
        <is>
          <t>KINDA</t>
        </is>
      </c>
      <c r="G573" t="n">
        <v>7.9</v>
      </c>
      <c r="H573" t="n">
        <v>0</v>
      </c>
      <c r="I573" t="n">
        <v>0</v>
      </c>
      <c r="J573" t="n">
        <v>0</v>
      </c>
      <c r="K573" t="n">
        <v>0</v>
      </c>
      <c r="L573" t="n">
        <v>0</v>
      </c>
      <c r="M573" t="n">
        <v>0</v>
      </c>
      <c r="N573" t="n">
        <v>0</v>
      </c>
      <c r="O573" t="n">
        <v>0</v>
      </c>
      <c r="P573" t="n">
        <v>0</v>
      </c>
      <c r="Q573" t="n">
        <v>0</v>
      </c>
      <c r="R573" s="2" t="inlineStr"/>
    </row>
    <row r="574" ht="15" customHeight="1">
      <c r="A574" t="inlineStr">
        <is>
          <t>A 32764-2023</t>
        </is>
      </c>
      <c r="B574" s="1" t="n">
        <v>45123.60599537037</v>
      </c>
      <c r="C574" s="1" t="n">
        <v>46126</v>
      </c>
      <c r="D574" t="inlineStr">
        <is>
          <t>ÖSTERGÖTLANDS LÄN</t>
        </is>
      </c>
      <c r="E574" t="inlineStr">
        <is>
          <t>KINDA</t>
        </is>
      </c>
      <c r="G574" t="n">
        <v>3.7</v>
      </c>
      <c r="H574" t="n">
        <v>0</v>
      </c>
      <c r="I574" t="n">
        <v>0</v>
      </c>
      <c r="J574" t="n">
        <v>0</v>
      </c>
      <c r="K574" t="n">
        <v>0</v>
      </c>
      <c r="L574" t="n">
        <v>0</v>
      </c>
      <c r="M574" t="n">
        <v>0</v>
      </c>
      <c r="N574" t="n">
        <v>0</v>
      </c>
      <c r="O574" t="n">
        <v>0</v>
      </c>
      <c r="P574" t="n">
        <v>0</v>
      </c>
      <c r="Q574" t="n">
        <v>0</v>
      </c>
      <c r="R574" s="2" t="inlineStr"/>
    </row>
    <row r="575" ht="15" customHeight="1">
      <c r="A575" t="inlineStr">
        <is>
          <t>A 12623-2024</t>
        </is>
      </c>
      <c r="B575" s="1" t="n">
        <v>45383</v>
      </c>
      <c r="C575" s="1" t="n">
        <v>46126</v>
      </c>
      <c r="D575" t="inlineStr">
        <is>
          <t>ÖSTERGÖTLANDS LÄN</t>
        </is>
      </c>
      <c r="E575" t="inlineStr">
        <is>
          <t>KINDA</t>
        </is>
      </c>
      <c r="G575" t="n">
        <v>2.4</v>
      </c>
      <c r="H575" t="n">
        <v>0</v>
      </c>
      <c r="I575" t="n">
        <v>0</v>
      </c>
      <c r="J575" t="n">
        <v>0</v>
      </c>
      <c r="K575" t="n">
        <v>0</v>
      </c>
      <c r="L575" t="n">
        <v>0</v>
      </c>
      <c r="M575" t="n">
        <v>0</v>
      </c>
      <c r="N575" t="n">
        <v>0</v>
      </c>
      <c r="O575" t="n">
        <v>0</v>
      </c>
      <c r="P575" t="n">
        <v>0</v>
      </c>
      <c r="Q575" t="n">
        <v>0</v>
      </c>
      <c r="R575" s="2" t="inlineStr"/>
    </row>
    <row r="576" ht="15" customHeight="1">
      <c r="A576" t="inlineStr">
        <is>
          <t>A 3752-2026</t>
        </is>
      </c>
      <c r="B576" s="1" t="n">
        <v>46043.54976851852</v>
      </c>
      <c r="C576" s="1" t="n">
        <v>46126</v>
      </c>
      <c r="D576" t="inlineStr">
        <is>
          <t>ÖSTERGÖTLANDS LÄN</t>
        </is>
      </c>
      <c r="E576" t="inlineStr">
        <is>
          <t>KINDA</t>
        </is>
      </c>
      <c r="G576" t="n">
        <v>1.1</v>
      </c>
      <c r="H576" t="n">
        <v>0</v>
      </c>
      <c r="I576" t="n">
        <v>0</v>
      </c>
      <c r="J576" t="n">
        <v>0</v>
      </c>
      <c r="K576" t="n">
        <v>0</v>
      </c>
      <c r="L576" t="n">
        <v>0</v>
      </c>
      <c r="M576" t="n">
        <v>0</v>
      </c>
      <c r="N576" t="n">
        <v>0</v>
      </c>
      <c r="O576" t="n">
        <v>0</v>
      </c>
      <c r="P576" t="n">
        <v>0</v>
      </c>
      <c r="Q576" t="n">
        <v>0</v>
      </c>
      <c r="R576" s="2" t="inlineStr"/>
    </row>
    <row r="577" ht="15" customHeight="1">
      <c r="A577" t="inlineStr">
        <is>
          <t>A 3849-2026</t>
        </is>
      </c>
      <c r="B577" s="1" t="n">
        <v>46043.6057175926</v>
      </c>
      <c r="C577" s="1" t="n">
        <v>46126</v>
      </c>
      <c r="D577" t="inlineStr">
        <is>
          <t>ÖSTERGÖTLANDS LÄN</t>
        </is>
      </c>
      <c r="E577" t="inlineStr">
        <is>
          <t>KINDA</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11922-2026</t>
        </is>
      </c>
      <c r="B578" s="1" t="n">
        <v>46085.571875</v>
      </c>
      <c r="C578" s="1" t="n">
        <v>46126</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36005-2024</t>
        </is>
      </c>
      <c r="B579" s="1" t="n">
        <v>45533.54908564815</v>
      </c>
      <c r="C579" s="1" t="n">
        <v>46126</v>
      </c>
      <c r="D579" t="inlineStr">
        <is>
          <t>ÖSTERGÖTLANDS LÄN</t>
        </is>
      </c>
      <c r="E579" t="inlineStr">
        <is>
          <t>KINDA</t>
        </is>
      </c>
      <c r="G579" t="n">
        <v>1.8</v>
      </c>
      <c r="H579" t="n">
        <v>0</v>
      </c>
      <c r="I579" t="n">
        <v>0</v>
      </c>
      <c r="J579" t="n">
        <v>0</v>
      </c>
      <c r="K579" t="n">
        <v>0</v>
      </c>
      <c r="L579" t="n">
        <v>0</v>
      </c>
      <c r="M579" t="n">
        <v>0</v>
      </c>
      <c r="N579" t="n">
        <v>0</v>
      </c>
      <c r="O579" t="n">
        <v>0</v>
      </c>
      <c r="P579" t="n">
        <v>0</v>
      </c>
      <c r="Q579" t="n">
        <v>0</v>
      </c>
      <c r="R579" s="2" t="inlineStr"/>
    </row>
    <row r="580" ht="15" customHeight="1">
      <c r="A580" t="inlineStr">
        <is>
          <t>A 26917-2024</t>
        </is>
      </c>
      <c r="B580" s="1" t="n">
        <v>45470.88379629629</v>
      </c>
      <c r="C580" s="1" t="n">
        <v>46126</v>
      </c>
      <c r="D580" t="inlineStr">
        <is>
          <t>ÖSTERGÖTLANDS LÄN</t>
        </is>
      </c>
      <c r="E580" t="inlineStr">
        <is>
          <t>KINDA</t>
        </is>
      </c>
      <c r="G580" t="n">
        <v>6.4</v>
      </c>
      <c r="H580" t="n">
        <v>0</v>
      </c>
      <c r="I580" t="n">
        <v>0</v>
      </c>
      <c r="J580" t="n">
        <v>0</v>
      </c>
      <c r="K580" t="n">
        <v>0</v>
      </c>
      <c r="L580" t="n">
        <v>0</v>
      </c>
      <c r="M580" t="n">
        <v>0</v>
      </c>
      <c r="N580" t="n">
        <v>0</v>
      </c>
      <c r="O580" t="n">
        <v>0</v>
      </c>
      <c r="P580" t="n">
        <v>0</v>
      </c>
      <c r="Q580" t="n">
        <v>0</v>
      </c>
      <c r="R580" s="2" t="inlineStr"/>
    </row>
    <row r="581" ht="15" customHeight="1">
      <c r="A581" t="inlineStr">
        <is>
          <t>A 29516-2024</t>
        </is>
      </c>
      <c r="B581" s="1" t="n">
        <v>45484</v>
      </c>
      <c r="C581" s="1" t="n">
        <v>46126</v>
      </c>
      <c r="D581" t="inlineStr">
        <is>
          <t>ÖSTERGÖTLANDS LÄN</t>
        </is>
      </c>
      <c r="E581" t="inlineStr">
        <is>
          <t>KINDA</t>
        </is>
      </c>
      <c r="G581" t="n">
        <v>1.8</v>
      </c>
      <c r="H581" t="n">
        <v>0</v>
      </c>
      <c r="I581" t="n">
        <v>0</v>
      </c>
      <c r="J581" t="n">
        <v>0</v>
      </c>
      <c r="K581" t="n">
        <v>0</v>
      </c>
      <c r="L581" t="n">
        <v>0</v>
      </c>
      <c r="M581" t="n">
        <v>0</v>
      </c>
      <c r="N581" t="n">
        <v>0</v>
      </c>
      <c r="O581" t="n">
        <v>0</v>
      </c>
      <c r="P581" t="n">
        <v>0</v>
      </c>
      <c r="Q581" t="n">
        <v>0</v>
      </c>
      <c r="R581" s="2" t="inlineStr"/>
    </row>
    <row r="582" ht="15" customHeight="1">
      <c r="A582" t="inlineStr">
        <is>
          <t>A 4331-2026</t>
        </is>
      </c>
      <c r="B582" s="1" t="n">
        <v>46045.48028935185</v>
      </c>
      <c r="C582" s="1" t="n">
        <v>46126</v>
      </c>
      <c r="D582" t="inlineStr">
        <is>
          <t>ÖSTERGÖTLANDS LÄN</t>
        </is>
      </c>
      <c r="E582" t="inlineStr">
        <is>
          <t>KINDA</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5479-2024</t>
        </is>
      </c>
      <c r="B583" s="1" t="n">
        <v>45333.84959490741</v>
      </c>
      <c r="C583" s="1" t="n">
        <v>46126</v>
      </c>
      <c r="D583" t="inlineStr">
        <is>
          <t>ÖSTERGÖTLANDS LÄN</t>
        </is>
      </c>
      <c r="E583" t="inlineStr">
        <is>
          <t>KINDA</t>
        </is>
      </c>
      <c r="G583" t="n">
        <v>0.9</v>
      </c>
      <c r="H583" t="n">
        <v>0</v>
      </c>
      <c r="I583" t="n">
        <v>0</v>
      </c>
      <c r="J583" t="n">
        <v>0</v>
      </c>
      <c r="K583" t="n">
        <v>0</v>
      </c>
      <c r="L583" t="n">
        <v>0</v>
      </c>
      <c r="M583" t="n">
        <v>0</v>
      </c>
      <c r="N583" t="n">
        <v>0</v>
      </c>
      <c r="O583" t="n">
        <v>0</v>
      </c>
      <c r="P583" t="n">
        <v>0</v>
      </c>
      <c r="Q583" t="n">
        <v>0</v>
      </c>
      <c r="R583" s="2" t="inlineStr"/>
    </row>
    <row r="584" ht="15" customHeight="1">
      <c r="A584" t="inlineStr">
        <is>
          <t>A 8088-2024</t>
        </is>
      </c>
      <c r="B584" s="1" t="n">
        <v>45351</v>
      </c>
      <c r="C584" s="1" t="n">
        <v>46126</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10035-2025</t>
        </is>
      </c>
      <c r="B585" s="1" t="n">
        <v>45719.49922453704</v>
      </c>
      <c r="C585" s="1" t="n">
        <v>46126</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c r="U585">
        <f>HYPERLINK("https://klasma.github.io/Logging_0513/knärot/A 10035-2025 karta knärot.png", "A 10035-2025")</f>
        <v/>
      </c>
      <c r="V585">
        <f>HYPERLINK("https://klasma.github.io/Logging_0513/klagomål/A 10035-2025 FSC-klagomål.docx", "A 10035-2025")</f>
        <v/>
      </c>
      <c r="W585">
        <f>HYPERLINK("https://klasma.github.io/Logging_0513/klagomålsmail/A 10035-2025 FSC-klagomål mail.docx", "A 10035-2025")</f>
        <v/>
      </c>
      <c r="X585">
        <f>HYPERLINK("https://klasma.github.io/Logging_0513/tillsyn/A 10035-2025 tillsynsbegäran.docx", "A 10035-2025")</f>
        <v/>
      </c>
      <c r="Y585">
        <f>HYPERLINK("https://klasma.github.io/Logging_0513/tillsynsmail/A 10035-2025 tillsynsbegäran mail.docx", "A 10035-2025")</f>
        <v/>
      </c>
    </row>
    <row r="586" ht="15" customHeight="1">
      <c r="A586" t="inlineStr">
        <is>
          <t>A 50403-2024</t>
        </is>
      </c>
      <c r="B586" s="1" t="n">
        <v>45601.35335648148</v>
      </c>
      <c r="C586" s="1" t="n">
        <v>46126</v>
      </c>
      <c r="D586" t="inlineStr">
        <is>
          <t>ÖSTERGÖTLANDS LÄN</t>
        </is>
      </c>
      <c r="E586" t="inlineStr">
        <is>
          <t>KINDA</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44329-2023</t>
        </is>
      </c>
      <c r="B587" s="1" t="n">
        <v>45188.66209490741</v>
      </c>
      <c r="C587" s="1" t="n">
        <v>46126</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12706-2023</t>
        </is>
      </c>
      <c r="B588" s="1" t="n">
        <v>45000.65476851852</v>
      </c>
      <c r="C588" s="1" t="n">
        <v>46126</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12605-2026</t>
        </is>
      </c>
      <c r="B589" s="1" t="n">
        <v>46090</v>
      </c>
      <c r="C589" s="1" t="n">
        <v>46126</v>
      </c>
      <c r="D589" t="inlineStr">
        <is>
          <t>ÖSTERGÖTLANDS LÄN</t>
        </is>
      </c>
      <c r="E589" t="inlineStr">
        <is>
          <t>KINDA</t>
        </is>
      </c>
      <c r="G589" t="n">
        <v>2.2</v>
      </c>
      <c r="H589" t="n">
        <v>0</v>
      </c>
      <c r="I589" t="n">
        <v>0</v>
      </c>
      <c r="J589" t="n">
        <v>0</v>
      </c>
      <c r="K589" t="n">
        <v>0</v>
      </c>
      <c r="L589" t="n">
        <v>0</v>
      </c>
      <c r="M589" t="n">
        <v>0</v>
      </c>
      <c r="N589" t="n">
        <v>0</v>
      </c>
      <c r="O589" t="n">
        <v>0</v>
      </c>
      <c r="P589" t="n">
        <v>0</v>
      </c>
      <c r="Q589" t="n">
        <v>0</v>
      </c>
      <c r="R589" s="2" t="inlineStr"/>
    </row>
    <row r="590" ht="15" customHeight="1">
      <c r="A590" t="inlineStr">
        <is>
          <t>A 12506-2026</t>
        </is>
      </c>
      <c r="B590" s="1" t="n">
        <v>46090.57879629629</v>
      </c>
      <c r="C590" s="1" t="n">
        <v>46126</v>
      </c>
      <c r="D590" t="inlineStr">
        <is>
          <t>ÖSTERGÖTLANDS LÄN</t>
        </is>
      </c>
      <c r="E590" t="inlineStr">
        <is>
          <t>KINDA</t>
        </is>
      </c>
      <c r="G590" t="n">
        <v>1</v>
      </c>
      <c r="H590" t="n">
        <v>0</v>
      </c>
      <c r="I590" t="n">
        <v>0</v>
      </c>
      <c r="J590" t="n">
        <v>0</v>
      </c>
      <c r="K590" t="n">
        <v>0</v>
      </c>
      <c r="L590" t="n">
        <v>0</v>
      </c>
      <c r="M590" t="n">
        <v>0</v>
      </c>
      <c r="N590" t="n">
        <v>0</v>
      </c>
      <c r="O590" t="n">
        <v>0</v>
      </c>
      <c r="P590" t="n">
        <v>0</v>
      </c>
      <c r="Q590" t="n">
        <v>0</v>
      </c>
      <c r="R590" s="2" t="inlineStr"/>
    </row>
    <row r="591" ht="15" customHeight="1">
      <c r="A591" t="inlineStr">
        <is>
          <t>A 22694-2023</t>
        </is>
      </c>
      <c r="B591" s="1" t="n">
        <v>45071</v>
      </c>
      <c r="C591" s="1" t="n">
        <v>46126</v>
      </c>
      <c r="D591" t="inlineStr">
        <is>
          <t>ÖSTERGÖTLANDS LÄN</t>
        </is>
      </c>
      <c r="E591" t="inlineStr">
        <is>
          <t>KINDA</t>
        </is>
      </c>
      <c r="G591" t="n">
        <v>1.4</v>
      </c>
      <c r="H591" t="n">
        <v>0</v>
      </c>
      <c r="I591" t="n">
        <v>0</v>
      </c>
      <c r="J591" t="n">
        <v>0</v>
      </c>
      <c r="K591" t="n">
        <v>0</v>
      </c>
      <c r="L591" t="n">
        <v>0</v>
      </c>
      <c r="M591" t="n">
        <v>0</v>
      </c>
      <c r="N591" t="n">
        <v>0</v>
      </c>
      <c r="O591" t="n">
        <v>0</v>
      </c>
      <c r="P591" t="n">
        <v>0</v>
      </c>
      <c r="Q591" t="n">
        <v>0</v>
      </c>
      <c r="R591" s="2" t="inlineStr"/>
    </row>
    <row r="592" ht="15" customHeight="1">
      <c r="A592" t="inlineStr">
        <is>
          <t>A 38015-2023</t>
        </is>
      </c>
      <c r="B592" s="1" t="n">
        <v>45160</v>
      </c>
      <c r="C592" s="1" t="n">
        <v>46126</v>
      </c>
      <c r="D592" t="inlineStr">
        <is>
          <t>ÖSTERGÖTLANDS LÄN</t>
        </is>
      </c>
      <c r="E592" t="inlineStr">
        <is>
          <t>KINDA</t>
        </is>
      </c>
      <c r="F592" t="inlineStr">
        <is>
          <t>Allmännings- och besparingsskogar</t>
        </is>
      </c>
      <c r="G592" t="n">
        <v>11.5</v>
      </c>
      <c r="H592" t="n">
        <v>0</v>
      </c>
      <c r="I592" t="n">
        <v>0</v>
      </c>
      <c r="J592" t="n">
        <v>0</v>
      </c>
      <c r="K592" t="n">
        <v>0</v>
      </c>
      <c r="L592" t="n">
        <v>0</v>
      </c>
      <c r="M592" t="n">
        <v>0</v>
      </c>
      <c r="N592" t="n">
        <v>0</v>
      </c>
      <c r="O592" t="n">
        <v>0</v>
      </c>
      <c r="P592" t="n">
        <v>0</v>
      </c>
      <c r="Q592" t="n">
        <v>0</v>
      </c>
      <c r="R592" s="2" t="inlineStr"/>
    </row>
    <row r="593" ht="15" customHeight="1">
      <c r="A593" t="inlineStr">
        <is>
          <t>A 13291-2026</t>
        </is>
      </c>
      <c r="B593" s="1" t="n">
        <v>46094.29189814815</v>
      </c>
      <c r="C593" s="1" t="n">
        <v>46126</v>
      </c>
      <c r="D593" t="inlineStr">
        <is>
          <t>ÖSTERGÖTLANDS LÄN</t>
        </is>
      </c>
      <c r="E593" t="inlineStr">
        <is>
          <t>KINDA</t>
        </is>
      </c>
      <c r="G593" t="n">
        <v>1.9</v>
      </c>
      <c r="H593" t="n">
        <v>0</v>
      </c>
      <c r="I593" t="n">
        <v>0</v>
      </c>
      <c r="J593" t="n">
        <v>0</v>
      </c>
      <c r="K593" t="n">
        <v>0</v>
      </c>
      <c r="L593" t="n">
        <v>0</v>
      </c>
      <c r="M593" t="n">
        <v>0</v>
      </c>
      <c r="N593" t="n">
        <v>0</v>
      </c>
      <c r="O593" t="n">
        <v>0</v>
      </c>
      <c r="P593" t="n">
        <v>0</v>
      </c>
      <c r="Q593" t="n">
        <v>0</v>
      </c>
      <c r="R593" s="2" t="inlineStr"/>
    </row>
    <row r="594" ht="15" customHeight="1">
      <c r="A594" t="inlineStr">
        <is>
          <t>A 13455-2026</t>
        </is>
      </c>
      <c r="B594" s="1" t="n">
        <v>46094.5216087963</v>
      </c>
      <c r="C594" s="1" t="n">
        <v>46126</v>
      </c>
      <c r="D594" t="inlineStr">
        <is>
          <t>ÖSTERGÖTLANDS LÄN</t>
        </is>
      </c>
      <c r="E594" t="inlineStr">
        <is>
          <t>KINDA</t>
        </is>
      </c>
      <c r="G594" t="n">
        <v>1.7</v>
      </c>
      <c r="H594" t="n">
        <v>0</v>
      </c>
      <c r="I594" t="n">
        <v>0</v>
      </c>
      <c r="J594" t="n">
        <v>0</v>
      </c>
      <c r="K594" t="n">
        <v>0</v>
      </c>
      <c r="L594" t="n">
        <v>0</v>
      </c>
      <c r="M594" t="n">
        <v>0</v>
      </c>
      <c r="N594" t="n">
        <v>0</v>
      </c>
      <c r="O594" t="n">
        <v>0</v>
      </c>
      <c r="P594" t="n">
        <v>0</v>
      </c>
      <c r="Q594" t="n">
        <v>0</v>
      </c>
      <c r="R594" s="2" t="inlineStr"/>
    </row>
    <row r="595" ht="15" customHeight="1">
      <c r="A595" t="inlineStr">
        <is>
          <t>A 5943-2026</t>
        </is>
      </c>
      <c r="B595" s="1" t="n">
        <v>46052.48008101852</v>
      </c>
      <c r="C595" s="1" t="n">
        <v>46126</v>
      </c>
      <c r="D595" t="inlineStr">
        <is>
          <t>ÖSTERGÖTLANDS LÄN</t>
        </is>
      </c>
      <c r="E595" t="inlineStr">
        <is>
          <t>KINDA</t>
        </is>
      </c>
      <c r="G595" t="n">
        <v>1.6</v>
      </c>
      <c r="H595" t="n">
        <v>0</v>
      </c>
      <c r="I595" t="n">
        <v>0</v>
      </c>
      <c r="J595" t="n">
        <v>0</v>
      </c>
      <c r="K595" t="n">
        <v>0</v>
      </c>
      <c r="L595" t="n">
        <v>0</v>
      </c>
      <c r="M595" t="n">
        <v>0</v>
      </c>
      <c r="N595" t="n">
        <v>0</v>
      </c>
      <c r="O595" t="n">
        <v>0</v>
      </c>
      <c r="P595" t="n">
        <v>0</v>
      </c>
      <c r="Q595" t="n">
        <v>0</v>
      </c>
      <c r="R595" s="2" t="inlineStr"/>
    </row>
    <row r="596" ht="15" customHeight="1">
      <c r="A596" t="inlineStr">
        <is>
          <t>A 13297-2026</t>
        </is>
      </c>
      <c r="B596" s="1" t="n">
        <v>46094.31621527778</v>
      </c>
      <c r="C596" s="1" t="n">
        <v>46126</v>
      </c>
      <c r="D596" t="inlineStr">
        <is>
          <t>ÖSTERGÖTLANDS LÄN</t>
        </is>
      </c>
      <c r="E596" t="inlineStr">
        <is>
          <t>KINDA</t>
        </is>
      </c>
      <c r="G596" t="n">
        <v>2.1</v>
      </c>
      <c r="H596" t="n">
        <v>0</v>
      </c>
      <c r="I596" t="n">
        <v>0</v>
      </c>
      <c r="J596" t="n">
        <v>0</v>
      </c>
      <c r="K596" t="n">
        <v>0</v>
      </c>
      <c r="L596" t="n">
        <v>0</v>
      </c>
      <c r="M596" t="n">
        <v>0</v>
      </c>
      <c r="N596" t="n">
        <v>0</v>
      </c>
      <c r="O596" t="n">
        <v>0</v>
      </c>
      <c r="P596" t="n">
        <v>0</v>
      </c>
      <c r="Q596" t="n">
        <v>0</v>
      </c>
      <c r="R596" s="2" t="inlineStr"/>
    </row>
    <row r="597" ht="15" customHeight="1">
      <c r="A597" t="inlineStr">
        <is>
          <t>A 5899-2026</t>
        </is>
      </c>
      <c r="B597" s="1" t="n">
        <v>46052.42929398148</v>
      </c>
      <c r="C597" s="1" t="n">
        <v>46126</v>
      </c>
      <c r="D597" t="inlineStr">
        <is>
          <t>ÖSTERGÖTLANDS LÄN</t>
        </is>
      </c>
      <c r="E597" t="inlineStr">
        <is>
          <t>KINDA</t>
        </is>
      </c>
      <c r="G597" t="n">
        <v>3.8</v>
      </c>
      <c r="H597" t="n">
        <v>0</v>
      </c>
      <c r="I597" t="n">
        <v>0</v>
      </c>
      <c r="J597" t="n">
        <v>0</v>
      </c>
      <c r="K597" t="n">
        <v>0</v>
      </c>
      <c r="L597" t="n">
        <v>0</v>
      </c>
      <c r="M597" t="n">
        <v>0</v>
      </c>
      <c r="N597" t="n">
        <v>0</v>
      </c>
      <c r="O597" t="n">
        <v>0</v>
      </c>
      <c r="P597" t="n">
        <v>0</v>
      </c>
      <c r="Q597" t="n">
        <v>0</v>
      </c>
      <c r="R597" s="2" t="inlineStr"/>
    </row>
    <row r="598" ht="15" customHeight="1">
      <c r="A598" t="inlineStr">
        <is>
          <t>A 5935-2026</t>
        </is>
      </c>
      <c r="B598" s="1" t="n">
        <v>46052.47105324074</v>
      </c>
      <c r="C598" s="1" t="n">
        <v>46126</v>
      </c>
      <c r="D598" t="inlineStr">
        <is>
          <t>ÖSTERGÖTLANDS LÄN</t>
        </is>
      </c>
      <c r="E598" t="inlineStr">
        <is>
          <t>KINDA</t>
        </is>
      </c>
      <c r="G598" t="n">
        <v>2.3</v>
      </c>
      <c r="H598" t="n">
        <v>0</v>
      </c>
      <c r="I598" t="n">
        <v>0</v>
      </c>
      <c r="J598" t="n">
        <v>0</v>
      </c>
      <c r="K598" t="n">
        <v>0</v>
      </c>
      <c r="L598" t="n">
        <v>0</v>
      </c>
      <c r="M598" t="n">
        <v>0</v>
      </c>
      <c r="N598" t="n">
        <v>0</v>
      </c>
      <c r="O598" t="n">
        <v>0</v>
      </c>
      <c r="P598" t="n">
        <v>0</v>
      </c>
      <c r="Q598" t="n">
        <v>0</v>
      </c>
      <c r="R598" s="2" t="inlineStr"/>
    </row>
    <row r="599" ht="15" customHeight="1">
      <c r="A599" t="inlineStr">
        <is>
          <t>A 58737-2024</t>
        </is>
      </c>
      <c r="B599" s="1" t="n">
        <v>45635.68952546296</v>
      </c>
      <c r="C599" s="1" t="n">
        <v>46126</v>
      </c>
      <c r="D599" t="inlineStr">
        <is>
          <t>ÖSTERGÖTLANDS LÄN</t>
        </is>
      </c>
      <c r="E599" t="inlineStr">
        <is>
          <t>KINDA</t>
        </is>
      </c>
      <c r="G599" t="n">
        <v>0.8</v>
      </c>
      <c r="H599" t="n">
        <v>0</v>
      </c>
      <c r="I599" t="n">
        <v>0</v>
      </c>
      <c r="J599" t="n">
        <v>0</v>
      </c>
      <c r="K599" t="n">
        <v>0</v>
      </c>
      <c r="L599" t="n">
        <v>0</v>
      </c>
      <c r="M599" t="n">
        <v>0</v>
      </c>
      <c r="N599" t="n">
        <v>0</v>
      </c>
      <c r="O599" t="n">
        <v>0</v>
      </c>
      <c r="P599" t="n">
        <v>0</v>
      </c>
      <c r="Q599" t="n">
        <v>0</v>
      </c>
      <c r="R599" s="2" t="inlineStr"/>
    </row>
    <row r="600" ht="15" customHeight="1">
      <c r="A600" t="inlineStr">
        <is>
          <t>A 45108-2023</t>
        </is>
      </c>
      <c r="B600" s="1" t="n">
        <v>45187</v>
      </c>
      <c r="C600" s="1" t="n">
        <v>46126</v>
      </c>
      <c r="D600" t="inlineStr">
        <is>
          <t>ÖSTERGÖTLANDS LÄN</t>
        </is>
      </c>
      <c r="E600" t="inlineStr">
        <is>
          <t>KINDA</t>
        </is>
      </c>
      <c r="G600" t="n">
        <v>1</v>
      </c>
      <c r="H600" t="n">
        <v>0</v>
      </c>
      <c r="I600" t="n">
        <v>0</v>
      </c>
      <c r="J600" t="n">
        <v>0</v>
      </c>
      <c r="K600" t="n">
        <v>0</v>
      </c>
      <c r="L600" t="n">
        <v>0</v>
      </c>
      <c r="M600" t="n">
        <v>0</v>
      </c>
      <c r="N600" t="n">
        <v>0</v>
      </c>
      <c r="O600" t="n">
        <v>0</v>
      </c>
      <c r="P600" t="n">
        <v>0</v>
      </c>
      <c r="Q600" t="n">
        <v>0</v>
      </c>
      <c r="R600" s="2" t="inlineStr"/>
    </row>
    <row r="601" ht="15" customHeight="1">
      <c r="A601" t="inlineStr">
        <is>
          <t>A 56129-2024</t>
        </is>
      </c>
      <c r="B601" s="1" t="n">
        <v>45624</v>
      </c>
      <c r="C601" s="1" t="n">
        <v>46126</v>
      </c>
      <c r="D601" t="inlineStr">
        <is>
          <t>ÖSTERGÖTLANDS LÄN</t>
        </is>
      </c>
      <c r="E601" t="inlineStr">
        <is>
          <t>KINDA</t>
        </is>
      </c>
      <c r="G601" t="n">
        <v>0.9</v>
      </c>
      <c r="H601" t="n">
        <v>0</v>
      </c>
      <c r="I601" t="n">
        <v>0</v>
      </c>
      <c r="J601" t="n">
        <v>0</v>
      </c>
      <c r="K601" t="n">
        <v>0</v>
      </c>
      <c r="L601" t="n">
        <v>0</v>
      </c>
      <c r="M601" t="n">
        <v>0</v>
      </c>
      <c r="N601" t="n">
        <v>0</v>
      </c>
      <c r="O601" t="n">
        <v>0</v>
      </c>
      <c r="P601" t="n">
        <v>0</v>
      </c>
      <c r="Q601" t="n">
        <v>0</v>
      </c>
      <c r="R601" s="2" t="inlineStr"/>
    </row>
    <row r="602" ht="15" customHeight="1">
      <c r="A602" t="inlineStr">
        <is>
          <t>A 49337-2024</t>
        </is>
      </c>
      <c r="B602" s="1" t="n">
        <v>45595.59052083334</v>
      </c>
      <c r="C602" s="1" t="n">
        <v>46126</v>
      </c>
      <c r="D602" t="inlineStr">
        <is>
          <t>ÖSTERGÖTLANDS LÄN</t>
        </is>
      </c>
      <c r="E602" t="inlineStr">
        <is>
          <t>KINDA</t>
        </is>
      </c>
      <c r="G602" t="n">
        <v>0.6</v>
      </c>
      <c r="H602" t="n">
        <v>0</v>
      </c>
      <c r="I602" t="n">
        <v>0</v>
      </c>
      <c r="J602" t="n">
        <v>0</v>
      </c>
      <c r="K602" t="n">
        <v>0</v>
      </c>
      <c r="L602" t="n">
        <v>0</v>
      </c>
      <c r="M602" t="n">
        <v>0</v>
      </c>
      <c r="N602" t="n">
        <v>0</v>
      </c>
      <c r="O602" t="n">
        <v>0</v>
      </c>
      <c r="P602" t="n">
        <v>0</v>
      </c>
      <c r="Q602" t="n">
        <v>0</v>
      </c>
      <c r="R602" s="2" t="inlineStr"/>
    </row>
    <row r="603" ht="15" customHeight="1">
      <c r="A603" t="inlineStr">
        <is>
          <t>A 6534-2026</t>
        </is>
      </c>
      <c r="B603" s="1" t="n">
        <v>46056.41675925926</v>
      </c>
      <c r="C603" s="1" t="n">
        <v>46126</v>
      </c>
      <c r="D603" t="inlineStr">
        <is>
          <t>ÖSTERGÖTLANDS LÄN</t>
        </is>
      </c>
      <c r="E603" t="inlineStr">
        <is>
          <t>KINDA</t>
        </is>
      </c>
      <c r="G603" t="n">
        <v>1.6</v>
      </c>
      <c r="H603" t="n">
        <v>0</v>
      </c>
      <c r="I603" t="n">
        <v>0</v>
      </c>
      <c r="J603" t="n">
        <v>0</v>
      </c>
      <c r="K603" t="n">
        <v>0</v>
      </c>
      <c r="L603" t="n">
        <v>0</v>
      </c>
      <c r="M603" t="n">
        <v>0</v>
      </c>
      <c r="N603" t="n">
        <v>0</v>
      </c>
      <c r="O603" t="n">
        <v>0</v>
      </c>
      <c r="P603" t="n">
        <v>0</v>
      </c>
      <c r="Q603" t="n">
        <v>0</v>
      </c>
      <c r="R603" s="2" t="inlineStr"/>
    </row>
    <row r="604" ht="15" customHeight="1">
      <c r="A604" t="inlineStr">
        <is>
          <t>A 23887-2023</t>
        </is>
      </c>
      <c r="B604" s="1" t="n">
        <v>45078.52990740741</v>
      </c>
      <c r="C604" s="1" t="n">
        <v>46126</v>
      </c>
      <c r="D604" t="inlineStr">
        <is>
          <t>ÖSTERGÖTLANDS LÄN</t>
        </is>
      </c>
      <c r="E604" t="inlineStr">
        <is>
          <t>KINDA</t>
        </is>
      </c>
      <c r="G604" t="n">
        <v>1.5</v>
      </c>
      <c r="H604" t="n">
        <v>0</v>
      </c>
      <c r="I604" t="n">
        <v>0</v>
      </c>
      <c r="J604" t="n">
        <v>0</v>
      </c>
      <c r="K604" t="n">
        <v>0</v>
      </c>
      <c r="L604" t="n">
        <v>0</v>
      </c>
      <c r="M604" t="n">
        <v>0</v>
      </c>
      <c r="N604" t="n">
        <v>0</v>
      </c>
      <c r="O604" t="n">
        <v>0</v>
      </c>
      <c r="P604" t="n">
        <v>0</v>
      </c>
      <c r="Q604" t="n">
        <v>0</v>
      </c>
      <c r="R604" s="2" t="inlineStr"/>
    </row>
    <row r="605" ht="15" customHeight="1">
      <c r="A605" t="inlineStr">
        <is>
          <t>A 23897-2023</t>
        </is>
      </c>
      <c r="B605" s="1" t="n">
        <v>45078</v>
      </c>
      <c r="C605" s="1" t="n">
        <v>46126</v>
      </c>
      <c r="D605" t="inlineStr">
        <is>
          <t>ÖSTERGÖTLANDS LÄN</t>
        </is>
      </c>
      <c r="E605" t="inlineStr">
        <is>
          <t>KINDA</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37830-2023</t>
        </is>
      </c>
      <c r="B606" s="1" t="n">
        <v>45160.34069444444</v>
      </c>
      <c r="C606" s="1" t="n">
        <v>46126</v>
      </c>
      <c r="D606" t="inlineStr">
        <is>
          <t>ÖSTERGÖTLANDS LÄN</t>
        </is>
      </c>
      <c r="E606" t="inlineStr">
        <is>
          <t>KINDA</t>
        </is>
      </c>
      <c r="G606" t="n">
        <v>0.9</v>
      </c>
      <c r="H606" t="n">
        <v>0</v>
      </c>
      <c r="I606" t="n">
        <v>0</v>
      </c>
      <c r="J606" t="n">
        <v>0</v>
      </c>
      <c r="K606" t="n">
        <v>0</v>
      </c>
      <c r="L606" t="n">
        <v>0</v>
      </c>
      <c r="M606" t="n">
        <v>0</v>
      </c>
      <c r="N606" t="n">
        <v>0</v>
      </c>
      <c r="O606" t="n">
        <v>0</v>
      </c>
      <c r="P606" t="n">
        <v>0</v>
      </c>
      <c r="Q606" t="n">
        <v>0</v>
      </c>
      <c r="R606" s="2" t="inlineStr"/>
    </row>
    <row r="607" ht="15" customHeight="1">
      <c r="A607" t="inlineStr">
        <is>
          <t>A 3953-2025</t>
        </is>
      </c>
      <c r="B607" s="1" t="n">
        <v>45684.49472222223</v>
      </c>
      <c r="C607" s="1" t="n">
        <v>46126</v>
      </c>
      <c r="D607" t="inlineStr">
        <is>
          <t>ÖSTERGÖTLANDS LÄN</t>
        </is>
      </c>
      <c r="E607" t="inlineStr">
        <is>
          <t>KINDA</t>
        </is>
      </c>
      <c r="G607" t="n">
        <v>4</v>
      </c>
      <c r="H607" t="n">
        <v>0</v>
      </c>
      <c r="I607" t="n">
        <v>0</v>
      </c>
      <c r="J607" t="n">
        <v>0</v>
      </c>
      <c r="K607" t="n">
        <v>0</v>
      </c>
      <c r="L607" t="n">
        <v>0</v>
      </c>
      <c r="M607" t="n">
        <v>0</v>
      </c>
      <c r="N607" t="n">
        <v>0</v>
      </c>
      <c r="O607" t="n">
        <v>0</v>
      </c>
      <c r="P607" t="n">
        <v>0</v>
      </c>
      <c r="Q607" t="n">
        <v>0</v>
      </c>
      <c r="R607" s="2" t="inlineStr"/>
    </row>
    <row r="608" ht="15" customHeight="1">
      <c r="A608" t="inlineStr">
        <is>
          <t>A 34730-2022</t>
        </is>
      </c>
      <c r="B608" s="1" t="n">
        <v>44795</v>
      </c>
      <c r="C608" s="1" t="n">
        <v>46126</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12997-2024</t>
        </is>
      </c>
      <c r="B609" s="1" t="n">
        <v>45385.56655092593</v>
      </c>
      <c r="C609" s="1" t="n">
        <v>46126</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15302-2025</t>
        </is>
      </c>
      <c r="B610" s="1" t="n">
        <v>45746.48921296297</v>
      </c>
      <c r="C610" s="1" t="n">
        <v>46126</v>
      </c>
      <c r="D610" t="inlineStr">
        <is>
          <t>ÖSTERGÖTLANDS LÄN</t>
        </is>
      </c>
      <c r="E610" t="inlineStr">
        <is>
          <t>KINDA</t>
        </is>
      </c>
      <c r="G610" t="n">
        <v>5.6</v>
      </c>
      <c r="H610" t="n">
        <v>0</v>
      </c>
      <c r="I610" t="n">
        <v>0</v>
      </c>
      <c r="J610" t="n">
        <v>0</v>
      </c>
      <c r="K610" t="n">
        <v>0</v>
      </c>
      <c r="L610" t="n">
        <v>0</v>
      </c>
      <c r="M610" t="n">
        <v>0</v>
      </c>
      <c r="N610" t="n">
        <v>0</v>
      </c>
      <c r="O610" t="n">
        <v>0</v>
      </c>
      <c r="P610" t="n">
        <v>0</v>
      </c>
      <c r="Q610" t="n">
        <v>0</v>
      </c>
      <c r="R610" s="2" t="inlineStr"/>
    </row>
    <row r="611" ht="15" customHeight="1">
      <c r="A611" t="inlineStr">
        <is>
          <t>A 7792-2022</t>
        </is>
      </c>
      <c r="B611" s="1" t="n">
        <v>44608.48450231482</v>
      </c>
      <c r="C611" s="1" t="n">
        <v>46126</v>
      </c>
      <c r="D611" t="inlineStr">
        <is>
          <t>ÖSTERGÖTLANDS LÄN</t>
        </is>
      </c>
      <c r="E611" t="inlineStr">
        <is>
          <t>KINDA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4236-2024</t>
        </is>
      </c>
      <c r="B612" s="1" t="n">
        <v>45324.44579861111</v>
      </c>
      <c r="C612" s="1" t="n">
        <v>46126</v>
      </c>
      <c r="D612" t="inlineStr">
        <is>
          <t>ÖSTERGÖTLANDS LÄN</t>
        </is>
      </c>
      <c r="E612" t="inlineStr">
        <is>
          <t>KINDA</t>
        </is>
      </c>
      <c r="G612" t="n">
        <v>1.4</v>
      </c>
      <c r="H612" t="n">
        <v>0</v>
      </c>
      <c r="I612" t="n">
        <v>0</v>
      </c>
      <c r="J612" t="n">
        <v>0</v>
      </c>
      <c r="K612" t="n">
        <v>0</v>
      </c>
      <c r="L612" t="n">
        <v>0</v>
      </c>
      <c r="M612" t="n">
        <v>0</v>
      </c>
      <c r="N612" t="n">
        <v>0</v>
      </c>
      <c r="O612" t="n">
        <v>0</v>
      </c>
      <c r="P612" t="n">
        <v>0</v>
      </c>
      <c r="Q612" t="n">
        <v>0</v>
      </c>
      <c r="R612" s="2" t="inlineStr"/>
    </row>
    <row r="613" ht="15" customHeight="1">
      <c r="A613" t="inlineStr">
        <is>
          <t>A 21244-2023</t>
        </is>
      </c>
      <c r="B613" s="1" t="n">
        <v>45062.57160879629</v>
      </c>
      <c r="C613" s="1" t="n">
        <v>46126</v>
      </c>
      <c r="D613" t="inlineStr">
        <is>
          <t>ÖSTERGÖTLANDS LÄN</t>
        </is>
      </c>
      <c r="E613" t="inlineStr">
        <is>
          <t>KINDA</t>
        </is>
      </c>
      <c r="G613" t="n">
        <v>5.5</v>
      </c>
      <c r="H613" t="n">
        <v>0</v>
      </c>
      <c r="I613" t="n">
        <v>0</v>
      </c>
      <c r="J613" t="n">
        <v>0</v>
      </c>
      <c r="K613" t="n">
        <v>0</v>
      </c>
      <c r="L613" t="n">
        <v>0</v>
      </c>
      <c r="M613" t="n">
        <v>0</v>
      </c>
      <c r="N613" t="n">
        <v>0</v>
      </c>
      <c r="O613" t="n">
        <v>0</v>
      </c>
      <c r="P613" t="n">
        <v>0</v>
      </c>
      <c r="Q613" t="n">
        <v>0</v>
      </c>
      <c r="R613" s="2" t="inlineStr"/>
    </row>
    <row r="614" ht="15" customHeight="1">
      <c r="A614" t="inlineStr">
        <is>
          <t>A 14950-2026</t>
        </is>
      </c>
      <c r="B614" s="1" t="n">
        <v>46104.54637731481</v>
      </c>
      <c r="C614" s="1" t="n">
        <v>46126</v>
      </c>
      <c r="D614" t="inlineStr">
        <is>
          <t>ÖSTERGÖTLANDS LÄN</t>
        </is>
      </c>
      <c r="E614" t="inlineStr">
        <is>
          <t>KINDA</t>
        </is>
      </c>
      <c r="G614" t="n">
        <v>5.7</v>
      </c>
      <c r="H614" t="n">
        <v>0</v>
      </c>
      <c r="I614" t="n">
        <v>0</v>
      </c>
      <c r="J614" t="n">
        <v>0</v>
      </c>
      <c r="K614" t="n">
        <v>0</v>
      </c>
      <c r="L614" t="n">
        <v>0</v>
      </c>
      <c r="M614" t="n">
        <v>0</v>
      </c>
      <c r="N614" t="n">
        <v>0</v>
      </c>
      <c r="O614" t="n">
        <v>0</v>
      </c>
      <c r="P614" t="n">
        <v>0</v>
      </c>
      <c r="Q614" t="n">
        <v>0</v>
      </c>
      <c r="R614" s="2" t="inlineStr"/>
    </row>
    <row r="615" ht="15" customHeight="1">
      <c r="A615" t="inlineStr">
        <is>
          <t>A 14941-2026</t>
        </is>
      </c>
      <c r="B615" s="1" t="n">
        <v>46104.52445601852</v>
      </c>
      <c r="C615" s="1" t="n">
        <v>46126</v>
      </c>
      <c r="D615" t="inlineStr">
        <is>
          <t>ÖSTERGÖTLANDS LÄN</t>
        </is>
      </c>
      <c r="E615" t="inlineStr">
        <is>
          <t>KINDA</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17071-2025</t>
        </is>
      </c>
      <c r="B616" s="1" t="n">
        <v>45755.61784722222</v>
      </c>
      <c r="C616" s="1" t="n">
        <v>46126</v>
      </c>
      <c r="D616" t="inlineStr">
        <is>
          <t>ÖSTERGÖTLANDS LÄN</t>
        </is>
      </c>
      <c r="E616" t="inlineStr">
        <is>
          <t>KINDA</t>
        </is>
      </c>
      <c r="G616" t="n">
        <v>1.2</v>
      </c>
      <c r="H616" t="n">
        <v>0</v>
      </c>
      <c r="I616" t="n">
        <v>0</v>
      </c>
      <c r="J616" t="n">
        <v>0</v>
      </c>
      <c r="K616" t="n">
        <v>0</v>
      </c>
      <c r="L616" t="n">
        <v>0</v>
      </c>
      <c r="M616" t="n">
        <v>0</v>
      </c>
      <c r="N616" t="n">
        <v>0</v>
      </c>
      <c r="O616" t="n">
        <v>0</v>
      </c>
      <c r="P616" t="n">
        <v>0</v>
      </c>
      <c r="Q616" t="n">
        <v>0</v>
      </c>
      <c r="R616" s="2" t="inlineStr"/>
    </row>
    <row r="617" ht="15" customHeight="1">
      <c r="A617" t="inlineStr">
        <is>
          <t>A 10477-2022</t>
        </is>
      </c>
      <c r="B617" s="1" t="n">
        <v>44623.61737268518</v>
      </c>
      <c r="C617" s="1" t="n">
        <v>46126</v>
      </c>
      <c r="D617" t="inlineStr">
        <is>
          <t>ÖSTERGÖTLANDS LÄN</t>
        </is>
      </c>
      <c r="E617" t="inlineStr">
        <is>
          <t>KINDA</t>
        </is>
      </c>
      <c r="G617" t="n">
        <v>0.7</v>
      </c>
      <c r="H617" t="n">
        <v>0</v>
      </c>
      <c r="I617" t="n">
        <v>0</v>
      </c>
      <c r="J617" t="n">
        <v>0</v>
      </c>
      <c r="K617" t="n">
        <v>0</v>
      </c>
      <c r="L617" t="n">
        <v>0</v>
      </c>
      <c r="M617" t="n">
        <v>0</v>
      </c>
      <c r="N617" t="n">
        <v>0</v>
      </c>
      <c r="O617" t="n">
        <v>0</v>
      </c>
      <c r="P617" t="n">
        <v>0</v>
      </c>
      <c r="Q617" t="n">
        <v>0</v>
      </c>
      <c r="R617" s="2" t="inlineStr"/>
    </row>
    <row r="618" ht="15" customHeight="1">
      <c r="A618" t="inlineStr">
        <is>
          <t>A 12622-2024</t>
        </is>
      </c>
      <c r="B618" s="1" t="n">
        <v>45383</v>
      </c>
      <c r="C618" s="1" t="n">
        <v>46126</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8092-2024</t>
        </is>
      </c>
      <c r="B619" s="1" t="n">
        <v>45351.4491550926</v>
      </c>
      <c r="C619" s="1" t="n">
        <v>46126</v>
      </c>
      <c r="D619" t="inlineStr">
        <is>
          <t>ÖSTERGÖTLANDS LÄN</t>
        </is>
      </c>
      <c r="E619" t="inlineStr">
        <is>
          <t>KINDA</t>
        </is>
      </c>
      <c r="G619" t="n">
        <v>0</v>
      </c>
      <c r="H619" t="n">
        <v>0</v>
      </c>
      <c r="I619" t="n">
        <v>0</v>
      </c>
      <c r="J619" t="n">
        <v>0</v>
      </c>
      <c r="K619" t="n">
        <v>0</v>
      </c>
      <c r="L619" t="n">
        <v>0</v>
      </c>
      <c r="M619" t="n">
        <v>0</v>
      </c>
      <c r="N619" t="n">
        <v>0</v>
      </c>
      <c r="O619" t="n">
        <v>0</v>
      </c>
      <c r="P619" t="n">
        <v>0</v>
      </c>
      <c r="Q619" t="n">
        <v>0</v>
      </c>
      <c r="R619" s="2" t="inlineStr"/>
    </row>
    <row r="620" ht="15" customHeight="1">
      <c r="A620" t="inlineStr">
        <is>
          <t>A 15159-2022</t>
        </is>
      </c>
      <c r="B620" s="1" t="n">
        <v>44658.49030092593</v>
      </c>
      <c r="C620" s="1" t="n">
        <v>46126</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39774-2023</t>
        </is>
      </c>
      <c r="B621" s="1" t="n">
        <v>45167</v>
      </c>
      <c r="C621" s="1" t="n">
        <v>46126</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23613-2022</t>
        </is>
      </c>
      <c r="B622" s="1" t="n">
        <v>44721.61611111111</v>
      </c>
      <c r="C622" s="1" t="n">
        <v>46126</v>
      </c>
      <c r="D622" t="inlineStr">
        <is>
          <t>ÖSTERGÖTLANDS LÄN</t>
        </is>
      </c>
      <c r="E622" t="inlineStr">
        <is>
          <t>KINDA</t>
        </is>
      </c>
      <c r="G622" t="n">
        <v>2.6</v>
      </c>
      <c r="H622" t="n">
        <v>0</v>
      </c>
      <c r="I622" t="n">
        <v>0</v>
      </c>
      <c r="J622" t="n">
        <v>0</v>
      </c>
      <c r="K622" t="n">
        <v>0</v>
      </c>
      <c r="L622" t="n">
        <v>0</v>
      </c>
      <c r="M622" t="n">
        <v>0</v>
      </c>
      <c r="N622" t="n">
        <v>0</v>
      </c>
      <c r="O622" t="n">
        <v>0</v>
      </c>
      <c r="P622" t="n">
        <v>0</v>
      </c>
      <c r="Q622" t="n">
        <v>0</v>
      </c>
      <c r="R622" s="2" t="inlineStr"/>
    </row>
    <row r="623" ht="15" customHeight="1">
      <c r="A623" t="inlineStr">
        <is>
          <t>A 15281-2026</t>
        </is>
      </c>
      <c r="B623" s="1" t="n">
        <v>46105.61167824074</v>
      </c>
      <c r="C623" s="1" t="n">
        <v>46126</v>
      </c>
      <c r="D623" t="inlineStr">
        <is>
          <t>ÖSTERGÖTLANDS LÄN</t>
        </is>
      </c>
      <c r="E623" t="inlineStr">
        <is>
          <t>KINDA</t>
        </is>
      </c>
      <c r="G623" t="n">
        <v>3.3</v>
      </c>
      <c r="H623" t="n">
        <v>0</v>
      </c>
      <c r="I623" t="n">
        <v>0</v>
      </c>
      <c r="J623" t="n">
        <v>0</v>
      </c>
      <c r="K623" t="n">
        <v>0</v>
      </c>
      <c r="L623" t="n">
        <v>0</v>
      </c>
      <c r="M623" t="n">
        <v>0</v>
      </c>
      <c r="N623" t="n">
        <v>0</v>
      </c>
      <c r="O623" t="n">
        <v>0</v>
      </c>
      <c r="P623" t="n">
        <v>0</v>
      </c>
      <c r="Q623" t="n">
        <v>0</v>
      </c>
      <c r="R623" s="2" t="inlineStr"/>
    </row>
    <row r="624" ht="15" customHeight="1">
      <c r="A624" t="inlineStr">
        <is>
          <t>A 24903-2022</t>
        </is>
      </c>
      <c r="B624" s="1" t="n">
        <v>44728.60424768519</v>
      </c>
      <c r="C624" s="1" t="n">
        <v>46126</v>
      </c>
      <c r="D624" t="inlineStr">
        <is>
          <t>ÖSTERGÖTLANDS LÄN</t>
        </is>
      </c>
      <c r="E624" t="inlineStr">
        <is>
          <t>KINDA</t>
        </is>
      </c>
      <c r="G624" t="n">
        <v>6.3</v>
      </c>
      <c r="H624" t="n">
        <v>0</v>
      </c>
      <c r="I624" t="n">
        <v>0</v>
      </c>
      <c r="J624" t="n">
        <v>0</v>
      </c>
      <c r="K624" t="n">
        <v>0</v>
      </c>
      <c r="L624" t="n">
        <v>0</v>
      </c>
      <c r="M624" t="n">
        <v>0</v>
      </c>
      <c r="N624" t="n">
        <v>0</v>
      </c>
      <c r="O624" t="n">
        <v>0</v>
      </c>
      <c r="P624" t="n">
        <v>0</v>
      </c>
      <c r="Q624" t="n">
        <v>0</v>
      </c>
      <c r="R624" s="2" t="inlineStr"/>
    </row>
    <row r="625" ht="15" customHeight="1">
      <c r="A625" t="inlineStr">
        <is>
          <t>A 17174-2022</t>
        </is>
      </c>
      <c r="B625" s="1" t="n">
        <v>44677</v>
      </c>
      <c r="C625" s="1" t="n">
        <v>46126</v>
      </c>
      <c r="D625" t="inlineStr">
        <is>
          <t>ÖSTERGÖTLANDS LÄN</t>
        </is>
      </c>
      <c r="E625" t="inlineStr">
        <is>
          <t>KINDA</t>
        </is>
      </c>
      <c r="G625" t="n">
        <v>1.8</v>
      </c>
      <c r="H625" t="n">
        <v>0</v>
      </c>
      <c r="I625" t="n">
        <v>0</v>
      </c>
      <c r="J625" t="n">
        <v>0</v>
      </c>
      <c r="K625" t="n">
        <v>0</v>
      </c>
      <c r="L625" t="n">
        <v>0</v>
      </c>
      <c r="M625" t="n">
        <v>0</v>
      </c>
      <c r="N625" t="n">
        <v>0</v>
      </c>
      <c r="O625" t="n">
        <v>0</v>
      </c>
      <c r="P625" t="n">
        <v>0</v>
      </c>
      <c r="Q625" t="n">
        <v>0</v>
      </c>
      <c r="R625" s="2" t="inlineStr"/>
    </row>
    <row r="626" ht="15" customHeight="1">
      <c r="A626" t="inlineStr">
        <is>
          <t>A 11881-2025</t>
        </is>
      </c>
      <c r="B626" s="1" t="n">
        <v>45728.44758101852</v>
      </c>
      <c r="C626" s="1" t="n">
        <v>46126</v>
      </c>
      <c r="D626" t="inlineStr">
        <is>
          <t>ÖSTERGÖTLANDS LÄN</t>
        </is>
      </c>
      <c r="E626" t="inlineStr">
        <is>
          <t>KINDA</t>
        </is>
      </c>
      <c r="G626" t="n">
        <v>1.8</v>
      </c>
      <c r="H626" t="n">
        <v>0</v>
      </c>
      <c r="I626" t="n">
        <v>0</v>
      </c>
      <c r="J626" t="n">
        <v>0</v>
      </c>
      <c r="K626" t="n">
        <v>0</v>
      </c>
      <c r="L626" t="n">
        <v>0</v>
      </c>
      <c r="M626" t="n">
        <v>0</v>
      </c>
      <c r="N626" t="n">
        <v>0</v>
      </c>
      <c r="O626" t="n">
        <v>0</v>
      </c>
      <c r="P626" t="n">
        <v>0</v>
      </c>
      <c r="Q626" t="n">
        <v>0</v>
      </c>
      <c r="R626" s="2" t="inlineStr"/>
    </row>
    <row r="627" ht="15" customHeight="1">
      <c r="A627" t="inlineStr">
        <is>
          <t>A 60597-2023</t>
        </is>
      </c>
      <c r="B627" s="1" t="n">
        <v>45260</v>
      </c>
      <c r="C627" s="1" t="n">
        <v>46126</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8413-2025</t>
        </is>
      </c>
      <c r="B628" s="1" t="n">
        <v>45709.39325231482</v>
      </c>
      <c r="C628" s="1" t="n">
        <v>46126</v>
      </c>
      <c r="D628" t="inlineStr">
        <is>
          <t>ÖSTERGÖTLANDS LÄN</t>
        </is>
      </c>
      <c r="E628" t="inlineStr">
        <is>
          <t>KINDA</t>
        </is>
      </c>
      <c r="G628" t="n">
        <v>0.7</v>
      </c>
      <c r="H628" t="n">
        <v>0</v>
      </c>
      <c r="I628" t="n">
        <v>0</v>
      </c>
      <c r="J628" t="n">
        <v>0</v>
      </c>
      <c r="K628" t="n">
        <v>0</v>
      </c>
      <c r="L628" t="n">
        <v>0</v>
      </c>
      <c r="M628" t="n">
        <v>0</v>
      </c>
      <c r="N628" t="n">
        <v>0</v>
      </c>
      <c r="O628" t="n">
        <v>0</v>
      </c>
      <c r="P628" t="n">
        <v>0</v>
      </c>
      <c r="Q628" t="n">
        <v>0</v>
      </c>
      <c r="R628" s="2" t="inlineStr"/>
    </row>
    <row r="629" ht="15" customHeight="1">
      <c r="A629" t="inlineStr">
        <is>
          <t>A 43475-2023</t>
        </is>
      </c>
      <c r="B629" s="1" t="n">
        <v>45184.43140046296</v>
      </c>
      <c r="C629" s="1" t="n">
        <v>46126</v>
      </c>
      <c r="D629" t="inlineStr">
        <is>
          <t>ÖSTERGÖTLANDS LÄN</t>
        </is>
      </c>
      <c r="E629" t="inlineStr">
        <is>
          <t>KINDA</t>
        </is>
      </c>
      <c r="G629" t="n">
        <v>6.1</v>
      </c>
      <c r="H629" t="n">
        <v>0</v>
      </c>
      <c r="I629" t="n">
        <v>0</v>
      </c>
      <c r="J629" t="n">
        <v>0</v>
      </c>
      <c r="K629" t="n">
        <v>0</v>
      </c>
      <c r="L629" t="n">
        <v>0</v>
      </c>
      <c r="M629" t="n">
        <v>0</v>
      </c>
      <c r="N629" t="n">
        <v>0</v>
      </c>
      <c r="O629" t="n">
        <v>0</v>
      </c>
      <c r="P629" t="n">
        <v>0</v>
      </c>
      <c r="Q629" t="n">
        <v>0</v>
      </c>
      <c r="R629" s="2" t="inlineStr"/>
    </row>
    <row r="630" ht="15" customHeight="1">
      <c r="A630" t="inlineStr">
        <is>
          <t>A 8387-2026</t>
        </is>
      </c>
      <c r="B630" s="1" t="n">
        <v>46064.90125</v>
      </c>
      <c r="C630" s="1" t="n">
        <v>46126</v>
      </c>
      <c r="D630" t="inlineStr">
        <is>
          <t>ÖSTERGÖTLANDS LÄN</t>
        </is>
      </c>
      <c r="E630" t="inlineStr">
        <is>
          <t>KINDA</t>
        </is>
      </c>
      <c r="G630" t="n">
        <v>2.1</v>
      </c>
      <c r="H630" t="n">
        <v>0</v>
      </c>
      <c r="I630" t="n">
        <v>0</v>
      </c>
      <c r="J630" t="n">
        <v>0</v>
      </c>
      <c r="K630" t="n">
        <v>0</v>
      </c>
      <c r="L630" t="n">
        <v>0</v>
      </c>
      <c r="M630" t="n">
        <v>0</v>
      </c>
      <c r="N630" t="n">
        <v>0</v>
      </c>
      <c r="O630" t="n">
        <v>0</v>
      </c>
      <c r="P630" t="n">
        <v>0</v>
      </c>
      <c r="Q630" t="n">
        <v>0</v>
      </c>
      <c r="R630" s="2" t="inlineStr"/>
    </row>
    <row r="631" ht="15" customHeight="1">
      <c r="A631" t="inlineStr">
        <is>
          <t>A 36126-2023</t>
        </is>
      </c>
      <c r="B631" s="1" t="n">
        <v>45149.57319444444</v>
      </c>
      <c r="C631" s="1" t="n">
        <v>46126</v>
      </c>
      <c r="D631" t="inlineStr">
        <is>
          <t>ÖSTERGÖTLANDS LÄN</t>
        </is>
      </c>
      <c r="E631" t="inlineStr">
        <is>
          <t>KINDA</t>
        </is>
      </c>
      <c r="G631" t="n">
        <v>3.8</v>
      </c>
      <c r="H631" t="n">
        <v>0</v>
      </c>
      <c r="I631" t="n">
        <v>0</v>
      </c>
      <c r="J631" t="n">
        <v>0</v>
      </c>
      <c r="K631" t="n">
        <v>0</v>
      </c>
      <c r="L631" t="n">
        <v>0</v>
      </c>
      <c r="M631" t="n">
        <v>0</v>
      </c>
      <c r="N631" t="n">
        <v>0</v>
      </c>
      <c r="O631" t="n">
        <v>0</v>
      </c>
      <c r="P631" t="n">
        <v>0</v>
      </c>
      <c r="Q631" t="n">
        <v>0</v>
      </c>
      <c r="R631" s="2" t="inlineStr"/>
    </row>
    <row r="632" ht="15" customHeight="1">
      <c r="A632" t="inlineStr">
        <is>
          <t>A 57336-2023</t>
        </is>
      </c>
      <c r="B632" s="1" t="n">
        <v>45245.66636574074</v>
      </c>
      <c r="C632" s="1" t="n">
        <v>46126</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16507-2026</t>
        </is>
      </c>
      <c r="B633" s="1" t="n">
        <v>46112.44665509259</v>
      </c>
      <c r="C633" s="1" t="n">
        <v>46126</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46639-2023</t>
        </is>
      </c>
      <c r="B634" s="1" t="n">
        <v>45198.43638888889</v>
      </c>
      <c r="C634" s="1" t="n">
        <v>46126</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35672-2022</t>
        </is>
      </c>
      <c r="B635" s="1" t="n">
        <v>44799.59876157407</v>
      </c>
      <c r="C635" s="1" t="n">
        <v>46126</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5508-2025</t>
        </is>
      </c>
      <c r="B636" s="1" t="n">
        <v>45693.39354166666</v>
      </c>
      <c r="C636" s="1" t="n">
        <v>46126</v>
      </c>
      <c r="D636" t="inlineStr">
        <is>
          <t>ÖSTERGÖTLANDS LÄN</t>
        </is>
      </c>
      <c r="E636" t="inlineStr">
        <is>
          <t>KINDA</t>
        </is>
      </c>
      <c r="G636" t="n">
        <v>1.3</v>
      </c>
      <c r="H636" t="n">
        <v>0</v>
      </c>
      <c r="I636" t="n">
        <v>0</v>
      </c>
      <c r="J636" t="n">
        <v>0</v>
      </c>
      <c r="K636" t="n">
        <v>0</v>
      </c>
      <c r="L636" t="n">
        <v>0</v>
      </c>
      <c r="M636" t="n">
        <v>0</v>
      </c>
      <c r="N636" t="n">
        <v>0</v>
      </c>
      <c r="O636" t="n">
        <v>0</v>
      </c>
      <c r="P636" t="n">
        <v>0</v>
      </c>
      <c r="Q636" t="n">
        <v>0</v>
      </c>
      <c r="R636" s="2" t="inlineStr"/>
    </row>
    <row r="637" ht="15" customHeight="1">
      <c r="A637" t="inlineStr">
        <is>
          <t>A 47187-2023</t>
        </is>
      </c>
      <c r="B637" s="1" t="n">
        <v>45202.26611111111</v>
      </c>
      <c r="C637" s="1" t="n">
        <v>46126</v>
      </c>
      <c r="D637" t="inlineStr">
        <is>
          <t>ÖSTERGÖTLANDS LÄN</t>
        </is>
      </c>
      <c r="E637" t="inlineStr">
        <is>
          <t>KINDA</t>
        </is>
      </c>
      <c r="G637" t="n">
        <v>1.8</v>
      </c>
      <c r="H637" t="n">
        <v>0</v>
      </c>
      <c r="I637" t="n">
        <v>0</v>
      </c>
      <c r="J637" t="n">
        <v>0</v>
      </c>
      <c r="K637" t="n">
        <v>0</v>
      </c>
      <c r="L637" t="n">
        <v>0</v>
      </c>
      <c r="M637" t="n">
        <v>0</v>
      </c>
      <c r="N637" t="n">
        <v>0</v>
      </c>
      <c r="O637" t="n">
        <v>0</v>
      </c>
      <c r="P637" t="n">
        <v>0</v>
      </c>
      <c r="Q637" t="n">
        <v>0</v>
      </c>
      <c r="R637" s="2" t="inlineStr"/>
    </row>
    <row r="638" ht="15" customHeight="1">
      <c r="A638" t="inlineStr">
        <is>
          <t>A 41331-2023</t>
        </is>
      </c>
      <c r="B638" s="1" t="n">
        <v>45174</v>
      </c>
      <c r="C638" s="1" t="n">
        <v>46126</v>
      </c>
      <c r="D638" t="inlineStr">
        <is>
          <t>ÖSTERGÖTLANDS LÄN</t>
        </is>
      </c>
      <c r="E638" t="inlineStr">
        <is>
          <t>KINDA</t>
        </is>
      </c>
      <c r="G638" t="n">
        <v>3.1</v>
      </c>
      <c r="H638" t="n">
        <v>0</v>
      </c>
      <c r="I638" t="n">
        <v>0</v>
      </c>
      <c r="J638" t="n">
        <v>0</v>
      </c>
      <c r="K638" t="n">
        <v>0</v>
      </c>
      <c r="L638" t="n">
        <v>0</v>
      </c>
      <c r="M638" t="n">
        <v>0</v>
      </c>
      <c r="N638" t="n">
        <v>0</v>
      </c>
      <c r="O638" t="n">
        <v>0</v>
      </c>
      <c r="P638" t="n">
        <v>0</v>
      </c>
      <c r="Q638" t="n">
        <v>0</v>
      </c>
      <c r="R638" s="2" t="inlineStr"/>
    </row>
    <row r="639" ht="15" customHeight="1">
      <c r="A639" t="inlineStr">
        <is>
          <t>A 33997-2023</t>
        </is>
      </c>
      <c r="B639" s="1" t="n">
        <v>45134</v>
      </c>
      <c r="C639" s="1" t="n">
        <v>46126</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54507-2022</t>
        </is>
      </c>
      <c r="B640" s="1" t="n">
        <v>44882</v>
      </c>
      <c r="C640" s="1" t="n">
        <v>46126</v>
      </c>
      <c r="D640" t="inlineStr">
        <is>
          <t>ÖSTERGÖTLANDS LÄN</t>
        </is>
      </c>
      <c r="E640" t="inlineStr">
        <is>
          <t>KINDA</t>
        </is>
      </c>
      <c r="G640" t="n">
        <v>0.1</v>
      </c>
      <c r="H640" t="n">
        <v>0</v>
      </c>
      <c r="I640" t="n">
        <v>0</v>
      </c>
      <c r="J640" t="n">
        <v>0</v>
      </c>
      <c r="K640" t="n">
        <v>0</v>
      </c>
      <c r="L640" t="n">
        <v>0</v>
      </c>
      <c r="M640" t="n">
        <v>0</v>
      </c>
      <c r="N640" t="n">
        <v>0</v>
      </c>
      <c r="O640" t="n">
        <v>0</v>
      </c>
      <c r="P640" t="n">
        <v>0</v>
      </c>
      <c r="Q640" t="n">
        <v>0</v>
      </c>
      <c r="R640" s="2" t="inlineStr"/>
    </row>
    <row r="641" ht="15" customHeight="1">
      <c r="A641" t="inlineStr">
        <is>
          <t>A 10095-2026</t>
        </is>
      </c>
      <c r="B641" s="1" t="n">
        <v>46073.72185185185</v>
      </c>
      <c r="C641" s="1" t="n">
        <v>46126</v>
      </c>
      <c r="D641" t="inlineStr">
        <is>
          <t>ÖSTERGÖTLANDS LÄN</t>
        </is>
      </c>
      <c r="E641" t="inlineStr">
        <is>
          <t>KINDA</t>
        </is>
      </c>
      <c r="G641" t="n">
        <v>4.1</v>
      </c>
      <c r="H641" t="n">
        <v>0</v>
      </c>
      <c r="I641" t="n">
        <v>0</v>
      </c>
      <c r="J641" t="n">
        <v>0</v>
      </c>
      <c r="K641" t="n">
        <v>0</v>
      </c>
      <c r="L641" t="n">
        <v>0</v>
      </c>
      <c r="M641" t="n">
        <v>0</v>
      </c>
      <c r="N641" t="n">
        <v>0</v>
      </c>
      <c r="O641" t="n">
        <v>0</v>
      </c>
      <c r="P641" t="n">
        <v>0</v>
      </c>
      <c r="Q641" t="n">
        <v>0</v>
      </c>
      <c r="R641" s="2" t="inlineStr"/>
    </row>
    <row r="642" ht="15" customHeight="1">
      <c r="A642" t="inlineStr">
        <is>
          <t>A 2952-2024</t>
        </is>
      </c>
      <c r="B642" s="1" t="n">
        <v>45315</v>
      </c>
      <c r="C642" s="1" t="n">
        <v>46126</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57342-2023</t>
        </is>
      </c>
      <c r="B643" s="1" t="n">
        <v>45245.67082175926</v>
      </c>
      <c r="C643" s="1" t="n">
        <v>46126</v>
      </c>
      <c r="D643" t="inlineStr">
        <is>
          <t>ÖSTERGÖTLANDS LÄN</t>
        </is>
      </c>
      <c r="E643" t="inlineStr">
        <is>
          <t>KINDA</t>
        </is>
      </c>
      <c r="G643" t="n">
        <v>2.7</v>
      </c>
      <c r="H643" t="n">
        <v>0</v>
      </c>
      <c r="I643" t="n">
        <v>0</v>
      </c>
      <c r="J643" t="n">
        <v>0</v>
      </c>
      <c r="K643" t="n">
        <v>0</v>
      </c>
      <c r="L643" t="n">
        <v>0</v>
      </c>
      <c r="M643" t="n">
        <v>0</v>
      </c>
      <c r="N643" t="n">
        <v>0</v>
      </c>
      <c r="O643" t="n">
        <v>0</v>
      </c>
      <c r="P643" t="n">
        <v>0</v>
      </c>
      <c r="Q643" t="n">
        <v>0</v>
      </c>
      <c r="R643" s="2" t="inlineStr"/>
    </row>
    <row r="644" ht="15" customHeight="1">
      <c r="A644" t="inlineStr">
        <is>
          <t>A 35662-2022</t>
        </is>
      </c>
      <c r="B644" s="1" t="n">
        <v>44799.58758101852</v>
      </c>
      <c r="C644" s="1" t="n">
        <v>46126</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1739-2024</t>
        </is>
      </c>
      <c r="B645" s="1" t="n">
        <v>45307.44446759259</v>
      </c>
      <c r="C645" s="1" t="n">
        <v>46126</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10517-2026</t>
        </is>
      </c>
      <c r="B646" s="1" t="n">
        <v>46077.57380787037</v>
      </c>
      <c r="C646" s="1" t="n">
        <v>46126</v>
      </c>
      <c r="D646" t="inlineStr">
        <is>
          <t>ÖSTERGÖTLANDS LÄN</t>
        </is>
      </c>
      <c r="E646" t="inlineStr">
        <is>
          <t>KINDA</t>
        </is>
      </c>
      <c r="G646" t="n">
        <v>3.3</v>
      </c>
      <c r="H646" t="n">
        <v>0</v>
      </c>
      <c r="I646" t="n">
        <v>0</v>
      </c>
      <c r="J646" t="n">
        <v>0</v>
      </c>
      <c r="K646" t="n">
        <v>0</v>
      </c>
      <c r="L646" t="n">
        <v>0</v>
      </c>
      <c r="M646" t="n">
        <v>0</v>
      </c>
      <c r="N646" t="n">
        <v>0</v>
      </c>
      <c r="O646" t="n">
        <v>0</v>
      </c>
      <c r="P646" t="n">
        <v>0</v>
      </c>
      <c r="Q646" t="n">
        <v>0</v>
      </c>
      <c r="R646" s="2" t="inlineStr"/>
    </row>
    <row r="647" ht="15" customHeight="1">
      <c r="A647" t="inlineStr">
        <is>
          <t>A 47056-2022</t>
        </is>
      </c>
      <c r="B647" s="1" t="n">
        <v>44852</v>
      </c>
      <c r="C647" s="1" t="n">
        <v>46126</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14943-2024</t>
        </is>
      </c>
      <c r="B648" s="1" t="n">
        <v>45398.69101851852</v>
      </c>
      <c r="C648" s="1" t="n">
        <v>46126</v>
      </c>
      <c r="D648" t="inlineStr">
        <is>
          <t>ÖSTERGÖTLANDS LÄN</t>
        </is>
      </c>
      <c r="E648" t="inlineStr">
        <is>
          <t>KINDA</t>
        </is>
      </c>
      <c r="G648" t="n">
        <v>2.3</v>
      </c>
      <c r="H648" t="n">
        <v>0</v>
      </c>
      <c r="I648" t="n">
        <v>0</v>
      </c>
      <c r="J648" t="n">
        <v>0</v>
      </c>
      <c r="K648" t="n">
        <v>0</v>
      </c>
      <c r="L648" t="n">
        <v>0</v>
      </c>
      <c r="M648" t="n">
        <v>0</v>
      </c>
      <c r="N648" t="n">
        <v>0</v>
      </c>
      <c r="O648" t="n">
        <v>0</v>
      </c>
      <c r="P648" t="n">
        <v>0</v>
      </c>
      <c r="Q648" t="n">
        <v>0</v>
      </c>
      <c r="R648" s="2" t="inlineStr"/>
    </row>
    <row r="649" ht="15" customHeight="1">
      <c r="A649" t="inlineStr">
        <is>
          <t>A 36824-2022</t>
        </is>
      </c>
      <c r="B649" s="1" t="n">
        <v>44805.55975694444</v>
      </c>
      <c r="C649" s="1" t="n">
        <v>46126</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15029-2024</t>
        </is>
      </c>
      <c r="B650" s="1" t="n">
        <v>45399.46633101852</v>
      </c>
      <c r="C650" s="1" t="n">
        <v>46126</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35572-2024</t>
        </is>
      </c>
      <c r="B651" s="1" t="n">
        <v>45531.64358796296</v>
      </c>
      <c r="C651" s="1" t="n">
        <v>46126</v>
      </c>
      <c r="D651" t="inlineStr">
        <is>
          <t>ÖSTERGÖTLANDS LÄN</t>
        </is>
      </c>
      <c r="E651" t="inlineStr">
        <is>
          <t>KINDA</t>
        </is>
      </c>
      <c r="G651" t="n">
        <v>2.1</v>
      </c>
      <c r="H651" t="n">
        <v>0</v>
      </c>
      <c r="I651" t="n">
        <v>0</v>
      </c>
      <c r="J651" t="n">
        <v>0</v>
      </c>
      <c r="K651" t="n">
        <v>0</v>
      </c>
      <c r="L651" t="n">
        <v>0</v>
      </c>
      <c r="M651" t="n">
        <v>0</v>
      </c>
      <c r="N651" t="n">
        <v>0</v>
      </c>
      <c r="O651" t="n">
        <v>0</v>
      </c>
      <c r="P651" t="n">
        <v>0</v>
      </c>
      <c r="Q651" t="n">
        <v>0</v>
      </c>
      <c r="R651" s="2" t="inlineStr"/>
    </row>
    <row r="652" ht="15" customHeight="1">
      <c r="A652" t="inlineStr">
        <is>
          <t>A 8590-2024</t>
        </is>
      </c>
      <c r="B652" s="1" t="n">
        <v>45352</v>
      </c>
      <c r="C652" s="1" t="n">
        <v>46126</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8064-2024</t>
        </is>
      </c>
      <c r="B653" s="1" t="n">
        <v>45351.40523148148</v>
      </c>
      <c r="C653" s="1" t="n">
        <v>46126</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12568-2025</t>
        </is>
      </c>
      <c r="B654" s="1" t="n">
        <v>45731.65049768519</v>
      </c>
      <c r="C654" s="1" t="n">
        <v>46126</v>
      </c>
      <c r="D654" t="inlineStr">
        <is>
          <t>ÖSTERGÖTLANDS LÄN</t>
        </is>
      </c>
      <c r="E654" t="inlineStr">
        <is>
          <t>KINDA</t>
        </is>
      </c>
      <c r="G654" t="n">
        <v>3.9</v>
      </c>
      <c r="H654" t="n">
        <v>0</v>
      </c>
      <c r="I654" t="n">
        <v>0</v>
      </c>
      <c r="J654" t="n">
        <v>0</v>
      </c>
      <c r="K654" t="n">
        <v>0</v>
      </c>
      <c r="L654" t="n">
        <v>0</v>
      </c>
      <c r="M654" t="n">
        <v>0</v>
      </c>
      <c r="N654" t="n">
        <v>0</v>
      </c>
      <c r="O654" t="n">
        <v>0</v>
      </c>
      <c r="P654" t="n">
        <v>0</v>
      </c>
      <c r="Q654" t="n">
        <v>0</v>
      </c>
      <c r="R654" s="2" t="inlineStr"/>
    </row>
    <row r="655" ht="15" customHeight="1">
      <c r="A655" t="inlineStr">
        <is>
          <t>A 3486-2023</t>
        </is>
      </c>
      <c r="B655" s="1" t="n">
        <v>44949.73369212963</v>
      </c>
      <c r="C655" s="1" t="n">
        <v>46126</v>
      </c>
      <c r="D655" t="inlineStr">
        <is>
          <t>ÖSTERGÖTLANDS LÄN</t>
        </is>
      </c>
      <c r="E655" t="inlineStr">
        <is>
          <t>KINDA</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17554-2026</t>
        </is>
      </c>
      <c r="B656" s="1" t="n">
        <v>46120.868125</v>
      </c>
      <c r="C656" s="1" t="n">
        <v>46126</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11231-2026</t>
        </is>
      </c>
      <c r="B657" s="1" t="n">
        <v>46080.49003472222</v>
      </c>
      <c r="C657" s="1" t="n">
        <v>46126</v>
      </c>
      <c r="D657" t="inlineStr">
        <is>
          <t>ÖSTERGÖTLANDS LÄN</t>
        </is>
      </c>
      <c r="E657" t="inlineStr">
        <is>
          <t>KINDA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937-2024</t>
        </is>
      </c>
      <c r="B658" s="1" t="n">
        <v>45301</v>
      </c>
      <c r="C658" s="1" t="n">
        <v>46126</v>
      </c>
      <c r="D658" t="inlineStr">
        <is>
          <t>ÖSTERGÖTLANDS LÄN</t>
        </is>
      </c>
      <c r="E658" t="inlineStr">
        <is>
          <t>KINDA</t>
        </is>
      </c>
      <c r="G658" t="n">
        <v>1.4</v>
      </c>
      <c r="H658" t="n">
        <v>0</v>
      </c>
      <c r="I658" t="n">
        <v>0</v>
      </c>
      <c r="J658" t="n">
        <v>0</v>
      </c>
      <c r="K658" t="n">
        <v>0</v>
      </c>
      <c r="L658" t="n">
        <v>0</v>
      </c>
      <c r="M658" t="n">
        <v>0</v>
      </c>
      <c r="N658" t="n">
        <v>0</v>
      </c>
      <c r="O658" t="n">
        <v>0</v>
      </c>
      <c r="P658" t="n">
        <v>0</v>
      </c>
      <c r="Q658" t="n">
        <v>0</v>
      </c>
      <c r="R658" s="2" t="inlineStr"/>
    </row>
    <row r="659" ht="15" customHeight="1">
      <c r="A659" t="inlineStr">
        <is>
          <t>A 44543-2021</t>
        </is>
      </c>
      <c r="B659" s="1" t="n">
        <v>44435</v>
      </c>
      <c r="C659" s="1" t="n">
        <v>46126</v>
      </c>
      <c r="D659" t="inlineStr">
        <is>
          <t>ÖSTERGÖTLANDS LÄN</t>
        </is>
      </c>
      <c r="E659" t="inlineStr">
        <is>
          <t>KINDA</t>
        </is>
      </c>
      <c r="G659" t="n">
        <v>10.2</v>
      </c>
      <c r="H659" t="n">
        <v>0</v>
      </c>
      <c r="I659" t="n">
        <v>0</v>
      </c>
      <c r="J659" t="n">
        <v>0</v>
      </c>
      <c r="K659" t="n">
        <v>0</v>
      </c>
      <c r="L659" t="n">
        <v>0</v>
      </c>
      <c r="M659" t="n">
        <v>0</v>
      </c>
      <c r="N659" t="n">
        <v>0</v>
      </c>
      <c r="O659" t="n">
        <v>0</v>
      </c>
      <c r="P659" t="n">
        <v>0</v>
      </c>
      <c r="Q659" t="n">
        <v>0</v>
      </c>
      <c r="R659" s="2" t="inlineStr"/>
    </row>
    <row r="660" ht="15" customHeight="1">
      <c r="A660" t="inlineStr">
        <is>
          <t>A 52861-2023</t>
        </is>
      </c>
      <c r="B660" s="1" t="n">
        <v>45219</v>
      </c>
      <c r="C660" s="1" t="n">
        <v>46126</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17938-2026</t>
        </is>
      </c>
      <c r="B661" s="1" t="n">
        <v>46122.63659722222</v>
      </c>
      <c r="C661" s="1" t="n">
        <v>46126</v>
      </c>
      <c r="D661" t="inlineStr">
        <is>
          <t>ÖSTERGÖTLANDS LÄN</t>
        </is>
      </c>
      <c r="E661" t="inlineStr">
        <is>
          <t>KINDA</t>
        </is>
      </c>
      <c r="G661" t="n">
        <v>0.5</v>
      </c>
      <c r="H661" t="n">
        <v>0</v>
      </c>
      <c r="I661" t="n">
        <v>0</v>
      </c>
      <c r="J661" t="n">
        <v>0</v>
      </c>
      <c r="K661" t="n">
        <v>0</v>
      </c>
      <c r="L661" t="n">
        <v>0</v>
      </c>
      <c r="M661" t="n">
        <v>0</v>
      </c>
      <c r="N661" t="n">
        <v>0</v>
      </c>
      <c r="O661" t="n">
        <v>0</v>
      </c>
      <c r="P661" t="n">
        <v>0</v>
      </c>
      <c r="Q661" t="n">
        <v>0</v>
      </c>
      <c r="R661" s="2" t="inlineStr"/>
    </row>
    <row r="662" ht="15" customHeight="1">
      <c r="A662" t="inlineStr">
        <is>
          <t>A 18198-2025</t>
        </is>
      </c>
      <c r="B662" s="1" t="n">
        <v>45761.68063657408</v>
      </c>
      <c r="C662" s="1" t="n">
        <v>46126</v>
      </c>
      <c r="D662" t="inlineStr">
        <is>
          <t>ÖSTERGÖTLANDS LÄN</t>
        </is>
      </c>
      <c r="E662" t="inlineStr">
        <is>
          <t>KINDA</t>
        </is>
      </c>
      <c r="G662" t="n">
        <v>2.1</v>
      </c>
      <c r="H662" t="n">
        <v>0</v>
      </c>
      <c r="I662" t="n">
        <v>0</v>
      </c>
      <c r="J662" t="n">
        <v>0</v>
      </c>
      <c r="K662" t="n">
        <v>0</v>
      </c>
      <c r="L662" t="n">
        <v>0</v>
      </c>
      <c r="M662" t="n">
        <v>0</v>
      </c>
      <c r="N662" t="n">
        <v>0</v>
      </c>
      <c r="O662" t="n">
        <v>0</v>
      </c>
      <c r="P662" t="n">
        <v>0</v>
      </c>
      <c r="Q662" t="n">
        <v>0</v>
      </c>
      <c r="R662" s="2" t="inlineStr"/>
    </row>
    <row r="663" ht="15" customHeight="1">
      <c r="A663" t="inlineStr">
        <is>
          <t>A 46908-2022</t>
        </is>
      </c>
      <c r="B663" s="1" t="n">
        <v>44851</v>
      </c>
      <c r="C663" s="1" t="n">
        <v>46126</v>
      </c>
      <c r="D663" t="inlineStr">
        <is>
          <t>ÖSTERGÖTLANDS LÄN</t>
        </is>
      </c>
      <c r="E663" t="inlineStr">
        <is>
          <t>KINDA</t>
        </is>
      </c>
      <c r="G663" t="n">
        <v>1.8</v>
      </c>
      <c r="H663" t="n">
        <v>0</v>
      </c>
      <c r="I663" t="n">
        <v>0</v>
      </c>
      <c r="J663" t="n">
        <v>0</v>
      </c>
      <c r="K663" t="n">
        <v>0</v>
      </c>
      <c r="L663" t="n">
        <v>0</v>
      </c>
      <c r="M663" t="n">
        <v>0</v>
      </c>
      <c r="N663" t="n">
        <v>0</v>
      </c>
      <c r="O663" t="n">
        <v>0</v>
      </c>
      <c r="P663" t="n">
        <v>0</v>
      </c>
      <c r="Q663" t="n">
        <v>0</v>
      </c>
      <c r="R663" s="2" t="inlineStr"/>
    </row>
    <row r="664" ht="15" customHeight="1">
      <c r="A664" t="inlineStr">
        <is>
          <t>A 11183-2026</t>
        </is>
      </c>
      <c r="B664" s="1" t="n">
        <v>46080.39516203704</v>
      </c>
      <c r="C664" s="1" t="n">
        <v>46126</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11184-2026</t>
        </is>
      </c>
      <c r="B665" s="1" t="n">
        <v>46080</v>
      </c>
      <c r="C665" s="1" t="n">
        <v>46126</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41718-2023</t>
        </is>
      </c>
      <c r="B666" s="1" t="n">
        <v>45176.39657407408</v>
      </c>
      <c r="C666" s="1" t="n">
        <v>46126</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28316-2023</t>
        </is>
      </c>
      <c r="B667" s="1" t="n">
        <v>45098</v>
      </c>
      <c r="C667" s="1" t="n">
        <v>46126</v>
      </c>
      <c r="D667" t="inlineStr">
        <is>
          <t>ÖSTERGÖTLANDS LÄN</t>
        </is>
      </c>
      <c r="E667" t="inlineStr">
        <is>
          <t>KINDA</t>
        </is>
      </c>
      <c r="G667" t="n">
        <v>2</v>
      </c>
      <c r="H667" t="n">
        <v>0</v>
      </c>
      <c r="I667" t="n">
        <v>0</v>
      </c>
      <c r="J667" t="n">
        <v>0</v>
      </c>
      <c r="K667" t="n">
        <v>0</v>
      </c>
      <c r="L667" t="n">
        <v>0</v>
      </c>
      <c r="M667" t="n">
        <v>0</v>
      </c>
      <c r="N667" t="n">
        <v>0</v>
      </c>
      <c r="O667" t="n">
        <v>0</v>
      </c>
      <c r="P667" t="n">
        <v>0</v>
      </c>
      <c r="Q667" t="n">
        <v>0</v>
      </c>
      <c r="R667" s="2" t="inlineStr"/>
    </row>
    <row r="668" ht="15" customHeight="1">
      <c r="A668" t="inlineStr">
        <is>
          <t>A 10758-2022</t>
        </is>
      </c>
      <c r="B668" s="1" t="n">
        <v>44627</v>
      </c>
      <c r="C668" s="1" t="n">
        <v>46126</v>
      </c>
      <c r="D668" t="inlineStr">
        <is>
          <t>ÖSTERGÖTLANDS LÄN</t>
        </is>
      </c>
      <c r="E668" t="inlineStr">
        <is>
          <t>KINDA</t>
        </is>
      </c>
      <c r="G668" t="n">
        <v>0.1</v>
      </c>
      <c r="H668" t="n">
        <v>0</v>
      </c>
      <c r="I668" t="n">
        <v>0</v>
      </c>
      <c r="J668" t="n">
        <v>0</v>
      </c>
      <c r="K668" t="n">
        <v>0</v>
      </c>
      <c r="L668" t="n">
        <v>0</v>
      </c>
      <c r="M668" t="n">
        <v>0</v>
      </c>
      <c r="N668" t="n">
        <v>0</v>
      </c>
      <c r="O668" t="n">
        <v>0</v>
      </c>
      <c r="P668" t="n">
        <v>0</v>
      </c>
      <c r="Q668" t="n">
        <v>0</v>
      </c>
      <c r="R668" s="2" t="inlineStr"/>
    </row>
    <row r="669" ht="15" customHeight="1">
      <c r="A669" t="inlineStr">
        <is>
          <t>A 41580-2023</t>
        </is>
      </c>
      <c r="B669" s="1" t="n">
        <v>45175.62292824074</v>
      </c>
      <c r="C669" s="1" t="n">
        <v>46126</v>
      </c>
      <c r="D669" t="inlineStr">
        <is>
          <t>ÖSTERGÖTLANDS LÄN</t>
        </is>
      </c>
      <c r="E669" t="inlineStr">
        <is>
          <t>KINDA</t>
        </is>
      </c>
      <c r="G669" t="n">
        <v>0.4</v>
      </c>
      <c r="H669" t="n">
        <v>0</v>
      </c>
      <c r="I669" t="n">
        <v>0</v>
      </c>
      <c r="J669" t="n">
        <v>0</v>
      </c>
      <c r="K669" t="n">
        <v>0</v>
      </c>
      <c r="L669" t="n">
        <v>0</v>
      </c>
      <c r="M669" t="n">
        <v>0</v>
      </c>
      <c r="N669" t="n">
        <v>0</v>
      </c>
      <c r="O669" t="n">
        <v>0</v>
      </c>
      <c r="P669" t="n">
        <v>0</v>
      </c>
      <c r="Q669" t="n">
        <v>0</v>
      </c>
      <c r="R669" s="2" t="inlineStr"/>
    </row>
    <row r="670" ht="15" customHeight="1">
      <c r="A670" t="inlineStr">
        <is>
          <t>A 56317-2021</t>
        </is>
      </c>
      <c r="B670" s="1" t="n">
        <v>44480.3503587963</v>
      </c>
      <c r="C670" s="1" t="n">
        <v>46126</v>
      </c>
      <c r="D670" t="inlineStr">
        <is>
          <t>ÖSTERGÖTLANDS LÄN</t>
        </is>
      </c>
      <c r="E670" t="inlineStr">
        <is>
          <t>KINDA</t>
        </is>
      </c>
      <c r="G670" t="n">
        <v>1.9</v>
      </c>
      <c r="H670" t="n">
        <v>0</v>
      </c>
      <c r="I670" t="n">
        <v>0</v>
      </c>
      <c r="J670" t="n">
        <v>0</v>
      </c>
      <c r="K670" t="n">
        <v>0</v>
      </c>
      <c r="L670" t="n">
        <v>0</v>
      </c>
      <c r="M670" t="n">
        <v>0</v>
      </c>
      <c r="N670" t="n">
        <v>0</v>
      </c>
      <c r="O670" t="n">
        <v>0</v>
      </c>
      <c r="P670" t="n">
        <v>0</v>
      </c>
      <c r="Q670" t="n">
        <v>0</v>
      </c>
      <c r="R670" s="2" t="inlineStr"/>
    </row>
    <row r="671" ht="15" customHeight="1">
      <c r="A671" t="inlineStr">
        <is>
          <t>A 31839-2023</t>
        </is>
      </c>
      <c r="B671" s="1" t="n">
        <v>45118.57342592593</v>
      </c>
      <c r="C671" s="1" t="n">
        <v>46126</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47000-2021</t>
        </is>
      </c>
      <c r="B672" s="1" t="n">
        <v>44446</v>
      </c>
      <c r="C672" s="1" t="n">
        <v>46126</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1896-2024</t>
        </is>
      </c>
      <c r="B673" s="1" t="n">
        <v>45308.33431712963</v>
      </c>
      <c r="C673" s="1" t="n">
        <v>46126</v>
      </c>
      <c r="D673" t="inlineStr">
        <is>
          <t>ÖSTERGÖTLANDS LÄN</t>
        </is>
      </c>
      <c r="E673" t="inlineStr">
        <is>
          <t>KINDA</t>
        </is>
      </c>
      <c r="G673" t="n">
        <v>2.9</v>
      </c>
      <c r="H673" t="n">
        <v>0</v>
      </c>
      <c r="I673" t="n">
        <v>0</v>
      </c>
      <c r="J673" t="n">
        <v>0</v>
      </c>
      <c r="K673" t="n">
        <v>0</v>
      </c>
      <c r="L673" t="n">
        <v>0</v>
      </c>
      <c r="M673" t="n">
        <v>0</v>
      </c>
      <c r="N673" t="n">
        <v>0</v>
      </c>
      <c r="O673" t="n">
        <v>0</v>
      </c>
      <c r="P673" t="n">
        <v>0</v>
      </c>
      <c r="Q673" t="n">
        <v>0</v>
      </c>
      <c r="R673" s="2" t="inlineStr"/>
    </row>
    <row r="674" ht="15" customHeight="1">
      <c r="A674" t="inlineStr">
        <is>
          <t>A 24839-2024</t>
        </is>
      </c>
      <c r="B674" s="1" t="n">
        <v>45461.41216435185</v>
      </c>
      <c r="C674" s="1" t="n">
        <v>46126</v>
      </c>
      <c r="D674" t="inlineStr">
        <is>
          <t>ÖSTERGÖTLANDS LÄN</t>
        </is>
      </c>
      <c r="E674" t="inlineStr">
        <is>
          <t>KINDA</t>
        </is>
      </c>
      <c r="G674" t="n">
        <v>1</v>
      </c>
      <c r="H674" t="n">
        <v>0</v>
      </c>
      <c r="I674" t="n">
        <v>0</v>
      </c>
      <c r="J674" t="n">
        <v>0</v>
      </c>
      <c r="K674" t="n">
        <v>0</v>
      </c>
      <c r="L674" t="n">
        <v>0</v>
      </c>
      <c r="M674" t="n">
        <v>0</v>
      </c>
      <c r="N674" t="n">
        <v>0</v>
      </c>
      <c r="O674" t="n">
        <v>0</v>
      </c>
      <c r="P674" t="n">
        <v>0</v>
      </c>
      <c r="Q674" t="n">
        <v>0</v>
      </c>
      <c r="R674" s="2" t="inlineStr"/>
    </row>
    <row r="675" ht="15" customHeight="1">
      <c r="A675" t="inlineStr">
        <is>
          <t>A 7645-2024</t>
        </is>
      </c>
      <c r="B675" s="1" t="n">
        <v>45348.65997685185</v>
      </c>
      <c r="C675" s="1" t="n">
        <v>46126</v>
      </c>
      <c r="D675" t="inlineStr">
        <is>
          <t>ÖSTERGÖTLANDS LÄN</t>
        </is>
      </c>
      <c r="E675" t="inlineStr">
        <is>
          <t>KINDA</t>
        </is>
      </c>
      <c r="G675" t="n">
        <v>6.3</v>
      </c>
      <c r="H675" t="n">
        <v>0</v>
      </c>
      <c r="I675" t="n">
        <v>0</v>
      </c>
      <c r="J675" t="n">
        <v>0</v>
      </c>
      <c r="K675" t="n">
        <v>0</v>
      </c>
      <c r="L675" t="n">
        <v>0</v>
      </c>
      <c r="M675" t="n">
        <v>0</v>
      </c>
      <c r="N675" t="n">
        <v>0</v>
      </c>
      <c r="O675" t="n">
        <v>0</v>
      </c>
      <c r="P675" t="n">
        <v>0</v>
      </c>
      <c r="Q675" t="n">
        <v>0</v>
      </c>
      <c r="R675" s="2" t="inlineStr"/>
    </row>
    <row r="676" ht="15" customHeight="1">
      <c r="A676" t="inlineStr">
        <is>
          <t>A 44203-2021</t>
        </is>
      </c>
      <c r="B676" s="1" t="n">
        <v>44434</v>
      </c>
      <c r="C676" s="1" t="n">
        <v>46126</v>
      </c>
      <c r="D676" t="inlineStr">
        <is>
          <t>ÖSTERGÖTLANDS LÄN</t>
        </is>
      </c>
      <c r="E676" t="inlineStr">
        <is>
          <t>KINDA</t>
        </is>
      </c>
      <c r="F676" t="inlineStr">
        <is>
          <t>Allmännings- och besparingsskogar</t>
        </is>
      </c>
      <c r="G676" t="n">
        <v>12.7</v>
      </c>
      <c r="H676" t="n">
        <v>0</v>
      </c>
      <c r="I676" t="n">
        <v>0</v>
      </c>
      <c r="J676" t="n">
        <v>0</v>
      </c>
      <c r="K676" t="n">
        <v>0</v>
      </c>
      <c r="L676" t="n">
        <v>0</v>
      </c>
      <c r="M676" t="n">
        <v>0</v>
      </c>
      <c r="N676" t="n">
        <v>0</v>
      </c>
      <c r="O676" t="n">
        <v>0</v>
      </c>
      <c r="P676" t="n">
        <v>0</v>
      </c>
      <c r="Q676" t="n">
        <v>0</v>
      </c>
      <c r="R676" s="2" t="inlineStr"/>
    </row>
    <row r="677" ht="15" customHeight="1">
      <c r="A677" t="inlineStr">
        <is>
          <t>A 4288-2023</t>
        </is>
      </c>
      <c r="B677" s="1" t="n">
        <v>44953</v>
      </c>
      <c r="C677" s="1" t="n">
        <v>46126</v>
      </c>
      <c r="D677" t="inlineStr">
        <is>
          <t>ÖSTERGÖTLANDS LÄN</t>
        </is>
      </c>
      <c r="E677" t="inlineStr">
        <is>
          <t>KINDA</t>
        </is>
      </c>
      <c r="G677" t="n">
        <v>1.9</v>
      </c>
      <c r="H677" t="n">
        <v>0</v>
      </c>
      <c r="I677" t="n">
        <v>0</v>
      </c>
      <c r="J677" t="n">
        <v>0</v>
      </c>
      <c r="K677" t="n">
        <v>0</v>
      </c>
      <c r="L677" t="n">
        <v>0</v>
      </c>
      <c r="M677" t="n">
        <v>0</v>
      </c>
      <c r="N677" t="n">
        <v>0</v>
      </c>
      <c r="O677" t="n">
        <v>0</v>
      </c>
      <c r="P677" t="n">
        <v>0</v>
      </c>
      <c r="Q677" t="n">
        <v>0</v>
      </c>
      <c r="R677" s="2" t="inlineStr"/>
    </row>
    <row r="678" ht="15" customHeight="1">
      <c r="A678" t="inlineStr">
        <is>
          <t>A 46757-2022</t>
        </is>
      </c>
      <c r="B678" s="1" t="n">
        <v>44851</v>
      </c>
      <c r="C678" s="1" t="n">
        <v>46126</v>
      </c>
      <c r="D678" t="inlineStr">
        <is>
          <t>ÖSTERGÖTLANDS LÄN</t>
        </is>
      </c>
      <c r="E678" t="inlineStr">
        <is>
          <t>KINDA</t>
        </is>
      </c>
      <c r="G678" t="n">
        <v>1.8</v>
      </c>
      <c r="H678" t="n">
        <v>0</v>
      </c>
      <c r="I678" t="n">
        <v>0</v>
      </c>
      <c r="J678" t="n">
        <v>0</v>
      </c>
      <c r="K678" t="n">
        <v>0</v>
      </c>
      <c r="L678" t="n">
        <v>0</v>
      </c>
      <c r="M678" t="n">
        <v>0</v>
      </c>
      <c r="N678" t="n">
        <v>0</v>
      </c>
      <c r="O678" t="n">
        <v>0</v>
      </c>
      <c r="P678" t="n">
        <v>0</v>
      </c>
      <c r="Q678" t="n">
        <v>0</v>
      </c>
      <c r="R678" s="2" t="inlineStr"/>
    </row>
    <row r="679" ht="15" customHeight="1">
      <c r="A679" t="inlineStr">
        <is>
          <t>A 20914-2021</t>
        </is>
      </c>
      <c r="B679" s="1" t="n">
        <v>44319</v>
      </c>
      <c r="C679" s="1" t="n">
        <v>46126</v>
      </c>
      <c r="D679" t="inlineStr">
        <is>
          <t>ÖSTERGÖTLANDS LÄN</t>
        </is>
      </c>
      <c r="E679" t="inlineStr">
        <is>
          <t>KINDA</t>
        </is>
      </c>
      <c r="G679" t="n">
        <v>2.2</v>
      </c>
      <c r="H679" t="n">
        <v>0</v>
      </c>
      <c r="I679" t="n">
        <v>0</v>
      </c>
      <c r="J679" t="n">
        <v>0</v>
      </c>
      <c r="K679" t="n">
        <v>0</v>
      </c>
      <c r="L679" t="n">
        <v>0</v>
      </c>
      <c r="M679" t="n">
        <v>0</v>
      </c>
      <c r="N679" t="n">
        <v>0</v>
      </c>
      <c r="O679" t="n">
        <v>0</v>
      </c>
      <c r="P679" t="n">
        <v>0</v>
      </c>
      <c r="Q679" t="n">
        <v>0</v>
      </c>
      <c r="R679" s="2" t="inlineStr"/>
    </row>
    <row r="680" ht="15" customHeight="1">
      <c r="A680" t="inlineStr">
        <is>
          <t>A 24150-2024</t>
        </is>
      </c>
      <c r="B680" s="1" t="n">
        <v>45456</v>
      </c>
      <c r="C680" s="1" t="n">
        <v>46126</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5203-2022</t>
        </is>
      </c>
      <c r="B681" s="1" t="n">
        <v>44594</v>
      </c>
      <c r="C681" s="1" t="n">
        <v>46126</v>
      </c>
      <c r="D681" t="inlineStr">
        <is>
          <t>ÖSTERGÖTLANDS LÄN</t>
        </is>
      </c>
      <c r="E681" t="inlineStr">
        <is>
          <t>KINDA</t>
        </is>
      </c>
      <c r="G681" t="n">
        <v>1.5</v>
      </c>
      <c r="H681" t="n">
        <v>0</v>
      </c>
      <c r="I681" t="n">
        <v>0</v>
      </c>
      <c r="J681" t="n">
        <v>0</v>
      </c>
      <c r="K681" t="n">
        <v>0</v>
      </c>
      <c r="L681" t="n">
        <v>0</v>
      </c>
      <c r="M681" t="n">
        <v>0</v>
      </c>
      <c r="N681" t="n">
        <v>0</v>
      </c>
      <c r="O681" t="n">
        <v>0</v>
      </c>
      <c r="P681" t="n">
        <v>0</v>
      </c>
      <c r="Q681" t="n">
        <v>0</v>
      </c>
      <c r="R681" s="2" t="inlineStr"/>
    </row>
    <row r="682" ht="15" customHeight="1">
      <c r="A682" t="inlineStr">
        <is>
          <t>A 43688-2023</t>
        </is>
      </c>
      <c r="B682" s="1" t="n">
        <v>45187</v>
      </c>
      <c r="C682" s="1" t="n">
        <v>46126</v>
      </c>
      <c r="D682" t="inlineStr">
        <is>
          <t>ÖSTERGÖTLANDS LÄN</t>
        </is>
      </c>
      <c r="E682" t="inlineStr">
        <is>
          <t>KINDA</t>
        </is>
      </c>
      <c r="F682" t="inlineStr">
        <is>
          <t>Övriga Aktiebolag</t>
        </is>
      </c>
      <c r="G682" t="n">
        <v>1.5</v>
      </c>
      <c r="H682" t="n">
        <v>0</v>
      </c>
      <c r="I682" t="n">
        <v>0</v>
      </c>
      <c r="J682" t="n">
        <v>0</v>
      </c>
      <c r="K682" t="n">
        <v>0</v>
      </c>
      <c r="L682" t="n">
        <v>0</v>
      </c>
      <c r="M682" t="n">
        <v>0</v>
      </c>
      <c r="N682" t="n">
        <v>0</v>
      </c>
      <c r="O682" t="n">
        <v>0</v>
      </c>
      <c r="P682" t="n">
        <v>0</v>
      </c>
      <c r="Q682" t="n">
        <v>0</v>
      </c>
      <c r="R682" s="2" t="inlineStr"/>
    </row>
    <row r="683" ht="15" customHeight="1">
      <c r="A683" t="inlineStr">
        <is>
          <t>A 49881-2021</t>
        </is>
      </c>
      <c r="B683" s="1" t="n">
        <v>44455.68322916667</v>
      </c>
      <c r="C683" s="1" t="n">
        <v>46126</v>
      </c>
      <c r="D683" t="inlineStr">
        <is>
          <t>ÖSTERGÖTLANDS LÄN</t>
        </is>
      </c>
      <c r="E683" t="inlineStr">
        <is>
          <t>KINDA</t>
        </is>
      </c>
      <c r="G683" t="n">
        <v>3.2</v>
      </c>
      <c r="H683" t="n">
        <v>0</v>
      </c>
      <c r="I683" t="n">
        <v>0</v>
      </c>
      <c r="J683" t="n">
        <v>0</v>
      </c>
      <c r="K683" t="n">
        <v>0</v>
      </c>
      <c r="L683" t="n">
        <v>0</v>
      </c>
      <c r="M683" t="n">
        <v>0</v>
      </c>
      <c r="N683" t="n">
        <v>0</v>
      </c>
      <c r="O683" t="n">
        <v>0</v>
      </c>
      <c r="P683" t="n">
        <v>0</v>
      </c>
      <c r="Q683" t="n">
        <v>0</v>
      </c>
      <c r="R683" s="2" t="inlineStr"/>
    </row>
    <row r="684" ht="15" customHeight="1">
      <c r="A684" t="inlineStr">
        <is>
          <t>A 38827-2021</t>
        </is>
      </c>
      <c r="B684" s="1" t="n">
        <v>44411</v>
      </c>
      <c r="C684" s="1" t="n">
        <v>46126</v>
      </c>
      <c r="D684" t="inlineStr">
        <is>
          <t>ÖSTERGÖTLANDS LÄN</t>
        </is>
      </c>
      <c r="E684" t="inlineStr">
        <is>
          <t>KINDA</t>
        </is>
      </c>
      <c r="F684" t="inlineStr">
        <is>
          <t>Övriga Aktiebolag</t>
        </is>
      </c>
      <c r="G684" t="n">
        <v>13.6</v>
      </c>
      <c r="H684" t="n">
        <v>0</v>
      </c>
      <c r="I684" t="n">
        <v>0</v>
      </c>
      <c r="J684" t="n">
        <v>0</v>
      </c>
      <c r="K684" t="n">
        <v>0</v>
      </c>
      <c r="L684" t="n">
        <v>0</v>
      </c>
      <c r="M684" t="n">
        <v>0</v>
      </c>
      <c r="N684" t="n">
        <v>0</v>
      </c>
      <c r="O684" t="n">
        <v>0</v>
      </c>
      <c r="P684" t="n">
        <v>0</v>
      </c>
      <c r="Q684" t="n">
        <v>0</v>
      </c>
      <c r="R684" s="2" t="inlineStr"/>
    </row>
    <row r="685" ht="15" customHeight="1">
      <c r="A685" t="inlineStr">
        <is>
          <t>A 28291-2023</t>
        </is>
      </c>
      <c r="B685" s="1" t="n">
        <v>45098</v>
      </c>
      <c r="C685" s="1" t="n">
        <v>46126</v>
      </c>
      <c r="D685" t="inlineStr">
        <is>
          <t>ÖSTERGÖTLANDS LÄN</t>
        </is>
      </c>
      <c r="E685" t="inlineStr">
        <is>
          <t>KINDA</t>
        </is>
      </c>
      <c r="G685" t="n">
        <v>1.8</v>
      </c>
      <c r="H685" t="n">
        <v>0</v>
      </c>
      <c r="I685" t="n">
        <v>0</v>
      </c>
      <c r="J685" t="n">
        <v>0</v>
      </c>
      <c r="K685" t="n">
        <v>0</v>
      </c>
      <c r="L685" t="n">
        <v>0</v>
      </c>
      <c r="M685" t="n">
        <v>0</v>
      </c>
      <c r="N685" t="n">
        <v>0</v>
      </c>
      <c r="O685" t="n">
        <v>0</v>
      </c>
      <c r="P685" t="n">
        <v>0</v>
      </c>
      <c r="Q685" t="n">
        <v>0</v>
      </c>
      <c r="R685" s="2" t="inlineStr"/>
    </row>
    <row r="686" ht="15" customHeight="1">
      <c r="A686" t="inlineStr">
        <is>
          <t>A 35789-2022</t>
        </is>
      </c>
      <c r="B686" s="1" t="n">
        <v>44801</v>
      </c>
      <c r="C686" s="1" t="n">
        <v>46126</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6837-2023</t>
        </is>
      </c>
      <c r="B687" s="1" t="n">
        <v>44967</v>
      </c>
      <c r="C687" s="1" t="n">
        <v>46126</v>
      </c>
      <c r="D687" t="inlineStr">
        <is>
          <t>ÖSTERGÖTLANDS LÄN</t>
        </is>
      </c>
      <c r="E687" t="inlineStr">
        <is>
          <t>KINDA</t>
        </is>
      </c>
      <c r="G687" t="n">
        <v>0.7</v>
      </c>
      <c r="H687" t="n">
        <v>0</v>
      </c>
      <c r="I687" t="n">
        <v>0</v>
      </c>
      <c r="J687" t="n">
        <v>0</v>
      </c>
      <c r="K687" t="n">
        <v>0</v>
      </c>
      <c r="L687" t="n">
        <v>0</v>
      </c>
      <c r="M687" t="n">
        <v>0</v>
      </c>
      <c r="N687" t="n">
        <v>0</v>
      </c>
      <c r="O687" t="n">
        <v>0</v>
      </c>
      <c r="P687" t="n">
        <v>0</v>
      </c>
      <c r="Q687" t="n">
        <v>0</v>
      </c>
      <c r="R687" s="2" t="inlineStr"/>
    </row>
    <row r="688" ht="15" customHeight="1">
      <c r="A688" t="inlineStr">
        <is>
          <t>A 8813-2023</t>
        </is>
      </c>
      <c r="B688" s="1" t="n">
        <v>44978.63537037037</v>
      </c>
      <c r="C688" s="1" t="n">
        <v>46126</v>
      </c>
      <c r="D688" t="inlineStr">
        <is>
          <t>ÖSTERGÖTLANDS LÄN</t>
        </is>
      </c>
      <c r="E688" t="inlineStr">
        <is>
          <t>KINDA</t>
        </is>
      </c>
      <c r="G688" t="n">
        <v>1.5</v>
      </c>
      <c r="H688" t="n">
        <v>0</v>
      </c>
      <c r="I688" t="n">
        <v>0</v>
      </c>
      <c r="J688" t="n">
        <v>0</v>
      </c>
      <c r="K688" t="n">
        <v>0</v>
      </c>
      <c r="L688" t="n">
        <v>0</v>
      </c>
      <c r="M688" t="n">
        <v>0</v>
      </c>
      <c r="N688" t="n">
        <v>0</v>
      </c>
      <c r="O688" t="n">
        <v>0</v>
      </c>
      <c r="P688" t="n">
        <v>0</v>
      </c>
      <c r="Q688" t="n">
        <v>0</v>
      </c>
      <c r="R688" s="2" t="inlineStr"/>
    </row>
    <row r="689" ht="15" customHeight="1">
      <c r="A689" t="inlineStr">
        <is>
          <t>A 13352-2022</t>
        </is>
      </c>
      <c r="B689" s="1" t="n">
        <v>44645</v>
      </c>
      <c r="C689" s="1" t="n">
        <v>46126</v>
      </c>
      <c r="D689" t="inlineStr">
        <is>
          <t>ÖSTERGÖTLANDS LÄN</t>
        </is>
      </c>
      <c r="E689" t="inlineStr">
        <is>
          <t>KINDA</t>
        </is>
      </c>
      <c r="G689" t="n">
        <v>0.3</v>
      </c>
      <c r="H689" t="n">
        <v>0</v>
      </c>
      <c r="I689" t="n">
        <v>0</v>
      </c>
      <c r="J689" t="n">
        <v>0</v>
      </c>
      <c r="K689" t="n">
        <v>0</v>
      </c>
      <c r="L689" t="n">
        <v>0</v>
      </c>
      <c r="M689" t="n">
        <v>0</v>
      </c>
      <c r="N689" t="n">
        <v>0</v>
      </c>
      <c r="O689" t="n">
        <v>0</v>
      </c>
      <c r="P689" t="n">
        <v>0</v>
      </c>
      <c r="Q689" t="n">
        <v>0</v>
      </c>
      <c r="R689" s="2" t="inlineStr"/>
    </row>
    <row r="690" ht="15" customHeight="1">
      <c r="A690" t="inlineStr">
        <is>
          <t>A 21293-2021</t>
        </is>
      </c>
      <c r="B690" s="1" t="n">
        <v>44320.65725694445</v>
      </c>
      <c r="C690" s="1" t="n">
        <v>46126</v>
      </c>
      <c r="D690" t="inlineStr">
        <is>
          <t>ÖSTERGÖTLANDS LÄN</t>
        </is>
      </c>
      <c r="E690" t="inlineStr">
        <is>
          <t>KINDA</t>
        </is>
      </c>
      <c r="G690" t="n">
        <v>1.1</v>
      </c>
      <c r="H690" t="n">
        <v>0</v>
      </c>
      <c r="I690" t="n">
        <v>0</v>
      </c>
      <c r="J690" t="n">
        <v>0</v>
      </c>
      <c r="K690" t="n">
        <v>0</v>
      </c>
      <c r="L690" t="n">
        <v>0</v>
      </c>
      <c r="M690" t="n">
        <v>0</v>
      </c>
      <c r="N690" t="n">
        <v>0</v>
      </c>
      <c r="O690" t="n">
        <v>0</v>
      </c>
      <c r="P690" t="n">
        <v>0</v>
      </c>
      <c r="Q690" t="n">
        <v>0</v>
      </c>
      <c r="R690" s="2" t="inlineStr"/>
    </row>
    <row r="691" ht="15" customHeight="1">
      <c r="A691" t="inlineStr">
        <is>
          <t>A 31831-2023</t>
        </is>
      </c>
      <c r="B691" s="1" t="n">
        <v>45118.5630787037</v>
      </c>
      <c r="C691" s="1" t="n">
        <v>46126</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21246-2023</t>
        </is>
      </c>
      <c r="B692" s="1" t="n">
        <v>45062.57262731482</v>
      </c>
      <c r="C692" s="1" t="n">
        <v>46126</v>
      </c>
      <c r="D692" t="inlineStr">
        <is>
          <t>ÖSTERGÖTLANDS LÄN</t>
        </is>
      </c>
      <c r="E692" t="inlineStr">
        <is>
          <t>KINDA</t>
        </is>
      </c>
      <c r="G692" t="n">
        <v>5.5</v>
      </c>
      <c r="H692" t="n">
        <v>0</v>
      </c>
      <c r="I692" t="n">
        <v>0</v>
      </c>
      <c r="J692" t="n">
        <v>0</v>
      </c>
      <c r="K692" t="n">
        <v>0</v>
      </c>
      <c r="L692" t="n">
        <v>0</v>
      </c>
      <c r="M692" t="n">
        <v>0</v>
      </c>
      <c r="N692" t="n">
        <v>0</v>
      </c>
      <c r="O692" t="n">
        <v>0</v>
      </c>
      <c r="P692" t="n">
        <v>0</v>
      </c>
      <c r="Q692" t="n">
        <v>0</v>
      </c>
      <c r="R692" s="2" t="inlineStr"/>
    </row>
    <row r="693" ht="15" customHeight="1">
      <c r="A693" t="inlineStr">
        <is>
          <t>A 37489-2024</t>
        </is>
      </c>
      <c r="B693" s="1" t="n">
        <v>45541.34607638889</v>
      </c>
      <c r="C693" s="1" t="n">
        <v>46126</v>
      </c>
      <c r="D693" t="inlineStr">
        <is>
          <t>ÖSTERGÖTLANDS LÄN</t>
        </is>
      </c>
      <c r="E693" t="inlineStr">
        <is>
          <t>KINDA</t>
        </is>
      </c>
      <c r="G693" t="n">
        <v>1</v>
      </c>
      <c r="H693" t="n">
        <v>0</v>
      </c>
      <c r="I693" t="n">
        <v>0</v>
      </c>
      <c r="J693" t="n">
        <v>0</v>
      </c>
      <c r="K693" t="n">
        <v>0</v>
      </c>
      <c r="L693" t="n">
        <v>0</v>
      </c>
      <c r="M693" t="n">
        <v>0</v>
      </c>
      <c r="N693" t="n">
        <v>0</v>
      </c>
      <c r="O693" t="n">
        <v>0</v>
      </c>
      <c r="P693" t="n">
        <v>0</v>
      </c>
      <c r="Q693" t="n">
        <v>0</v>
      </c>
      <c r="R693" s="2" t="inlineStr"/>
    </row>
    <row r="694" ht="15" customHeight="1">
      <c r="A694" t="inlineStr">
        <is>
          <t>A 49096-2022</t>
        </is>
      </c>
      <c r="B694" s="1" t="n">
        <v>44860</v>
      </c>
      <c r="C694" s="1" t="n">
        <v>46126</v>
      </c>
      <c r="D694" t="inlineStr">
        <is>
          <t>ÖSTERGÖTLANDS LÄN</t>
        </is>
      </c>
      <c r="E694" t="inlineStr">
        <is>
          <t>KINDA</t>
        </is>
      </c>
      <c r="G694" t="n">
        <v>5.1</v>
      </c>
      <c r="H694" t="n">
        <v>0</v>
      </c>
      <c r="I694" t="n">
        <v>0</v>
      </c>
      <c r="J694" t="n">
        <v>0</v>
      </c>
      <c r="K694" t="n">
        <v>0</v>
      </c>
      <c r="L694" t="n">
        <v>0</v>
      </c>
      <c r="M694" t="n">
        <v>0</v>
      </c>
      <c r="N694" t="n">
        <v>0</v>
      </c>
      <c r="O694" t="n">
        <v>0</v>
      </c>
      <c r="P694" t="n">
        <v>0</v>
      </c>
      <c r="Q694" t="n">
        <v>0</v>
      </c>
      <c r="R694" s="2" t="inlineStr"/>
    </row>
    <row r="695" ht="15" customHeight="1">
      <c r="A695" t="inlineStr">
        <is>
          <t>A 43857-2023</t>
        </is>
      </c>
      <c r="B695" s="1" t="n">
        <v>45187.61545138889</v>
      </c>
      <c r="C695" s="1" t="n">
        <v>46126</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ht="15" customHeight="1">
      <c r="A696" t="inlineStr">
        <is>
          <t>A 29717-2023</t>
        </is>
      </c>
      <c r="B696" s="1" t="n">
        <v>45107.42807870371</v>
      </c>
      <c r="C696" s="1" t="n">
        <v>46126</v>
      </c>
      <c r="D696" t="inlineStr">
        <is>
          <t>ÖSTERGÖTLANDS LÄN</t>
        </is>
      </c>
      <c r="E696" t="inlineStr">
        <is>
          <t>KINDA</t>
        </is>
      </c>
      <c r="G696" t="n">
        <v>2.9</v>
      </c>
      <c r="H696" t="n">
        <v>0</v>
      </c>
      <c r="I696" t="n">
        <v>0</v>
      </c>
      <c r="J696" t="n">
        <v>0</v>
      </c>
      <c r="K696" t="n">
        <v>0</v>
      </c>
      <c r="L696" t="n">
        <v>0</v>
      </c>
      <c r="M696" t="n">
        <v>0</v>
      </c>
      <c r="N696" t="n">
        <v>0</v>
      </c>
      <c r="O696" t="n">
        <v>0</v>
      </c>
      <c r="P696" t="n">
        <v>0</v>
      </c>
      <c r="Q696" t="n">
        <v>0</v>
      </c>
      <c r="R696" s="2" t="inlineStr"/>
    </row>
    <row r="697" ht="15" customHeight="1">
      <c r="A697" t="inlineStr">
        <is>
          <t>A 20972-2021</t>
        </is>
      </c>
      <c r="B697" s="1" t="n">
        <v>44319.56430555556</v>
      </c>
      <c r="C697" s="1" t="n">
        <v>46126</v>
      </c>
      <c r="D697" t="inlineStr">
        <is>
          <t>ÖSTERGÖTLANDS LÄN</t>
        </is>
      </c>
      <c r="E697" t="inlineStr">
        <is>
          <t>KINDA</t>
        </is>
      </c>
      <c r="G697" t="n">
        <v>2</v>
      </c>
      <c r="H697" t="n">
        <v>0</v>
      </c>
      <c r="I697" t="n">
        <v>0</v>
      </c>
      <c r="J697" t="n">
        <v>0</v>
      </c>
      <c r="K697" t="n">
        <v>0</v>
      </c>
      <c r="L697" t="n">
        <v>0</v>
      </c>
      <c r="M697" t="n">
        <v>0</v>
      </c>
      <c r="N697" t="n">
        <v>0</v>
      </c>
      <c r="O697" t="n">
        <v>0</v>
      </c>
      <c r="P697" t="n">
        <v>0</v>
      </c>
      <c r="Q697" t="n">
        <v>0</v>
      </c>
      <c r="R697" s="2" t="inlineStr"/>
    </row>
    <row r="698" ht="15" customHeight="1">
      <c r="A698" t="inlineStr">
        <is>
          <t>A 28043-2024</t>
        </is>
      </c>
      <c r="B698" s="1" t="n">
        <v>45476.50915509259</v>
      </c>
      <c r="C698" s="1" t="n">
        <v>46126</v>
      </c>
      <c r="D698" t="inlineStr">
        <is>
          <t>ÖSTERGÖTLANDS LÄN</t>
        </is>
      </c>
      <c r="E698" t="inlineStr">
        <is>
          <t>KINDA</t>
        </is>
      </c>
      <c r="G698" t="n">
        <v>1.9</v>
      </c>
      <c r="H698" t="n">
        <v>0</v>
      </c>
      <c r="I698" t="n">
        <v>0</v>
      </c>
      <c r="J698" t="n">
        <v>0</v>
      </c>
      <c r="K698" t="n">
        <v>0</v>
      </c>
      <c r="L698" t="n">
        <v>0</v>
      </c>
      <c r="M698" t="n">
        <v>0</v>
      </c>
      <c r="N698" t="n">
        <v>0</v>
      </c>
      <c r="O698" t="n">
        <v>0</v>
      </c>
      <c r="P698" t="n">
        <v>0</v>
      </c>
      <c r="Q698" t="n">
        <v>0</v>
      </c>
      <c r="R698" s="2" t="inlineStr"/>
    </row>
    <row r="699" ht="15" customHeight="1">
      <c r="A699" t="inlineStr">
        <is>
          <t>A 62260-2023</t>
        </is>
      </c>
      <c r="B699" s="1" t="n">
        <v>45267.6274537037</v>
      </c>
      <c r="C699" s="1" t="n">
        <v>46126</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74202-2021</t>
        </is>
      </c>
      <c r="B700" s="1" t="n">
        <v>44558.51175925926</v>
      </c>
      <c r="C700" s="1" t="n">
        <v>46126</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5665-2023</t>
        </is>
      </c>
      <c r="B701" s="1" t="n">
        <v>44960.64481481481</v>
      </c>
      <c r="C701" s="1" t="n">
        <v>46126</v>
      </c>
      <c r="D701" t="inlineStr">
        <is>
          <t>ÖSTERGÖTLANDS LÄN</t>
        </is>
      </c>
      <c r="E701" t="inlineStr">
        <is>
          <t>KINDA</t>
        </is>
      </c>
      <c r="G701" t="n">
        <v>6.7</v>
      </c>
      <c r="H701" t="n">
        <v>0</v>
      </c>
      <c r="I701" t="n">
        <v>0</v>
      </c>
      <c r="J701" t="n">
        <v>0</v>
      </c>
      <c r="K701" t="n">
        <v>0</v>
      </c>
      <c r="L701" t="n">
        <v>0</v>
      </c>
      <c r="M701" t="n">
        <v>0</v>
      </c>
      <c r="N701" t="n">
        <v>0</v>
      </c>
      <c r="O701" t="n">
        <v>0</v>
      </c>
      <c r="P701" t="n">
        <v>0</v>
      </c>
      <c r="Q701" t="n">
        <v>0</v>
      </c>
      <c r="R701" s="2" t="inlineStr"/>
    </row>
    <row r="702" ht="15" customHeight="1">
      <c r="A702" t="inlineStr">
        <is>
          <t>A 21071-2024</t>
        </is>
      </c>
      <c r="B702" s="1" t="n">
        <v>45439.8615625</v>
      </c>
      <c r="C702" s="1" t="n">
        <v>46126</v>
      </c>
      <c r="D702" t="inlineStr">
        <is>
          <t>ÖSTERGÖTLANDS LÄN</t>
        </is>
      </c>
      <c r="E702" t="inlineStr">
        <is>
          <t>KINDA</t>
        </is>
      </c>
      <c r="G702" t="n">
        <v>0.5</v>
      </c>
      <c r="H702" t="n">
        <v>0</v>
      </c>
      <c r="I702" t="n">
        <v>0</v>
      </c>
      <c r="J702" t="n">
        <v>0</v>
      </c>
      <c r="K702" t="n">
        <v>0</v>
      </c>
      <c r="L702" t="n">
        <v>0</v>
      </c>
      <c r="M702" t="n">
        <v>0</v>
      </c>
      <c r="N702" t="n">
        <v>0</v>
      </c>
      <c r="O702" t="n">
        <v>0</v>
      </c>
      <c r="P702" t="n">
        <v>0</v>
      </c>
      <c r="Q702" t="n">
        <v>0</v>
      </c>
      <c r="R702" s="2" t="inlineStr"/>
    </row>
    <row r="703" ht="15" customHeight="1">
      <c r="A703" t="inlineStr">
        <is>
          <t>A 57194-2023</t>
        </is>
      </c>
      <c r="B703" s="1" t="n">
        <v>45245.47634259259</v>
      </c>
      <c r="C703" s="1" t="n">
        <v>46126</v>
      </c>
      <c r="D703" t="inlineStr">
        <is>
          <t>ÖSTERGÖTLANDS LÄN</t>
        </is>
      </c>
      <c r="E703" t="inlineStr">
        <is>
          <t>KINDA</t>
        </is>
      </c>
      <c r="G703" t="n">
        <v>0.8</v>
      </c>
      <c r="H703" t="n">
        <v>0</v>
      </c>
      <c r="I703" t="n">
        <v>0</v>
      </c>
      <c r="J703" t="n">
        <v>0</v>
      </c>
      <c r="K703" t="n">
        <v>0</v>
      </c>
      <c r="L703" t="n">
        <v>0</v>
      </c>
      <c r="M703" t="n">
        <v>0</v>
      </c>
      <c r="N703" t="n">
        <v>0</v>
      </c>
      <c r="O703" t="n">
        <v>0</v>
      </c>
      <c r="P703" t="n">
        <v>0</v>
      </c>
      <c r="Q703" t="n">
        <v>0</v>
      </c>
      <c r="R703" s="2" t="inlineStr"/>
    </row>
    <row r="704" ht="15" customHeight="1">
      <c r="A704" t="inlineStr">
        <is>
          <t>A 61961-2022</t>
        </is>
      </c>
      <c r="B704" s="1" t="n">
        <v>44918</v>
      </c>
      <c r="C704" s="1" t="n">
        <v>46126</v>
      </c>
      <c r="D704" t="inlineStr">
        <is>
          <t>ÖSTERGÖTLANDS LÄN</t>
        </is>
      </c>
      <c r="E704" t="inlineStr">
        <is>
          <t>KINDA</t>
        </is>
      </c>
      <c r="G704" t="n">
        <v>0.9</v>
      </c>
      <c r="H704" t="n">
        <v>0</v>
      </c>
      <c r="I704" t="n">
        <v>0</v>
      </c>
      <c r="J704" t="n">
        <v>0</v>
      </c>
      <c r="K704" t="n">
        <v>0</v>
      </c>
      <c r="L704" t="n">
        <v>0</v>
      </c>
      <c r="M704" t="n">
        <v>0</v>
      </c>
      <c r="N704" t="n">
        <v>0</v>
      </c>
      <c r="O704" t="n">
        <v>0</v>
      </c>
      <c r="P704" t="n">
        <v>0</v>
      </c>
      <c r="Q704" t="n">
        <v>0</v>
      </c>
      <c r="R704" s="2" t="inlineStr"/>
    </row>
    <row r="705" ht="15" customHeight="1">
      <c r="A705" t="inlineStr">
        <is>
          <t>A 60826-2023</t>
        </is>
      </c>
      <c r="B705" s="1" t="n">
        <v>45260.81440972222</v>
      </c>
      <c r="C705" s="1" t="n">
        <v>46126</v>
      </c>
      <c r="D705" t="inlineStr">
        <is>
          <t>ÖSTERGÖTLANDS LÄN</t>
        </is>
      </c>
      <c r="E705" t="inlineStr">
        <is>
          <t>KINDA</t>
        </is>
      </c>
      <c r="G705" t="n">
        <v>1.4</v>
      </c>
      <c r="H705" t="n">
        <v>0</v>
      </c>
      <c r="I705" t="n">
        <v>0</v>
      </c>
      <c r="J705" t="n">
        <v>0</v>
      </c>
      <c r="K705" t="n">
        <v>0</v>
      </c>
      <c r="L705" t="n">
        <v>0</v>
      </c>
      <c r="M705" t="n">
        <v>0</v>
      </c>
      <c r="N705" t="n">
        <v>0</v>
      </c>
      <c r="O705" t="n">
        <v>0</v>
      </c>
      <c r="P705" t="n">
        <v>0</v>
      </c>
      <c r="Q705" t="n">
        <v>0</v>
      </c>
      <c r="R705" s="2" t="inlineStr"/>
    </row>
    <row r="706" ht="15" customHeight="1">
      <c r="A706" t="inlineStr">
        <is>
          <t>A 31849-2023</t>
        </is>
      </c>
      <c r="B706" s="1" t="n">
        <v>45118.58756944445</v>
      </c>
      <c r="C706" s="1" t="n">
        <v>46126</v>
      </c>
      <c r="D706" t="inlineStr">
        <is>
          <t>ÖSTERGÖTLANDS LÄN</t>
        </is>
      </c>
      <c r="E706" t="inlineStr">
        <is>
          <t>KINDA</t>
        </is>
      </c>
      <c r="G706" t="n">
        <v>3</v>
      </c>
      <c r="H706" t="n">
        <v>0</v>
      </c>
      <c r="I706" t="n">
        <v>0</v>
      </c>
      <c r="J706" t="n">
        <v>0</v>
      </c>
      <c r="K706" t="n">
        <v>0</v>
      </c>
      <c r="L706" t="n">
        <v>0</v>
      </c>
      <c r="M706" t="n">
        <v>0</v>
      </c>
      <c r="N706" t="n">
        <v>0</v>
      </c>
      <c r="O706" t="n">
        <v>0</v>
      </c>
      <c r="P706" t="n">
        <v>0</v>
      </c>
      <c r="Q706" t="n">
        <v>0</v>
      </c>
      <c r="R706" s="2" t="inlineStr"/>
    </row>
    <row r="707" ht="15" customHeight="1">
      <c r="A707" t="inlineStr">
        <is>
          <t>A 9465-2022</t>
        </is>
      </c>
      <c r="B707" s="1" t="n">
        <v>44616.78555555556</v>
      </c>
      <c r="C707" s="1" t="n">
        <v>46126</v>
      </c>
      <c r="D707" t="inlineStr">
        <is>
          <t>ÖSTERGÖTLANDS LÄN</t>
        </is>
      </c>
      <c r="E707" t="inlineStr">
        <is>
          <t>KINDA</t>
        </is>
      </c>
      <c r="G707" t="n">
        <v>1.9</v>
      </c>
      <c r="H707" t="n">
        <v>0</v>
      </c>
      <c r="I707" t="n">
        <v>0</v>
      </c>
      <c r="J707" t="n">
        <v>0</v>
      </c>
      <c r="K707" t="n">
        <v>0</v>
      </c>
      <c r="L707" t="n">
        <v>0</v>
      </c>
      <c r="M707" t="n">
        <v>0</v>
      </c>
      <c r="N707" t="n">
        <v>0</v>
      </c>
      <c r="O707" t="n">
        <v>0</v>
      </c>
      <c r="P707" t="n">
        <v>0</v>
      </c>
      <c r="Q707" t="n">
        <v>0</v>
      </c>
      <c r="R707" s="2" t="inlineStr"/>
    </row>
    <row r="708" ht="15" customHeight="1">
      <c r="A708" t="inlineStr">
        <is>
          <t>A 62491-2023</t>
        </is>
      </c>
      <c r="B708" s="1" t="n">
        <v>45267</v>
      </c>
      <c r="C708" s="1" t="n">
        <v>46126</v>
      </c>
      <c r="D708" t="inlineStr">
        <is>
          <t>ÖSTERGÖTLANDS LÄN</t>
        </is>
      </c>
      <c r="E708" t="inlineStr">
        <is>
          <t>KINDA</t>
        </is>
      </c>
      <c r="G708" t="n">
        <v>1</v>
      </c>
      <c r="H708" t="n">
        <v>0</v>
      </c>
      <c r="I708" t="n">
        <v>0</v>
      </c>
      <c r="J708" t="n">
        <v>0</v>
      </c>
      <c r="K708" t="n">
        <v>0</v>
      </c>
      <c r="L708" t="n">
        <v>0</v>
      </c>
      <c r="M708" t="n">
        <v>0</v>
      </c>
      <c r="N708" t="n">
        <v>0</v>
      </c>
      <c r="O708" t="n">
        <v>0</v>
      </c>
      <c r="P708" t="n">
        <v>0</v>
      </c>
      <c r="Q708" t="n">
        <v>0</v>
      </c>
      <c r="R708" s="2" t="inlineStr"/>
    </row>
    <row r="709" ht="15" customHeight="1">
      <c r="A709" t="inlineStr">
        <is>
          <t>A 35218-2023</t>
        </is>
      </c>
      <c r="B709" s="1" t="n">
        <v>45145.64796296296</v>
      </c>
      <c r="C709" s="1" t="n">
        <v>46126</v>
      </c>
      <c r="D709" t="inlineStr">
        <is>
          <t>ÖSTERGÖTLANDS LÄN</t>
        </is>
      </c>
      <c r="E709" t="inlineStr">
        <is>
          <t>KINDA</t>
        </is>
      </c>
      <c r="G709" t="n">
        <v>0.7</v>
      </c>
      <c r="H709" t="n">
        <v>0</v>
      </c>
      <c r="I709" t="n">
        <v>0</v>
      </c>
      <c r="J709" t="n">
        <v>0</v>
      </c>
      <c r="K709" t="n">
        <v>0</v>
      </c>
      <c r="L709" t="n">
        <v>0</v>
      </c>
      <c r="M709" t="n">
        <v>0</v>
      </c>
      <c r="N709" t="n">
        <v>0</v>
      </c>
      <c r="O709" t="n">
        <v>0</v>
      </c>
      <c r="P709" t="n">
        <v>0</v>
      </c>
      <c r="Q709" t="n">
        <v>0</v>
      </c>
      <c r="R709" s="2" t="inlineStr"/>
    </row>
    <row r="710" ht="15" customHeight="1">
      <c r="A710" t="inlineStr">
        <is>
          <t>A 27648-2023</t>
        </is>
      </c>
      <c r="B710" s="1" t="n">
        <v>45097.68376157407</v>
      </c>
      <c r="C710" s="1" t="n">
        <v>46126</v>
      </c>
      <c r="D710" t="inlineStr">
        <is>
          <t>ÖSTERGÖTLANDS LÄN</t>
        </is>
      </c>
      <c r="E710" t="inlineStr">
        <is>
          <t>KINDA</t>
        </is>
      </c>
      <c r="G710" t="n">
        <v>0.9</v>
      </c>
      <c r="H710" t="n">
        <v>0</v>
      </c>
      <c r="I710" t="n">
        <v>0</v>
      </c>
      <c r="J710" t="n">
        <v>0</v>
      </c>
      <c r="K710" t="n">
        <v>0</v>
      </c>
      <c r="L710" t="n">
        <v>0</v>
      </c>
      <c r="M710" t="n">
        <v>0</v>
      </c>
      <c r="N710" t="n">
        <v>0</v>
      </c>
      <c r="O710" t="n">
        <v>0</v>
      </c>
      <c r="P710" t="n">
        <v>0</v>
      </c>
      <c r="Q710" t="n">
        <v>0</v>
      </c>
      <c r="R710" s="2" t="inlineStr"/>
    </row>
    <row r="711" ht="15" customHeight="1">
      <c r="A711" t="inlineStr">
        <is>
          <t>A 57457-2021</t>
        </is>
      </c>
      <c r="B711" s="1" t="n">
        <v>44483.65719907408</v>
      </c>
      <c r="C711" s="1" t="n">
        <v>46126</v>
      </c>
      <c r="D711" t="inlineStr">
        <is>
          <t>ÖSTERGÖTLANDS LÄN</t>
        </is>
      </c>
      <c r="E711" t="inlineStr">
        <is>
          <t>KINDA</t>
        </is>
      </c>
      <c r="G711" t="n">
        <v>0.9</v>
      </c>
      <c r="H711" t="n">
        <v>0</v>
      </c>
      <c r="I711" t="n">
        <v>0</v>
      </c>
      <c r="J711" t="n">
        <v>0</v>
      </c>
      <c r="K711" t="n">
        <v>0</v>
      </c>
      <c r="L711" t="n">
        <v>0</v>
      </c>
      <c r="M711" t="n">
        <v>0</v>
      </c>
      <c r="N711" t="n">
        <v>0</v>
      </c>
      <c r="O711" t="n">
        <v>0</v>
      </c>
      <c r="P711" t="n">
        <v>0</v>
      </c>
      <c r="Q711" t="n">
        <v>0</v>
      </c>
      <c r="R711" s="2" t="inlineStr"/>
    </row>
    <row r="712" ht="15" customHeight="1">
      <c r="A712" t="inlineStr">
        <is>
          <t>A 46704-2024</t>
        </is>
      </c>
      <c r="B712" s="1" t="n">
        <v>45583.44207175926</v>
      </c>
      <c r="C712" s="1" t="n">
        <v>46126</v>
      </c>
      <c r="D712" t="inlineStr">
        <is>
          <t>ÖSTERGÖTLANDS LÄN</t>
        </is>
      </c>
      <c r="E712" t="inlineStr">
        <is>
          <t>KINDA</t>
        </is>
      </c>
      <c r="G712" t="n">
        <v>1.7</v>
      </c>
      <c r="H712" t="n">
        <v>0</v>
      </c>
      <c r="I712" t="n">
        <v>0</v>
      </c>
      <c r="J712" t="n">
        <v>0</v>
      </c>
      <c r="K712" t="n">
        <v>0</v>
      </c>
      <c r="L712" t="n">
        <v>0</v>
      </c>
      <c r="M712" t="n">
        <v>0</v>
      </c>
      <c r="N712" t="n">
        <v>0</v>
      </c>
      <c r="O712" t="n">
        <v>0</v>
      </c>
      <c r="P712" t="n">
        <v>0</v>
      </c>
      <c r="Q712" t="n">
        <v>0</v>
      </c>
      <c r="R712" s="2" t="inlineStr"/>
    </row>
    <row r="713" ht="15" customHeight="1">
      <c r="A713" t="inlineStr">
        <is>
          <t>A 16611-2023</t>
        </is>
      </c>
      <c r="B713" s="1" t="n">
        <v>45030</v>
      </c>
      <c r="C713" s="1" t="n">
        <v>46126</v>
      </c>
      <c r="D713" t="inlineStr">
        <is>
          <t>ÖSTERGÖTLANDS LÄN</t>
        </is>
      </c>
      <c r="E713" t="inlineStr">
        <is>
          <t>KINDA</t>
        </is>
      </c>
      <c r="G713" t="n">
        <v>4.3</v>
      </c>
      <c r="H713" t="n">
        <v>0</v>
      </c>
      <c r="I713" t="n">
        <v>0</v>
      </c>
      <c r="J713" t="n">
        <v>0</v>
      </c>
      <c r="K713" t="n">
        <v>0</v>
      </c>
      <c r="L713" t="n">
        <v>0</v>
      </c>
      <c r="M713" t="n">
        <v>0</v>
      </c>
      <c r="N713" t="n">
        <v>0</v>
      </c>
      <c r="O713" t="n">
        <v>0</v>
      </c>
      <c r="P713" t="n">
        <v>0</v>
      </c>
      <c r="Q713" t="n">
        <v>0</v>
      </c>
      <c r="R713" s="2" t="inlineStr"/>
    </row>
    <row r="714" ht="15" customHeight="1">
      <c r="A714" t="inlineStr">
        <is>
          <t>A 10823-2024</t>
        </is>
      </c>
      <c r="B714" s="1" t="n">
        <v>45369.67408564815</v>
      </c>
      <c r="C714" s="1" t="n">
        <v>46126</v>
      </c>
      <c r="D714" t="inlineStr">
        <is>
          <t>ÖSTERGÖTLANDS LÄN</t>
        </is>
      </c>
      <c r="E714" t="inlineStr">
        <is>
          <t>KINDA</t>
        </is>
      </c>
      <c r="G714" t="n">
        <v>0.5</v>
      </c>
      <c r="H714" t="n">
        <v>0</v>
      </c>
      <c r="I714" t="n">
        <v>0</v>
      </c>
      <c r="J714" t="n">
        <v>0</v>
      </c>
      <c r="K714" t="n">
        <v>0</v>
      </c>
      <c r="L714" t="n">
        <v>0</v>
      </c>
      <c r="M714" t="n">
        <v>0</v>
      </c>
      <c r="N714" t="n">
        <v>0</v>
      </c>
      <c r="O714" t="n">
        <v>0</v>
      </c>
      <c r="P714" t="n">
        <v>0</v>
      </c>
      <c r="Q714" t="n">
        <v>0</v>
      </c>
      <c r="R714" s="2" t="inlineStr"/>
    </row>
    <row r="715" ht="15" customHeight="1">
      <c r="A715" t="inlineStr">
        <is>
          <t>A 43074-2024</t>
        </is>
      </c>
      <c r="B715" s="1" t="n">
        <v>45567.48658564815</v>
      </c>
      <c r="C715" s="1" t="n">
        <v>46126</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ht="15" customHeight="1">
      <c r="A716" t="inlineStr">
        <is>
          <t>A 4368-2025</t>
        </is>
      </c>
      <c r="B716" s="1" t="n">
        <v>45686.34563657407</v>
      </c>
      <c r="C716" s="1" t="n">
        <v>46126</v>
      </c>
      <c r="D716" t="inlineStr">
        <is>
          <t>ÖSTERGÖTLANDS LÄN</t>
        </is>
      </c>
      <c r="E716" t="inlineStr">
        <is>
          <t>KINDA</t>
        </is>
      </c>
      <c r="G716" t="n">
        <v>0.8</v>
      </c>
      <c r="H716" t="n">
        <v>0</v>
      </c>
      <c r="I716" t="n">
        <v>0</v>
      </c>
      <c r="J716" t="n">
        <v>0</v>
      </c>
      <c r="K716" t="n">
        <v>0</v>
      </c>
      <c r="L716" t="n">
        <v>0</v>
      </c>
      <c r="M716" t="n">
        <v>0</v>
      </c>
      <c r="N716" t="n">
        <v>0</v>
      </c>
      <c r="O716" t="n">
        <v>0</v>
      </c>
      <c r="P716" t="n">
        <v>0</v>
      </c>
      <c r="Q716" t="n">
        <v>0</v>
      </c>
      <c r="R716" s="2" t="inlineStr"/>
    </row>
    <row r="717" ht="15" customHeight="1">
      <c r="A717" t="inlineStr">
        <is>
          <t>A 46228-2024</t>
        </is>
      </c>
      <c r="B717" s="1" t="n">
        <v>45581.57662037037</v>
      </c>
      <c r="C717" s="1" t="n">
        <v>46126</v>
      </c>
      <c r="D717" t="inlineStr">
        <is>
          <t>ÖSTERGÖTLANDS LÄN</t>
        </is>
      </c>
      <c r="E717" t="inlineStr">
        <is>
          <t>KINDA</t>
        </is>
      </c>
      <c r="G717" t="n">
        <v>1.7</v>
      </c>
      <c r="H717" t="n">
        <v>0</v>
      </c>
      <c r="I717" t="n">
        <v>0</v>
      </c>
      <c r="J717" t="n">
        <v>0</v>
      </c>
      <c r="K717" t="n">
        <v>0</v>
      </c>
      <c r="L717" t="n">
        <v>0</v>
      </c>
      <c r="M717" t="n">
        <v>0</v>
      </c>
      <c r="N717" t="n">
        <v>0</v>
      </c>
      <c r="O717" t="n">
        <v>0</v>
      </c>
      <c r="P717" t="n">
        <v>0</v>
      </c>
      <c r="Q717" t="n">
        <v>0</v>
      </c>
      <c r="R717" s="2" t="inlineStr"/>
    </row>
    <row r="718" ht="15" customHeight="1">
      <c r="A718" t="inlineStr">
        <is>
          <t>A 12269-2023</t>
        </is>
      </c>
      <c r="B718" s="1" t="n">
        <v>44998</v>
      </c>
      <c r="C718" s="1" t="n">
        <v>46126</v>
      </c>
      <c r="D718" t="inlineStr">
        <is>
          <t>ÖSTERGÖTLANDS LÄN</t>
        </is>
      </c>
      <c r="E718" t="inlineStr">
        <is>
          <t>KINDA</t>
        </is>
      </c>
      <c r="G718" t="n">
        <v>0.3</v>
      </c>
      <c r="H718" t="n">
        <v>0</v>
      </c>
      <c r="I718" t="n">
        <v>0</v>
      </c>
      <c r="J718" t="n">
        <v>0</v>
      </c>
      <c r="K718" t="n">
        <v>0</v>
      </c>
      <c r="L718" t="n">
        <v>0</v>
      </c>
      <c r="M718" t="n">
        <v>0</v>
      </c>
      <c r="N718" t="n">
        <v>0</v>
      </c>
      <c r="O718" t="n">
        <v>0</v>
      </c>
      <c r="P718" t="n">
        <v>0</v>
      </c>
      <c r="Q718" t="n">
        <v>0</v>
      </c>
      <c r="R718" s="2" t="inlineStr"/>
    </row>
    <row r="719">
      <c r="A719" t="inlineStr">
        <is>
          <t>A 51830-2024</t>
        </is>
      </c>
      <c r="B719" s="1" t="n">
        <v>45607.50465277778</v>
      </c>
      <c r="C719" s="1" t="n">
        <v>46126</v>
      </c>
      <c r="D719" t="inlineStr">
        <is>
          <t>ÖSTERGÖTLANDS LÄN</t>
        </is>
      </c>
      <c r="E719" t="inlineStr">
        <is>
          <t>KINDA</t>
        </is>
      </c>
      <c r="G719" t="n">
        <v>1.8</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2026-04-14T10:36:02Z</dcterms:created>
  <dcterms:modified xmlns:dcterms="http://purl.org/dc/terms/" xmlns:xsi="http://www.w3.org/2001/XMLSchema-instance" xsi:type="dcterms:W3CDTF">2026-04-14T10:36:03Z</dcterms:modified>
</cp:coreProperties>
</file>