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45686-2025</t>
        </is>
      </c>
      <c r="B2" t="inlineStr">
        <is>
          <t>avverkningsanmälan</t>
        </is>
      </c>
      <c r="C2" t="inlineStr">
        <is>
          <t>Avverkning för annat ändamål</t>
        </is>
      </c>
      <c r="D2" s="1" t="n">
        <v>45923</v>
      </c>
      <c r="E2" s="1" t="n">
        <v>46223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X2">
        <f>HYPERLINK("https://klasma.github.io/Logging_0513/kartor_geotiff/A 45686-2025 georefererad karta.tif", "A 45686-2025")</f>
        <v/>
      </c>
      <c r="Z2">
        <f>HYPERLINK("https://klasma.github.io/Logging_0513/klagomål/A 45686-2025 FSC-klagomål.docx", "A 45686-2025")</f>
        <v/>
      </c>
      <c r="AA2">
        <f>HYPERLINK("https://klasma.github.io/Logging_0513/klagomålsmail/A 45686-2025 FSC-klagomål mail.docx", "A 45686-2025")</f>
        <v/>
      </c>
      <c r="AB2">
        <f>HYPERLINK("https://klasma.github.io/Logging_0513/tillsyn/A 45686-2025 tillsynsbegäran.docx", "A 45686-2025")</f>
        <v/>
      </c>
      <c r="AC2">
        <f>HYPERLINK("https://klasma.github.io/Logging_0513/tillsynsmail/A 45686-2025 tillsynsbegäran mail.docx", "A 45686-2025")</f>
        <v/>
      </c>
      <c r="AD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46223</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HYPERLINK("https://klasma.github.io/Logging_0513/kartor_geotiff/A 51780-2022 georefererad karta.tif", "A 51780-2022")</f>
        <v/>
      </c>
      <c r="Y3">
        <f>HYPERLINK("https://klasma.github.io/Logging_0513/knärot/A 51780-2022 karta knärot.png", "A 51780-2022")</f>
        <v/>
      </c>
      <c r="Z3">
        <f>HYPERLINK("https://klasma.github.io/Logging_0513/klagomål/A 51780-2022 FSC-klagomål.docx", "A 51780-2022")</f>
        <v/>
      </c>
      <c r="AA3">
        <f>HYPERLINK("https://klasma.github.io/Logging_0513/klagomålsmail/A 51780-2022 FSC-klagomål mail.docx", "A 51780-2022")</f>
        <v/>
      </c>
      <c r="AB3">
        <f>HYPERLINK("https://klasma.github.io/Logging_0513/tillsyn/A 51780-2022 tillsynsbegäran.docx", "A 51780-2022")</f>
        <v/>
      </c>
      <c r="AC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46223</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HYPERLINK("https://klasma.github.io/Logging_0513/kartor_geotiff/A 14950-2026 georefererad karta.tif", "A 14950-2026")</f>
        <v/>
      </c>
      <c r="Y4">
        <f>HYPERLINK("https://klasma.github.io/Logging_0513/knärot/A 14950-2026 karta knärot.png", "A 14950-2026")</f>
        <v/>
      </c>
      <c r="Z4">
        <f>HYPERLINK("https://klasma.github.io/Logging_0513/klagomål/A 14950-2026 FSC-klagomål.docx", "A 14950-2026")</f>
        <v/>
      </c>
      <c r="AA4">
        <f>HYPERLINK("https://klasma.github.io/Logging_0513/klagomålsmail/A 14950-2026 FSC-klagomål mail.docx", "A 14950-2026")</f>
        <v/>
      </c>
      <c r="AB4">
        <f>HYPERLINK("https://klasma.github.io/Logging_0513/tillsyn/A 14950-2026 tillsynsbegäran.docx", "A 14950-2026")</f>
        <v/>
      </c>
      <c r="AC4">
        <f>HYPERLINK("https://klasma.github.io/Logging_0513/tillsynsmail/A 14950-2026 tillsynsbegäran mail.docx", "A 14950-2026")</f>
        <v/>
      </c>
      <c r="AD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46223</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X5">
        <f>HYPERLINK("https://klasma.github.io/Logging_0513/kartor_geotiff/A 54477-2025 georefererad karta.tif", "A 54477-2025")</f>
        <v/>
      </c>
      <c r="Z5">
        <f>HYPERLINK("https://klasma.github.io/Logging_0513/klagomål/A 54477-2025 FSC-klagomål.docx", "A 54477-2025")</f>
        <v/>
      </c>
      <c r="AA5">
        <f>HYPERLINK("https://klasma.github.io/Logging_0513/klagomålsmail/A 54477-2025 FSC-klagomål mail.docx", "A 54477-2025")</f>
        <v/>
      </c>
      <c r="AB5">
        <f>HYPERLINK("https://klasma.github.io/Logging_0513/tillsyn/A 54477-2025 tillsynsbegäran.docx", "A 54477-2025")</f>
        <v/>
      </c>
      <c r="AC5">
        <f>HYPERLINK("https://klasma.github.io/Logging_0513/tillsynsmail/A 54477-2025 tillsynsbegäran mail.docx", "A 54477-2025")</f>
        <v/>
      </c>
      <c r="AD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46223</v>
      </c>
      <c r="F6" t="inlineStr">
        <is>
          <t>ÖSTERGÖTLANDS LÄN</t>
        </is>
      </c>
      <c r="G6" t="inlineStr">
        <is>
          <t>KINDA</t>
        </is>
      </c>
      <c r="I6" t="n">
        <v>11.1</v>
      </c>
      <c r="J6" t="n">
        <v>5</v>
      </c>
      <c r="K6" t="n">
        <v>1</v>
      </c>
      <c r="L6" t="n">
        <v>3</v>
      </c>
      <c r="M6" t="n">
        <v>2</v>
      </c>
      <c r="N6" t="n">
        <v>0</v>
      </c>
      <c r="O6" t="n">
        <v>0</v>
      </c>
      <c r="P6" t="n">
        <v>0</v>
      </c>
      <c r="Q6" t="n">
        <v>5</v>
      </c>
      <c r="R6" t="n">
        <v>2</v>
      </c>
      <c r="S6" t="n">
        <v>10</v>
      </c>
      <c r="T6" t="n">
        <v>20</v>
      </c>
      <c r="U6" s="2" t="inlineStr">
        <is>
          <t>Knärot
Silverblåvinge
Tallticka
Talltita
Vedtrappmossa
Grönpyrola
Järpe
Spillkråka
Timmerticka
Tofsmes</t>
        </is>
      </c>
      <c r="V6">
        <f>HYPERLINK("https://klasma.github.io/Logging_0513/artfynd/A 26070-2026 artfynd.xlsx", "A 26070-2026")</f>
        <v/>
      </c>
      <c r="W6">
        <f>HYPERLINK("https://klasma.github.io/Logging_0513/kartor/A 26070-2026 karta.png", "A 26070-2026")</f>
        <v/>
      </c>
      <c r="X6">
        <f>HYPERLINK("https://klasma.github.io/Logging_0513/kartor_geotiff/A 26070-2026 georefererad karta.tif", "A 26070-2026")</f>
        <v/>
      </c>
      <c r="Y6">
        <f>HYPERLINK("https://klasma.github.io/Logging_0513/knärot/A 26070-2026 karta knärot.png", "A 26070-2026")</f>
        <v/>
      </c>
      <c r="Z6">
        <f>HYPERLINK("https://klasma.github.io/Logging_0513/klagomål/A 26070-2026 FSC-klagomål.docx", "A 26070-2026")</f>
        <v/>
      </c>
      <c r="AA6">
        <f>HYPERLINK("https://klasma.github.io/Logging_0513/klagomålsmail/A 26070-2026 FSC-klagomål mail.docx", "A 26070-2026")</f>
        <v/>
      </c>
      <c r="AB6">
        <f>HYPERLINK("https://klasma.github.io/Logging_0513/tillsyn/A 26070-2026 tillsynsbegäran.docx", "A 26070-2026")</f>
        <v/>
      </c>
      <c r="AC6">
        <f>HYPERLINK("https://klasma.github.io/Logging_0513/tillsynsmail/A 26070-2026 tillsynsbegäran mail.docx", "A 26070-2026")</f>
        <v/>
      </c>
      <c r="AD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46223</v>
      </c>
      <c r="F7" t="inlineStr">
        <is>
          <t>ÖSTERGÖTLANDS LÄN</t>
        </is>
      </c>
      <c r="G7" t="inlineStr">
        <is>
          <t>KINDA</t>
        </is>
      </c>
      <c r="I7" t="n">
        <v>4.8</v>
      </c>
      <c r="J7" t="n">
        <v>4</v>
      </c>
      <c r="K7" t="n">
        <v>2</v>
      </c>
      <c r="L7" t="n">
        <v>1</v>
      </c>
      <c r="M7" t="n">
        <v>3</v>
      </c>
      <c r="N7" t="n">
        <v>0</v>
      </c>
      <c r="O7" t="n">
        <v>0</v>
      </c>
      <c r="P7" t="n">
        <v>0</v>
      </c>
      <c r="Q7" t="n">
        <v>4</v>
      </c>
      <c r="R7" t="n">
        <v>3</v>
      </c>
      <c r="S7" t="n">
        <v>9</v>
      </c>
      <c r="T7" t="n">
        <v>40</v>
      </c>
      <c r="U7" s="2" t="inlineStr">
        <is>
          <t>Knärot
Ryl
Smalsprötad bastardsvärmare
Linmåra/småsnärjmåra
Grönpyrola
Strutbräken
Mattlummer
Revlummer
Äkta lopplummer</t>
        </is>
      </c>
      <c r="V7">
        <f>HYPERLINK("https://klasma.github.io/Logging_0513/artfynd/S 3576-2023 artfynd.xlsx", "S 3576-2023")</f>
        <v/>
      </c>
      <c r="W7">
        <f>HYPERLINK("https://klasma.github.io/Logging_0513/kartor/S 3576-2023 karta.png", "S 3576-2023")</f>
        <v/>
      </c>
      <c r="X7">
        <f>HYPERLINK("https://klasma.github.io/Logging_0513/kartor_geotiff/S 3576-2023 georefererad karta.tif", "S 3576-2023")</f>
        <v/>
      </c>
      <c r="Y7">
        <f>HYPERLINK("https://klasma.github.io/Logging_0513/knärot/S 3576-2023 karta knärot.png", "S 3576-2023")</f>
        <v/>
      </c>
      <c r="Z7">
        <f>HYPERLINK("https://klasma.github.io/Logging_0513/klagomål/S 3576-2023 FSC-klagomål.docx", "S 3576-2023")</f>
        <v/>
      </c>
      <c r="AA7">
        <f>HYPERLINK("https://klasma.github.io/Logging_0513/klagomålsmail/S 3576-2023 FSC-klagomål mail.docx", "S 3576-2023")</f>
        <v/>
      </c>
      <c r="AB7">
        <f>HYPERLINK("https://klasma.github.io/Logging_0513/tillsyn/S 3576-2023 tillsynsbegäran.docx", "S 3576-2023")</f>
        <v/>
      </c>
      <c r="AC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46223</v>
      </c>
      <c r="F8" t="inlineStr">
        <is>
          <t>ÖSTERGÖTLANDS LÄN</t>
        </is>
      </c>
      <c r="G8" t="inlineStr">
        <is>
          <t>KINDA</t>
        </is>
      </c>
      <c r="I8" t="n">
        <v>1.2</v>
      </c>
      <c r="J8" t="n">
        <v>8</v>
      </c>
      <c r="K8" t="n">
        <v>0</v>
      </c>
      <c r="L8" t="n">
        <v>5</v>
      </c>
      <c r="M8" t="n">
        <v>0</v>
      </c>
      <c r="N8" t="n">
        <v>0</v>
      </c>
      <c r="O8" t="n">
        <v>0</v>
      </c>
      <c r="P8" t="n">
        <v>0</v>
      </c>
      <c r="Q8" t="n">
        <v>5</v>
      </c>
      <c r="R8" t="n">
        <v>0</v>
      </c>
      <c r="S8" t="n">
        <v>8</v>
      </c>
      <c r="T8" t="n">
        <v>12</v>
      </c>
      <c r="U8" s="2" t="inlineStr">
        <is>
          <t>Barbastell
Brunlångöra
Fransfladdermus
Nordfladdermus
Sydfladdermus
Dvärgpipistrell
Större brunfladdermus
Vattenfladdermus</t>
        </is>
      </c>
      <c r="V8">
        <f>HYPERLINK("https://klasma.github.io/Logging_0513/artfynd/A 27506-2024 artfynd.xlsx", "A 27506-2024")</f>
        <v/>
      </c>
      <c r="W8">
        <f>HYPERLINK("https://klasma.github.io/Logging_0513/kartor/A 27506-2024 karta.png", "A 27506-2024")</f>
        <v/>
      </c>
      <c r="X8">
        <f>HYPERLINK("https://klasma.github.io/Logging_0513/kartor_geotiff/A 27506-2024 georefererad karta.tif", "A 27506-2024")</f>
        <v/>
      </c>
      <c r="Z8">
        <f>HYPERLINK("https://klasma.github.io/Logging_0513/klagomål/A 27506-2024 FSC-klagomål.docx", "A 27506-2024")</f>
        <v/>
      </c>
      <c r="AA8">
        <f>HYPERLINK("https://klasma.github.io/Logging_0513/klagomålsmail/A 27506-2024 FSC-klagomål mail.docx", "A 27506-2024")</f>
        <v/>
      </c>
      <c r="AB8">
        <f>HYPERLINK("https://klasma.github.io/Logging_0513/tillsyn/A 27506-2024 tillsynsbegäran.docx", "A 27506-2024")</f>
        <v/>
      </c>
      <c r="AC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46223</v>
      </c>
      <c r="F9" t="inlineStr">
        <is>
          <t>ÖSTERGÖTLANDS LÄN</t>
        </is>
      </c>
      <c r="G9" t="inlineStr">
        <is>
          <t>KINDA</t>
        </is>
      </c>
      <c r="I9" t="n">
        <v>4</v>
      </c>
      <c r="J9" t="n">
        <v>4</v>
      </c>
      <c r="K9" t="n">
        <v>2</v>
      </c>
      <c r="L9" t="n">
        <v>2</v>
      </c>
      <c r="M9" t="n">
        <v>1</v>
      </c>
      <c r="N9" t="n">
        <v>0</v>
      </c>
      <c r="O9" t="n">
        <v>0</v>
      </c>
      <c r="P9" t="n">
        <v>0</v>
      </c>
      <c r="Q9" t="n">
        <v>3</v>
      </c>
      <c r="R9" t="n">
        <v>1</v>
      </c>
      <c r="S9" t="n">
        <v>8</v>
      </c>
      <c r="T9" t="n">
        <v>11</v>
      </c>
      <c r="U9" s="2" t="inlineStr">
        <is>
          <t>Knärot
Järnsparv
Vedtrappmossa
Blåmossa
Bronshjon
Kransmossa
Spillkråka
Revlummer</t>
        </is>
      </c>
      <c r="V9">
        <f>HYPERLINK("https://klasma.github.io/Logging_0513/artfynd/A 20217-2026 artfynd.xlsx", "A 20217-2026")</f>
        <v/>
      </c>
      <c r="W9">
        <f>HYPERLINK("https://klasma.github.io/Logging_0513/kartor/A 20217-2026 karta.png", "A 20217-2026")</f>
        <v/>
      </c>
      <c r="X9">
        <f>HYPERLINK("https://klasma.github.io/Logging_0513/kartor_geotiff/A 20217-2026 georefererad karta.tif", "A 20217-2026")</f>
        <v/>
      </c>
      <c r="Y9">
        <f>HYPERLINK("https://klasma.github.io/Logging_0513/knärot/A 20217-2026 karta knärot.png", "A 20217-2026")</f>
        <v/>
      </c>
      <c r="Z9">
        <f>HYPERLINK("https://klasma.github.io/Logging_0513/klagomål/A 20217-2026 FSC-klagomål.docx", "A 20217-2026")</f>
        <v/>
      </c>
      <c r="AA9">
        <f>HYPERLINK("https://klasma.github.io/Logging_0513/klagomålsmail/A 20217-2026 FSC-klagomål mail.docx", "A 20217-2026")</f>
        <v/>
      </c>
      <c r="AB9">
        <f>HYPERLINK("https://klasma.github.io/Logging_0513/tillsyn/A 20217-2026 tillsynsbegäran.docx", "A 20217-2026")</f>
        <v/>
      </c>
      <c r="AC9">
        <f>HYPERLINK("https://klasma.github.io/Logging_0513/tillsynsmail/A 20217-2026 tillsynsbegäran mail.docx", "A 20217-2026")</f>
        <v/>
      </c>
      <c r="AD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46223</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s="2" t="inlineStr">
        <is>
          <t>Slåttergubbe
Backtimjan
Jungfrulin
Fläcknycklar
Grönvit nattviol
Nattviol
Revlummer</t>
        </is>
      </c>
      <c r="V10">
        <f>HYPERLINK("https://klasma.github.io/Logging_0513/artfynd/A 1999-2023 artfynd.xlsx", "A 1999-2023")</f>
        <v/>
      </c>
      <c r="W10">
        <f>HYPERLINK("https://klasma.github.io/Logging_0513/kartor/A 1999-2023 karta.png", "A 1999-2023")</f>
        <v/>
      </c>
      <c r="X10">
        <f>HYPERLINK("https://klasma.github.io/Logging_0513/kartor_geotiff/A 1999-2023 georefererad karta.tif", "A 1999-2023")</f>
        <v/>
      </c>
      <c r="Z10">
        <f>HYPERLINK("https://klasma.github.io/Logging_0513/klagomål/A 1999-2023 FSC-klagomål.docx", "A 1999-2023")</f>
        <v/>
      </c>
      <c r="AA10">
        <f>HYPERLINK("https://klasma.github.io/Logging_0513/klagomålsmail/A 1999-2023 FSC-klagomål mail.docx", "A 1999-2023")</f>
        <v/>
      </c>
      <c r="AB10">
        <f>HYPERLINK("https://klasma.github.io/Logging_0513/tillsyn/A 1999-2023 tillsynsbegäran.docx", "A 1999-2023")</f>
        <v/>
      </c>
      <c r="AC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46223</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s="2" t="inlineStr">
        <is>
          <t>Jungfrulin
Spindelört
Svinrot
Ekoxe
Blåsippa
Gröngöling
Gullviva</t>
        </is>
      </c>
      <c r="V11">
        <f>HYPERLINK("https://klasma.github.io/Logging_0513/artfynd/A 5119-2023 artfynd.xlsx", "A 5119-2023")</f>
        <v/>
      </c>
      <c r="W11">
        <f>HYPERLINK("https://klasma.github.io/Logging_0513/kartor/A 5119-2023 karta.png", "A 5119-2023")</f>
        <v/>
      </c>
      <c r="X11">
        <f>HYPERLINK("https://klasma.github.io/Logging_0513/kartor_geotiff/A 5119-2023 georefererad karta.tif", "A 5119-2023")</f>
        <v/>
      </c>
      <c r="Z11">
        <f>HYPERLINK("https://klasma.github.io/Logging_0513/klagomål/A 5119-2023 FSC-klagomål.docx", "A 5119-2023")</f>
        <v/>
      </c>
      <c r="AA11">
        <f>HYPERLINK("https://klasma.github.io/Logging_0513/klagomålsmail/A 5119-2023 FSC-klagomål mail.docx", "A 5119-2023")</f>
        <v/>
      </c>
      <c r="AB11">
        <f>HYPERLINK("https://klasma.github.io/Logging_0513/tillsyn/A 5119-2023 tillsynsbegäran.docx", "A 5119-2023")</f>
        <v/>
      </c>
      <c r="AC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46223</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HYPERLINK("https://klasma.github.io/Logging_0513/kartor_geotiff/A 14941-2026 georefererad karta.tif", "A 14941-2026")</f>
        <v/>
      </c>
      <c r="Y12">
        <f>HYPERLINK("https://klasma.github.io/Logging_0513/knärot/A 14941-2026 karta knärot.png", "A 14941-2026")</f>
        <v/>
      </c>
      <c r="Z12">
        <f>HYPERLINK("https://klasma.github.io/Logging_0513/klagomål/A 14941-2026 FSC-klagomål.docx", "A 14941-2026")</f>
        <v/>
      </c>
      <c r="AA12">
        <f>HYPERLINK("https://klasma.github.io/Logging_0513/klagomålsmail/A 14941-2026 FSC-klagomål mail.docx", "A 14941-2026")</f>
        <v/>
      </c>
      <c r="AB12">
        <f>HYPERLINK("https://klasma.github.io/Logging_0513/tillsyn/A 14941-2026 tillsynsbegäran.docx", "A 14941-2026")</f>
        <v/>
      </c>
      <c r="AC12">
        <f>HYPERLINK("https://klasma.github.io/Logging_0513/tillsynsmail/A 14941-2026 tillsynsbegäran mail.docx", "A 14941-2026")</f>
        <v/>
      </c>
      <c r="AD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46223</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s="2" t="inlineStr">
        <is>
          <t>Tallticka
Fällmossa
Mindre märgborre
Platt fjädermossa
Blåsippa
Spillkråka</t>
        </is>
      </c>
      <c r="V13">
        <f>HYPERLINK("https://klasma.github.io/Logging_0513/artfynd/A 37068-2025 artfynd.xlsx", "A 37068-2025")</f>
        <v/>
      </c>
      <c r="W13">
        <f>HYPERLINK("https://klasma.github.io/Logging_0513/kartor/A 37068-2025 karta.png", "A 37068-2025")</f>
        <v/>
      </c>
      <c r="X13">
        <f>HYPERLINK("https://klasma.github.io/Logging_0513/kartor_geotiff/A 37068-2025 georefererad karta.tif", "A 37068-2025")</f>
        <v/>
      </c>
      <c r="Z13">
        <f>HYPERLINK("https://klasma.github.io/Logging_0513/klagomål/A 37068-2025 FSC-klagomål.docx", "A 37068-2025")</f>
        <v/>
      </c>
      <c r="AA13">
        <f>HYPERLINK("https://klasma.github.io/Logging_0513/klagomålsmail/A 37068-2025 FSC-klagomål mail.docx", "A 37068-2025")</f>
        <v/>
      </c>
      <c r="AB13">
        <f>HYPERLINK("https://klasma.github.io/Logging_0513/tillsyn/A 37068-2025 tillsynsbegäran.docx", "A 37068-2025")</f>
        <v/>
      </c>
      <c r="AC13">
        <f>HYPERLINK("https://klasma.github.io/Logging_0513/tillsynsmail/A 37068-2025 tillsynsbegäran mail.docx", "A 37068-2025")</f>
        <v/>
      </c>
      <c r="AD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46223</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s="2" t="inlineStr">
        <is>
          <t>Knärot
Tallticka
Aspvedgnagare
Fällmossa
Mindre märgborre
Spillkråka</t>
        </is>
      </c>
      <c r="V14">
        <f>HYPERLINK("https://klasma.github.io/Logging_0513/artfynd/A 27581-2025 artfynd.xlsx", "A 27581-2025")</f>
        <v/>
      </c>
      <c r="W14">
        <f>HYPERLINK("https://klasma.github.io/Logging_0513/kartor/A 27581-2025 karta.png", "A 27581-2025")</f>
        <v/>
      </c>
      <c r="X14">
        <f>HYPERLINK("https://klasma.github.io/Logging_0513/kartor_geotiff/A 27581-2025 georefererad karta.tif", "A 27581-2025")</f>
        <v/>
      </c>
      <c r="Y14">
        <f>HYPERLINK("https://klasma.github.io/Logging_0513/knärot/A 27581-2025 karta knärot.png", "A 27581-2025")</f>
        <v/>
      </c>
      <c r="Z14">
        <f>HYPERLINK("https://klasma.github.io/Logging_0513/klagomål/A 27581-2025 FSC-klagomål.docx", "A 27581-2025")</f>
        <v/>
      </c>
      <c r="AA14">
        <f>HYPERLINK("https://klasma.github.io/Logging_0513/klagomålsmail/A 27581-2025 FSC-klagomål mail.docx", "A 27581-2025")</f>
        <v/>
      </c>
      <c r="AB14">
        <f>HYPERLINK("https://klasma.github.io/Logging_0513/tillsyn/A 27581-2025 tillsynsbegäran.docx", "A 27581-2025")</f>
        <v/>
      </c>
      <c r="AC14">
        <f>HYPERLINK("https://klasma.github.io/Logging_0513/tillsynsmail/A 27581-2025 tillsynsbegäran mail.docx", "A 27581-2025")</f>
        <v/>
      </c>
      <c r="AD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46223</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s="2" t="inlineStr">
        <is>
          <t>Brunskaftad blekspik
Gulvit blekspik
Fällmossa
Guldlockmossa
Lönnlav
Scytinium lichenoides s.lat.</t>
        </is>
      </c>
      <c r="V15">
        <f>HYPERLINK("https://klasma.github.io/Logging_0513/artfynd/A 48628-2023 artfynd.xlsx", "A 48628-2023")</f>
        <v/>
      </c>
      <c r="W15">
        <f>HYPERLINK("https://klasma.github.io/Logging_0513/kartor/A 48628-2023 karta.png", "A 48628-2023")</f>
        <v/>
      </c>
      <c r="X15">
        <f>HYPERLINK("https://klasma.github.io/Logging_0513/kartor_geotiff/A 48628-2023 georefererad karta.tif", "A 48628-2023")</f>
        <v/>
      </c>
      <c r="Z15">
        <f>HYPERLINK("https://klasma.github.io/Logging_0513/klagomål/A 48628-2023 FSC-klagomål.docx", "A 48628-2023")</f>
        <v/>
      </c>
      <c r="AA15">
        <f>HYPERLINK("https://klasma.github.io/Logging_0513/klagomålsmail/A 48628-2023 FSC-klagomål mail.docx", "A 48628-2023")</f>
        <v/>
      </c>
      <c r="AB15">
        <f>HYPERLINK("https://klasma.github.io/Logging_0513/tillsyn/A 48628-2023 tillsynsbegäran.docx", "A 48628-2023")</f>
        <v/>
      </c>
      <c r="AC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46223</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s="2" t="inlineStr">
        <is>
          <t>Läderbagge
Kardinalrödrock
Xyletinus longitarsis
Aspvedborre
Aspvedgnagare
Noshornsoxe</t>
        </is>
      </c>
      <c r="V16">
        <f>HYPERLINK("https://klasma.github.io/Logging_0513/artfynd/A 74202-2021 artfynd.xlsx", "A 74202-2021")</f>
        <v/>
      </c>
      <c r="W16">
        <f>HYPERLINK("https://klasma.github.io/Logging_0513/kartor/A 74202-2021 karta.png", "A 74202-2021")</f>
        <v/>
      </c>
      <c r="X16">
        <f>HYPERLINK("https://klasma.github.io/Logging_0513/kartor_geotiff/A 74202-2021 georefererad karta.tif", "A 74202-2021")</f>
        <v/>
      </c>
      <c r="Z16">
        <f>HYPERLINK("https://klasma.github.io/Logging_0513/klagomål/A 74202-2021 FSC-klagomål.docx", "A 74202-2021")</f>
        <v/>
      </c>
      <c r="AA16">
        <f>HYPERLINK("https://klasma.github.io/Logging_0513/klagomålsmail/A 74202-2021 FSC-klagomål mail.docx", "A 74202-2021")</f>
        <v/>
      </c>
      <c r="AB16">
        <f>HYPERLINK("https://klasma.github.io/Logging_0513/tillsyn/A 74202-2021 tillsynsbegäran.docx", "A 74202-2021")</f>
        <v/>
      </c>
      <c r="AC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46223</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s="2" t="inlineStr">
        <is>
          <t>Fällmossa
Gulnål
Utter
Revlummer</t>
        </is>
      </c>
      <c r="V17">
        <f>HYPERLINK("https://klasma.github.io/Logging_0513/artfynd/A 21473-2022 artfynd.xlsx", "A 21473-2022")</f>
        <v/>
      </c>
      <c r="W17">
        <f>HYPERLINK("https://klasma.github.io/Logging_0513/kartor/A 21473-2022 karta.png", "A 21473-2022")</f>
        <v/>
      </c>
      <c r="X17">
        <f>HYPERLINK("https://klasma.github.io/Logging_0513/kartor_geotiff/A 21473-2022 georefererad karta.tif", "A 21473-2022")</f>
        <v/>
      </c>
      <c r="Z17">
        <f>HYPERLINK("https://klasma.github.io/Logging_0513/klagomål/A 21473-2022 FSC-klagomål.docx", "A 21473-2022")</f>
        <v/>
      </c>
      <c r="AA17">
        <f>HYPERLINK("https://klasma.github.io/Logging_0513/klagomålsmail/A 21473-2022 FSC-klagomål mail.docx", "A 21473-2022")</f>
        <v/>
      </c>
      <c r="AB17">
        <f>HYPERLINK("https://klasma.github.io/Logging_0513/tillsyn/A 21473-2022 tillsynsbegäran.docx", "A 21473-2022")</f>
        <v/>
      </c>
      <c r="AC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46223</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s="2" t="inlineStr">
        <is>
          <t>Sårläka
Tallticka
Hasselticka
Blåsippa</t>
        </is>
      </c>
      <c r="V18">
        <f>HYPERLINK("https://klasma.github.io/Logging_0513/artfynd/A 54673-2023 artfynd.xlsx", "A 54673-2023")</f>
        <v/>
      </c>
      <c r="W18">
        <f>HYPERLINK("https://klasma.github.io/Logging_0513/kartor/A 54673-2023 karta.png", "A 54673-2023")</f>
        <v/>
      </c>
      <c r="X18">
        <f>HYPERLINK("https://klasma.github.io/Logging_0513/kartor_geotiff/A 54673-2023 georefererad karta.tif", "A 54673-2023")</f>
        <v/>
      </c>
      <c r="Z18">
        <f>HYPERLINK("https://klasma.github.io/Logging_0513/klagomål/A 54673-2023 FSC-klagomål.docx", "A 54673-2023")</f>
        <v/>
      </c>
      <c r="AA18">
        <f>HYPERLINK("https://klasma.github.io/Logging_0513/klagomålsmail/A 54673-2023 FSC-klagomål mail.docx", "A 54673-2023")</f>
        <v/>
      </c>
      <c r="AB18">
        <f>HYPERLINK("https://klasma.github.io/Logging_0513/tillsyn/A 54673-2023 tillsynsbegäran.docx", "A 54673-2023")</f>
        <v/>
      </c>
      <c r="AC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46223</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s="2" t="inlineStr">
        <is>
          <t>Växeltandsfibbla
Ekoxe
Blåsippa
Ekorrbär</t>
        </is>
      </c>
      <c r="V19">
        <f>HYPERLINK("https://klasma.github.io/Logging_0513/artfynd/A 53708-2025 artfynd.xlsx", "A 53708-2025")</f>
        <v/>
      </c>
      <c r="W19">
        <f>HYPERLINK("https://klasma.github.io/Logging_0513/kartor/A 53708-2025 karta.png", "A 53708-2025")</f>
        <v/>
      </c>
      <c r="X19">
        <f>HYPERLINK("https://klasma.github.io/Logging_0513/kartor_geotiff/A 53708-2025 georefererad karta.tif", "A 53708-2025")</f>
        <v/>
      </c>
      <c r="Z19">
        <f>HYPERLINK("https://klasma.github.io/Logging_0513/klagomål/A 53708-2025 FSC-klagomål.docx", "A 53708-2025")</f>
        <v/>
      </c>
      <c r="AA19">
        <f>HYPERLINK("https://klasma.github.io/Logging_0513/klagomålsmail/A 53708-2025 FSC-klagomål mail.docx", "A 53708-2025")</f>
        <v/>
      </c>
      <c r="AB19">
        <f>HYPERLINK("https://klasma.github.io/Logging_0513/tillsyn/A 53708-2025 tillsynsbegäran.docx", "A 53708-2025")</f>
        <v/>
      </c>
      <c r="AC19">
        <f>HYPERLINK("https://klasma.github.io/Logging_0513/tillsynsmail/A 53708-2025 tillsynsbegäran mail.docx", "A 53708-2025")</f>
        <v/>
      </c>
    </row>
    <row r="20" ht="15" customHeight="1">
      <c r="A20" t="inlineStr">
        <is>
          <t>A 52631-2025</t>
        </is>
      </c>
      <c r="B20" t="inlineStr">
        <is>
          <t>avverkningsanmälan</t>
        </is>
      </c>
      <c r="C20" t="inlineStr">
        <is>
          <t>Föryngringsavverkning</t>
        </is>
      </c>
      <c r="D20" s="1" t="n">
        <v>45954</v>
      </c>
      <c r="E20" s="1" t="n">
        <v>46223</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s="2" t="inlineStr">
        <is>
          <t>Älg
Grön sköldmossa
Platt fjädermossa
Stubbspretmossa</t>
        </is>
      </c>
      <c r="V20">
        <f>HYPERLINK("https://klasma.github.io/Logging_0513/artfynd/A 52631-2025 artfynd.xlsx", "A 52631-2025")</f>
        <v/>
      </c>
      <c r="W20">
        <f>HYPERLINK("https://klasma.github.io/Logging_0513/kartor/A 52631-2025 karta.png", "A 52631-2025")</f>
        <v/>
      </c>
      <c r="X20">
        <f>HYPERLINK("https://klasma.github.io/Logging_0513/kartor_geotiff/A 52631-2025 georefererad karta.tif", "A 52631-2025")</f>
        <v/>
      </c>
      <c r="Z20">
        <f>HYPERLINK("https://klasma.github.io/Logging_0513/klagomål/A 52631-2025 FSC-klagomål.docx", "A 52631-2025")</f>
        <v/>
      </c>
      <c r="AA20">
        <f>HYPERLINK("https://klasma.github.io/Logging_0513/klagomålsmail/A 52631-2025 FSC-klagomål mail.docx", "A 52631-2025")</f>
        <v/>
      </c>
      <c r="AB20">
        <f>HYPERLINK("https://klasma.github.io/Logging_0513/tillsyn/A 52631-2025 tillsynsbegäran.docx", "A 52631-2025")</f>
        <v/>
      </c>
      <c r="AC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46223</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s="2" t="inlineStr">
        <is>
          <t>Kattfotslav
Mindre märgborre
Tjäder
Fläcknycklar</t>
        </is>
      </c>
      <c r="V21">
        <f>HYPERLINK("https://klasma.github.io/Logging_0513/artfynd/A 27667-2022 artfynd.xlsx", "A 27667-2022")</f>
        <v/>
      </c>
      <c r="W21">
        <f>HYPERLINK("https://klasma.github.io/Logging_0513/kartor/A 27667-2022 karta.png", "A 27667-2022")</f>
        <v/>
      </c>
      <c r="X21">
        <f>HYPERLINK("https://klasma.github.io/Logging_0513/kartor_geotiff/A 27667-2022 georefererad karta.tif", "A 27667-2022")</f>
        <v/>
      </c>
      <c r="Z21">
        <f>HYPERLINK("https://klasma.github.io/Logging_0513/klagomål/A 27667-2022 FSC-klagomål.docx", "A 27667-2022")</f>
        <v/>
      </c>
      <c r="AA21">
        <f>HYPERLINK("https://klasma.github.io/Logging_0513/klagomålsmail/A 27667-2022 FSC-klagomål mail.docx", "A 27667-2022")</f>
        <v/>
      </c>
      <c r="AB21">
        <f>HYPERLINK("https://klasma.github.io/Logging_0513/tillsyn/A 27667-2022 tillsynsbegäran.docx", "A 27667-2022")</f>
        <v/>
      </c>
      <c r="AC21">
        <f>HYPERLINK("https://klasma.github.io/Logging_0513/tillsynsmail/A 27667-2022 tillsynsbegäran mail.docx", "A 27667-2022")</f>
        <v/>
      </c>
      <c r="AD21">
        <f>HYPERLINK("https://klasma.github.io/Logging_0513/fåglar/A 27667-2022 prioriterade fågelarter.docx", "A 27667-2022")</f>
        <v/>
      </c>
    </row>
    <row r="22" ht="15" customHeight="1">
      <c r="A22" t="inlineStr">
        <is>
          <t>A 58738-2024</t>
        </is>
      </c>
      <c r="B22" t="inlineStr">
        <is>
          <t>avverkningsanmälan</t>
        </is>
      </c>
      <c r="C22" t="inlineStr">
        <is>
          <t>Föryngringsavverkning</t>
        </is>
      </c>
      <c r="D22" s="1" t="n">
        <v>45635</v>
      </c>
      <c r="E22" s="1" t="n">
        <v>46223</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s="2" t="inlineStr">
        <is>
          <t>Tallticka
Bronshjon
Granbarkgnagare</t>
        </is>
      </c>
      <c r="V22">
        <f>HYPERLINK("https://klasma.github.io/Logging_0513/artfynd/A 58738-2024 artfynd.xlsx", "A 58738-2024")</f>
        <v/>
      </c>
      <c r="W22">
        <f>HYPERLINK("https://klasma.github.io/Logging_0513/kartor/A 58738-2024 karta.png", "A 58738-2024")</f>
        <v/>
      </c>
      <c r="X22">
        <f>HYPERLINK("https://klasma.github.io/Logging_0513/kartor_geotiff/A 58738-2024 georefererad karta.tif", "A 58738-2024")</f>
        <v/>
      </c>
      <c r="Y22">
        <f>HYPERLINK("https://klasma.github.io/Logging_0513/knärot/A 58738-2024 karta knärot.png", "A 58738-2024")</f>
        <v/>
      </c>
      <c r="Z22">
        <f>HYPERLINK("https://klasma.github.io/Logging_0513/klagomål/A 58738-2024 FSC-klagomål.docx", "A 58738-2024")</f>
        <v/>
      </c>
      <c r="AA22">
        <f>HYPERLINK("https://klasma.github.io/Logging_0513/klagomålsmail/A 58738-2024 FSC-klagomål mail.docx", "A 58738-2024")</f>
        <v/>
      </c>
      <c r="AB22">
        <f>HYPERLINK("https://klasma.github.io/Logging_0513/tillsyn/A 58738-2024 tillsynsbegäran.docx", "A 58738-2024")</f>
        <v/>
      </c>
      <c r="AC22">
        <f>HYPERLINK("https://klasma.github.io/Logging_0513/tillsynsmail/A 58738-2024 tillsynsbegäran mail.docx", "A 58738-2024")</f>
        <v/>
      </c>
    </row>
    <row r="23" ht="15" customHeight="1">
      <c r="A23" t="inlineStr">
        <is>
          <t>A 32-2025</t>
        </is>
      </c>
      <c r="B23" t="inlineStr">
        <is>
          <t>avverkningsanmälan</t>
        </is>
      </c>
      <c r="C23" t="inlineStr">
        <is>
          <t>Föryngringsavverkning</t>
        </is>
      </c>
      <c r="D23" s="1" t="n">
        <v>45659</v>
      </c>
      <c r="E23" s="1" t="n">
        <v>46223</v>
      </c>
      <c r="F23" t="inlineStr">
        <is>
          <t>ÖSTERGÖTLANDS LÄN</t>
        </is>
      </c>
      <c r="G23" t="inlineStr">
        <is>
          <t>KINDA</t>
        </is>
      </c>
      <c r="I23" t="n">
        <v>2.4</v>
      </c>
      <c r="J23" t="n">
        <v>1</v>
      </c>
      <c r="K23" t="n">
        <v>1</v>
      </c>
      <c r="L23" t="n">
        <v>1</v>
      </c>
      <c r="M23" t="n">
        <v>1</v>
      </c>
      <c r="N23" t="n">
        <v>0</v>
      </c>
      <c r="O23" t="n">
        <v>0</v>
      </c>
      <c r="P23" t="n">
        <v>0</v>
      </c>
      <c r="Q23" t="n">
        <v>2</v>
      </c>
      <c r="R23" t="n">
        <v>1</v>
      </c>
      <c r="S23" t="n">
        <v>3</v>
      </c>
      <c r="T23" t="n">
        <v>4</v>
      </c>
      <c r="U23" s="2" t="inlineStr">
        <is>
          <t>Knärot
Tallticka
Granbarkgnagare</t>
        </is>
      </c>
      <c r="V23">
        <f>HYPERLINK("https://klasma.github.io/Logging_0513/artfynd/A 32-2025 artfynd.xlsx", "A 32-2025")</f>
        <v/>
      </c>
      <c r="W23">
        <f>HYPERLINK("https://klasma.github.io/Logging_0513/kartor/A 32-2025 karta.png", "A 32-2025")</f>
        <v/>
      </c>
      <c r="X23">
        <f>HYPERLINK("https://klasma.github.io/Logging_0513/kartor_geotiff/A 32-2025 georefererad karta.tif", "A 32-2025")</f>
        <v/>
      </c>
      <c r="Y23">
        <f>HYPERLINK("https://klasma.github.io/Logging_0513/knärot/A 32-2025 karta knärot.png", "A 32-2025")</f>
        <v/>
      </c>
      <c r="Z23">
        <f>HYPERLINK("https://klasma.github.io/Logging_0513/klagomål/A 32-2025 FSC-klagomål.docx", "A 32-2025")</f>
        <v/>
      </c>
      <c r="AA23">
        <f>HYPERLINK("https://klasma.github.io/Logging_0513/klagomålsmail/A 32-2025 FSC-klagomål mail.docx", "A 32-2025")</f>
        <v/>
      </c>
      <c r="AB23">
        <f>HYPERLINK("https://klasma.github.io/Logging_0513/tillsyn/A 32-2025 tillsynsbegäran.docx", "A 32-2025")</f>
        <v/>
      </c>
      <c r="AC23">
        <f>HYPERLINK("https://klasma.github.io/Logging_0513/tillsynsmail/A 32-2025 tillsynsbegäran mail.docx", "A 32-2025")</f>
        <v/>
      </c>
    </row>
    <row r="24" ht="15" customHeight="1">
      <c r="A24" t="inlineStr">
        <is>
          <t>A 52898-2025</t>
        </is>
      </c>
      <c r="B24" t="inlineStr">
        <is>
          <t>avverkningsanmälan</t>
        </is>
      </c>
      <c r="C24" t="inlineStr">
        <is>
          <t>Föryngringsavverkning</t>
        </is>
      </c>
      <c r="D24" s="1" t="n">
        <v>45957</v>
      </c>
      <c r="E24" s="1" t="n">
        <v>46223</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s="2" t="inlineStr">
        <is>
          <t>Gullklöver
Korskovall
Vippärt</t>
        </is>
      </c>
      <c r="V24">
        <f>HYPERLINK("https://klasma.github.io/Logging_0513/artfynd/A 52898-2025 artfynd.xlsx", "A 52898-2025")</f>
        <v/>
      </c>
      <c r="W24">
        <f>HYPERLINK("https://klasma.github.io/Logging_0513/kartor/A 52898-2025 karta.png", "A 52898-2025")</f>
        <v/>
      </c>
      <c r="X24">
        <f>HYPERLINK("https://klasma.github.io/Logging_0513/kartor_geotiff/A 52898-2025 georefererad karta.tif", "A 52898-2025")</f>
        <v/>
      </c>
      <c r="Z24">
        <f>HYPERLINK("https://klasma.github.io/Logging_0513/klagomål/A 52898-2025 FSC-klagomål.docx", "A 52898-2025")</f>
        <v/>
      </c>
      <c r="AA24">
        <f>HYPERLINK("https://klasma.github.io/Logging_0513/klagomålsmail/A 52898-2025 FSC-klagomål mail.docx", "A 52898-2025")</f>
        <v/>
      </c>
      <c r="AB24">
        <f>HYPERLINK("https://klasma.github.io/Logging_0513/tillsyn/A 52898-2025 tillsynsbegäran.docx", "A 52898-2025")</f>
        <v/>
      </c>
      <c r="AC24">
        <f>HYPERLINK("https://klasma.github.io/Logging_0513/tillsynsmail/A 52898-2025 tillsynsbegäran mail.docx", "A 52898-2025")</f>
        <v/>
      </c>
    </row>
    <row r="25" ht="15" customHeight="1">
      <c r="A25" t="inlineStr">
        <is>
          <t>A 45119-2023</t>
        </is>
      </c>
      <c r="B25" t="inlineStr">
        <is>
          <t>avverkningsanmälan</t>
        </is>
      </c>
      <c r="C25" t="inlineStr">
        <is>
          <t>Föryngringsavverkning</t>
        </is>
      </c>
      <c r="D25" s="1" t="n">
        <v>45187</v>
      </c>
      <c r="E25" s="1" t="n">
        <v>46223</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s="2" t="inlineStr">
        <is>
          <t>Sorgfibbla
Aspelandsfibbla
Smal guldkornsfibbla</t>
        </is>
      </c>
      <c r="V25">
        <f>HYPERLINK("https://klasma.github.io/Logging_0513/artfynd/A 45119-2023 artfynd.xlsx", "A 45119-2023")</f>
        <v/>
      </c>
      <c r="W25">
        <f>HYPERLINK("https://klasma.github.io/Logging_0513/kartor/A 45119-2023 karta.png", "A 45119-2023")</f>
        <v/>
      </c>
      <c r="X25">
        <f>HYPERLINK("https://klasma.github.io/Logging_0513/kartor_geotiff/A 45119-2023 georefererad karta.tif", "A 45119-2023")</f>
        <v/>
      </c>
      <c r="Z25">
        <f>HYPERLINK("https://klasma.github.io/Logging_0513/klagomål/A 45119-2023 FSC-klagomål.docx", "A 45119-2023")</f>
        <v/>
      </c>
      <c r="AA25">
        <f>HYPERLINK("https://klasma.github.io/Logging_0513/klagomålsmail/A 45119-2023 FSC-klagomål mail.docx", "A 45119-2023")</f>
        <v/>
      </c>
      <c r="AB25">
        <f>HYPERLINK("https://klasma.github.io/Logging_0513/tillsyn/A 45119-2023 tillsynsbegäran.docx", "A 45119-2023")</f>
        <v/>
      </c>
      <c r="AC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46223</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s="2" t="inlineStr">
        <is>
          <t>Skogsalm
Fjällig taggsvamp s.str.
Oxtungssvamp</t>
        </is>
      </c>
      <c r="V26">
        <f>HYPERLINK("https://klasma.github.io/Logging_0513/artfynd/A 40463-2021 artfynd.xlsx", "A 40463-2021")</f>
        <v/>
      </c>
      <c r="W26">
        <f>HYPERLINK("https://klasma.github.io/Logging_0513/kartor/A 40463-2021 karta.png", "A 40463-2021")</f>
        <v/>
      </c>
      <c r="X26">
        <f>HYPERLINK("https://klasma.github.io/Logging_0513/kartor_geotiff/A 40463-2021 georefererad karta.tif", "A 40463-2021")</f>
        <v/>
      </c>
      <c r="Z26">
        <f>HYPERLINK("https://klasma.github.io/Logging_0513/klagomål/A 40463-2021 FSC-klagomål.docx", "A 40463-2021")</f>
        <v/>
      </c>
      <c r="AA26">
        <f>HYPERLINK("https://klasma.github.io/Logging_0513/klagomålsmail/A 40463-2021 FSC-klagomål mail.docx", "A 40463-2021")</f>
        <v/>
      </c>
      <c r="AB26">
        <f>HYPERLINK("https://klasma.github.io/Logging_0513/tillsyn/A 40463-2021 tillsynsbegäran.docx", "A 40463-2021")</f>
        <v/>
      </c>
      <c r="AC26">
        <f>HYPERLINK("https://klasma.github.io/Logging_0513/tillsynsmail/A 40463-2021 tillsynsbegäran mail.docx", "A 40463-2021")</f>
        <v/>
      </c>
    </row>
    <row r="27" ht="15" customHeight="1">
      <c r="A27" t="inlineStr">
        <is>
          <t>A 1704-2026</t>
        </is>
      </c>
      <c r="B27" t="inlineStr">
        <is>
          <t>avverkningsanmälan</t>
        </is>
      </c>
      <c r="C27" t="inlineStr">
        <is>
          <t>Föryngringsavverkning</t>
        </is>
      </c>
      <c r="D27" s="1" t="n">
        <v>46034</v>
      </c>
      <c r="E27" s="1" t="n">
        <v>46223</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s="2" t="inlineStr">
        <is>
          <t>Gullpudra
Jungfrulin
Grönvit nattviol</t>
        </is>
      </c>
      <c r="V27">
        <f>HYPERLINK("https://klasma.github.io/Logging_0513/artfynd/A 1704-2026 artfynd.xlsx", "A 1704-2026")</f>
        <v/>
      </c>
      <c r="W27">
        <f>HYPERLINK("https://klasma.github.io/Logging_0513/kartor/A 1704-2026 karta.png", "A 1704-2026")</f>
        <v/>
      </c>
      <c r="X27">
        <f>HYPERLINK("https://klasma.github.io/Logging_0513/kartor_geotiff/A 1704-2026 georefererad karta.tif", "A 1704-2026")</f>
        <v/>
      </c>
      <c r="Z27">
        <f>HYPERLINK("https://klasma.github.io/Logging_0513/klagomål/A 1704-2026 FSC-klagomål.docx", "A 1704-2026")</f>
        <v/>
      </c>
      <c r="AA27">
        <f>HYPERLINK("https://klasma.github.io/Logging_0513/klagomålsmail/A 1704-2026 FSC-klagomål mail.docx", "A 1704-2026")</f>
        <v/>
      </c>
      <c r="AB27">
        <f>HYPERLINK("https://klasma.github.io/Logging_0513/tillsyn/A 1704-2026 tillsynsbegäran.docx", "A 1704-2026")</f>
        <v/>
      </c>
      <c r="AC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46223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s="2" t="inlineStr">
        <is>
          <t>Blomkålssvamp
Fällmossa
Grön sköldmossa</t>
        </is>
      </c>
      <c r="V28">
        <f>HYPERLINK("https://klasma.github.io/Logging_0513/artfynd/A 56129-2024 artfynd.xlsx", "A 56129-2024")</f>
        <v/>
      </c>
      <c r="W28">
        <f>HYPERLINK("https://klasma.github.io/Logging_0513/kartor/A 56129-2024 karta.png", "A 56129-2024")</f>
        <v/>
      </c>
      <c r="X28">
        <f>HYPERLINK("https://klasma.github.io/Logging_0513/kartor_geotiff/A 56129-2024 georefererad karta.tif", "A 56129-2024")</f>
        <v/>
      </c>
      <c r="Z28">
        <f>HYPERLINK("https://klasma.github.io/Logging_0513/klagomål/A 56129-2024 FSC-klagomål.docx", "A 56129-2024")</f>
        <v/>
      </c>
      <c r="AA28">
        <f>HYPERLINK("https://klasma.github.io/Logging_0513/klagomålsmail/A 56129-2024 FSC-klagomål mail.docx", "A 56129-2024")</f>
        <v/>
      </c>
      <c r="AB28">
        <f>HYPERLINK("https://klasma.github.io/Logging_0513/tillsyn/A 56129-2024 tillsynsbegäran.docx", "A 56129-2024")</f>
        <v/>
      </c>
      <c r="AC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46223</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s="2" t="inlineStr">
        <is>
          <t>Knärot
Blåmossa
Blåsippa</t>
        </is>
      </c>
      <c r="V29">
        <f>HYPERLINK("https://klasma.github.io/Logging_0513/artfynd/A 3474-2023 artfynd.xlsx", "A 3474-2023")</f>
        <v/>
      </c>
      <c r="W29">
        <f>HYPERLINK("https://klasma.github.io/Logging_0513/kartor/A 3474-2023 karta.png", "A 3474-2023")</f>
        <v/>
      </c>
      <c r="X29">
        <f>HYPERLINK("https://klasma.github.io/Logging_0513/kartor_geotiff/A 3474-2023 georefererad karta.tif", "A 3474-2023")</f>
        <v/>
      </c>
      <c r="Y29">
        <f>HYPERLINK("https://klasma.github.io/Logging_0513/knärot/A 3474-2023 karta knärot.png", "A 3474-2023")</f>
        <v/>
      </c>
      <c r="Z29">
        <f>HYPERLINK("https://klasma.github.io/Logging_0513/klagomål/A 3474-2023 FSC-klagomål.docx", "A 3474-2023")</f>
        <v/>
      </c>
      <c r="AA29">
        <f>HYPERLINK("https://klasma.github.io/Logging_0513/klagomålsmail/A 3474-2023 FSC-klagomål mail.docx", "A 3474-2023")</f>
        <v/>
      </c>
      <c r="AB29">
        <f>HYPERLINK("https://klasma.github.io/Logging_0513/tillsyn/A 3474-2023 tillsynsbegäran.docx", "A 3474-2023")</f>
        <v/>
      </c>
      <c r="AC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46223</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s="2" t="inlineStr">
        <is>
          <t>Dropptaggsvamp
Gropticka
Stor aspticka</t>
        </is>
      </c>
      <c r="V30">
        <f>HYPERLINK("https://klasma.github.io/Logging_0513/artfynd/A 36938-2023 artfynd.xlsx", "A 36938-2023")</f>
        <v/>
      </c>
      <c r="W30">
        <f>HYPERLINK("https://klasma.github.io/Logging_0513/kartor/A 36938-2023 karta.png", "A 36938-2023")</f>
        <v/>
      </c>
      <c r="X30">
        <f>HYPERLINK("https://klasma.github.io/Logging_0513/kartor_geotiff/A 36938-2023 georefererad karta.tif", "A 36938-2023")</f>
        <v/>
      </c>
      <c r="Z30">
        <f>HYPERLINK("https://klasma.github.io/Logging_0513/klagomål/A 36938-2023 FSC-klagomål.docx", "A 36938-2023")</f>
        <v/>
      </c>
      <c r="AA30">
        <f>HYPERLINK("https://klasma.github.io/Logging_0513/klagomålsmail/A 36938-2023 FSC-klagomål mail.docx", "A 36938-2023")</f>
        <v/>
      </c>
      <c r="AB30">
        <f>HYPERLINK("https://klasma.github.io/Logging_0513/tillsyn/A 36938-2023 tillsynsbegäran.docx", "A 36938-2023")</f>
        <v/>
      </c>
      <c r="AC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46223</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X31">
        <f>HYPERLINK("https://klasma.github.io/Logging_0513/kartor_geotiff/A 18597-2022 georefererad karta.tif", "A 18597-2022")</f>
        <v/>
      </c>
      <c r="Z31">
        <f>HYPERLINK("https://klasma.github.io/Logging_0513/klagomål/A 18597-2022 FSC-klagomål.docx", "A 18597-2022")</f>
        <v/>
      </c>
      <c r="AA31">
        <f>HYPERLINK("https://klasma.github.io/Logging_0513/klagomålsmail/A 18597-2022 FSC-klagomål mail.docx", "A 18597-2022")</f>
        <v/>
      </c>
      <c r="AB31">
        <f>HYPERLINK("https://klasma.github.io/Logging_0513/tillsyn/A 18597-2022 tillsynsbegäran.docx", "A 18597-2022")</f>
        <v/>
      </c>
      <c r="AC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46223</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X32">
        <f>HYPERLINK("https://klasma.github.io/Logging_0513/kartor_geotiff/A 52047-2022 georefererad karta.tif", "A 52047-2022")</f>
        <v/>
      </c>
      <c r="Z32">
        <f>HYPERLINK("https://klasma.github.io/Logging_0513/klagomål/A 52047-2022 FSC-klagomål.docx", "A 52047-2022")</f>
        <v/>
      </c>
      <c r="AA32">
        <f>HYPERLINK("https://klasma.github.io/Logging_0513/klagomålsmail/A 52047-2022 FSC-klagomål mail.docx", "A 52047-2022")</f>
        <v/>
      </c>
      <c r="AB32">
        <f>HYPERLINK("https://klasma.github.io/Logging_0513/tillsyn/A 52047-2022 tillsynsbegäran.docx", "A 52047-2022")</f>
        <v/>
      </c>
      <c r="AC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46223</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X33">
        <f>HYPERLINK("https://klasma.github.io/Logging_0513/kartor_geotiff/A 18898-2022 georefererad karta.tif", "A 18898-2022")</f>
        <v/>
      </c>
      <c r="Z33">
        <f>HYPERLINK("https://klasma.github.io/Logging_0513/klagomål/A 18898-2022 FSC-klagomål.docx", "A 18898-2022")</f>
        <v/>
      </c>
      <c r="AA33">
        <f>HYPERLINK("https://klasma.github.io/Logging_0513/klagomålsmail/A 18898-2022 FSC-klagomål mail.docx", "A 18898-2022")</f>
        <v/>
      </c>
      <c r="AB33">
        <f>HYPERLINK("https://klasma.github.io/Logging_0513/tillsyn/A 18898-2022 tillsynsbegäran.docx", "A 18898-2022")</f>
        <v/>
      </c>
      <c r="AC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46223</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s="2" t="inlineStr">
        <is>
          <t>Bågpraktmossa
Källmossor</t>
        </is>
      </c>
      <c r="V34">
        <f>HYPERLINK("https://klasma.github.io/Logging_0513/artfynd/A 1760-2024 artfynd.xlsx", "A 1760-2024")</f>
        <v/>
      </c>
      <c r="W34">
        <f>HYPERLINK("https://klasma.github.io/Logging_0513/kartor/A 1760-2024 karta.png", "A 1760-2024")</f>
        <v/>
      </c>
      <c r="X34">
        <f>HYPERLINK("https://klasma.github.io/Logging_0513/kartor_geotiff/A 1760-2024 georefererad karta.tif", "A 1760-2024")</f>
        <v/>
      </c>
      <c r="Z34">
        <f>HYPERLINK("https://klasma.github.io/Logging_0513/klagomål/A 1760-2024 FSC-klagomål.docx", "A 1760-2024")</f>
        <v/>
      </c>
      <c r="AA34">
        <f>HYPERLINK("https://klasma.github.io/Logging_0513/klagomålsmail/A 1760-2024 FSC-klagomål mail.docx", "A 1760-2024")</f>
        <v/>
      </c>
      <c r="AB34">
        <f>HYPERLINK("https://klasma.github.io/Logging_0513/tillsyn/A 1760-2024 tillsynsbegäran.docx", "A 1760-2024")</f>
        <v/>
      </c>
      <c r="AC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46223</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s="2" t="inlineStr">
        <is>
          <t>Tofsfibbla
Växeltandsfibbla</t>
        </is>
      </c>
      <c r="V35">
        <f>HYPERLINK("https://klasma.github.io/Logging_0513/artfynd/A 878-2024 artfynd.xlsx", "A 878-2024")</f>
        <v/>
      </c>
      <c r="W35">
        <f>HYPERLINK("https://klasma.github.io/Logging_0513/kartor/A 878-2024 karta.png", "A 878-2024")</f>
        <v/>
      </c>
      <c r="X35">
        <f>HYPERLINK("https://klasma.github.io/Logging_0513/kartor_geotiff/A 878-2024 georefererad karta.tif", "A 878-2024")</f>
        <v/>
      </c>
      <c r="Z35">
        <f>HYPERLINK("https://klasma.github.io/Logging_0513/klagomål/A 878-2024 FSC-klagomål.docx", "A 878-2024")</f>
        <v/>
      </c>
      <c r="AA35">
        <f>HYPERLINK("https://klasma.github.io/Logging_0513/klagomålsmail/A 878-2024 FSC-klagomål mail.docx", "A 878-2024")</f>
        <v/>
      </c>
      <c r="AB35">
        <f>HYPERLINK("https://klasma.github.io/Logging_0513/tillsyn/A 878-2024 tillsynsbegäran.docx", "A 878-2024")</f>
        <v/>
      </c>
      <c r="AC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46223</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s="2" t="inlineStr">
        <is>
          <t>Stubbspretmossa
Blåsippa</t>
        </is>
      </c>
      <c r="V36">
        <f>HYPERLINK("https://klasma.github.io/Logging_0513/artfynd/A 5588-2025 artfynd.xlsx", "A 5588-2025")</f>
        <v/>
      </c>
      <c r="W36">
        <f>HYPERLINK("https://klasma.github.io/Logging_0513/kartor/A 5588-2025 karta.png", "A 5588-2025")</f>
        <v/>
      </c>
      <c r="X36">
        <f>HYPERLINK("https://klasma.github.io/Logging_0513/kartor_geotiff/A 5588-2025 georefererad karta.tif", "A 5588-2025")</f>
        <v/>
      </c>
      <c r="Z36">
        <f>HYPERLINK("https://klasma.github.io/Logging_0513/klagomål/A 5588-2025 FSC-klagomål.docx", "A 5588-2025")</f>
        <v/>
      </c>
      <c r="AA36">
        <f>HYPERLINK("https://klasma.github.io/Logging_0513/klagomålsmail/A 5588-2025 FSC-klagomål mail.docx", "A 5588-2025")</f>
        <v/>
      </c>
      <c r="AB36">
        <f>HYPERLINK("https://klasma.github.io/Logging_0513/tillsyn/A 5588-2025 tillsynsbegäran.docx", "A 5588-2025")</f>
        <v/>
      </c>
      <c r="AC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46223</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s="2" t="inlineStr">
        <is>
          <t>Vesslefibbla
Dunmossa</t>
        </is>
      </c>
      <c r="V37">
        <f>HYPERLINK("https://klasma.github.io/Logging_0513/artfynd/A 12505-2026 artfynd.xlsx", "A 12505-2026")</f>
        <v/>
      </c>
      <c r="W37">
        <f>HYPERLINK("https://klasma.github.io/Logging_0513/kartor/A 12505-2026 karta.png", "A 12505-2026")</f>
        <v/>
      </c>
      <c r="X37">
        <f>HYPERLINK("https://klasma.github.io/Logging_0513/kartor_geotiff/A 12505-2026 georefererad karta.tif", "A 12505-2026")</f>
        <v/>
      </c>
      <c r="Z37">
        <f>HYPERLINK("https://klasma.github.io/Logging_0513/klagomål/A 12505-2026 FSC-klagomål.docx", "A 12505-2026")</f>
        <v/>
      </c>
      <c r="AA37">
        <f>HYPERLINK("https://klasma.github.io/Logging_0513/klagomålsmail/A 12505-2026 FSC-klagomål mail.docx", "A 12505-2026")</f>
        <v/>
      </c>
      <c r="AB37">
        <f>HYPERLINK("https://klasma.github.io/Logging_0513/tillsyn/A 12505-2026 tillsynsbegäran.docx", "A 12505-2026")</f>
        <v/>
      </c>
      <c r="AC37">
        <f>HYPERLINK("https://klasma.github.io/Logging_0513/tillsynsmail/A 12505-2026 tillsynsbegäran mail.docx", "A 12505-2026")</f>
        <v/>
      </c>
    </row>
    <row r="38" ht="15" customHeight="1">
      <c r="A38" t="inlineStr">
        <is>
          <t>A 57456-2021</t>
        </is>
      </c>
      <c r="B38" t="inlineStr">
        <is>
          <t>avverkningsanmälan</t>
        </is>
      </c>
      <c r="C38" t="inlineStr">
        <is>
          <t>Föryngringsavverkning</t>
        </is>
      </c>
      <c r="D38" s="1" t="n">
        <v>44483</v>
      </c>
      <c r="E38" s="1" t="n">
        <v>46223</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s="2" t="inlineStr">
        <is>
          <t>Smalsprötad bastardsvärmare
Mindre tåtelsmygare</t>
        </is>
      </c>
      <c r="V38">
        <f>HYPERLINK("https://klasma.github.io/Logging_0513/artfynd/A 57456-2021 artfynd.xlsx", "A 57456-2021")</f>
        <v/>
      </c>
      <c r="W38">
        <f>HYPERLINK("https://klasma.github.io/Logging_0513/kartor/A 57456-2021 karta.png", "A 57456-2021")</f>
        <v/>
      </c>
      <c r="X38">
        <f>HYPERLINK("https://klasma.github.io/Logging_0513/kartor_geotiff/A 57456-2021 georefererad karta.tif", "A 57456-2021")</f>
        <v/>
      </c>
      <c r="Z38">
        <f>HYPERLINK("https://klasma.github.io/Logging_0513/klagomål/A 57456-2021 FSC-klagomål.docx", "A 57456-2021")</f>
        <v/>
      </c>
      <c r="AA38">
        <f>HYPERLINK("https://klasma.github.io/Logging_0513/klagomålsmail/A 57456-2021 FSC-klagomål mail.docx", "A 57456-2021")</f>
        <v/>
      </c>
      <c r="AB38">
        <f>HYPERLINK("https://klasma.github.io/Logging_0513/tillsyn/A 57456-2021 tillsynsbegäran.docx", "A 57456-2021")</f>
        <v/>
      </c>
      <c r="AC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46223</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s="2" t="inlineStr">
        <is>
          <t>Grönpyrola
Mattlummer</t>
        </is>
      </c>
      <c r="V39">
        <f>HYPERLINK("https://klasma.github.io/Logging_0513/artfynd/A 27099-2023 artfynd.xlsx", "A 27099-2023")</f>
        <v/>
      </c>
      <c r="W39">
        <f>HYPERLINK("https://klasma.github.io/Logging_0513/kartor/A 27099-2023 karta.png", "A 27099-2023")</f>
        <v/>
      </c>
      <c r="X39">
        <f>HYPERLINK("https://klasma.github.io/Logging_0513/kartor_geotiff/A 27099-2023 georefererad karta.tif", "A 27099-2023")</f>
        <v/>
      </c>
      <c r="Z39">
        <f>HYPERLINK("https://klasma.github.io/Logging_0513/klagomål/A 27099-2023 FSC-klagomål.docx", "A 27099-2023")</f>
        <v/>
      </c>
      <c r="AA39">
        <f>HYPERLINK("https://klasma.github.io/Logging_0513/klagomålsmail/A 27099-2023 FSC-klagomål mail.docx", "A 27099-2023")</f>
        <v/>
      </c>
      <c r="AB39">
        <f>HYPERLINK("https://klasma.github.io/Logging_0513/tillsyn/A 27099-2023 tillsynsbegäran.docx", "A 27099-2023")</f>
        <v/>
      </c>
      <c r="AC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46223</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s="2" t="inlineStr">
        <is>
          <t>Aspelandsfibbla
Revlummer</t>
        </is>
      </c>
      <c r="V40">
        <f>HYPERLINK("https://klasma.github.io/Logging_0513/artfynd/A 29514-2024 artfynd.xlsx", "A 29514-2024")</f>
        <v/>
      </c>
      <c r="W40">
        <f>HYPERLINK("https://klasma.github.io/Logging_0513/kartor/A 29514-2024 karta.png", "A 29514-2024")</f>
        <v/>
      </c>
      <c r="X40">
        <f>HYPERLINK("https://klasma.github.io/Logging_0513/kartor_geotiff/A 29514-2024 georefererad karta.tif", "A 29514-2024")</f>
        <v/>
      </c>
      <c r="Z40">
        <f>HYPERLINK("https://klasma.github.io/Logging_0513/klagomål/A 29514-2024 FSC-klagomål.docx", "A 29514-2024")</f>
        <v/>
      </c>
      <c r="AA40">
        <f>HYPERLINK("https://klasma.github.io/Logging_0513/klagomålsmail/A 29514-2024 FSC-klagomål mail.docx", "A 29514-2024")</f>
        <v/>
      </c>
      <c r="AB40">
        <f>HYPERLINK("https://klasma.github.io/Logging_0513/tillsyn/A 29514-2024 tillsynsbegäran.docx", "A 29514-2024")</f>
        <v/>
      </c>
      <c r="AC40">
        <f>HYPERLINK("https://klasma.github.io/Logging_0513/tillsynsmail/A 29514-2024 tillsynsbegäran mail.docx", "A 29514-2024")</f>
        <v/>
      </c>
    </row>
    <row r="41" ht="15" customHeight="1">
      <c r="A41" t="inlineStr">
        <is>
          <t>A 3417-2025</t>
        </is>
      </c>
      <c r="B41" t="inlineStr">
        <is>
          <t>avverkningsanmälan</t>
        </is>
      </c>
      <c r="C41" t="inlineStr">
        <is>
          <t>Föryngringsavverkning</t>
        </is>
      </c>
      <c r="D41" s="1" t="n">
        <v>45680</v>
      </c>
      <c r="E41" s="1" t="n">
        <v>46223</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s="2" t="inlineStr">
        <is>
          <t>Fällmossa
Svart trolldruva</t>
        </is>
      </c>
      <c r="V41">
        <f>HYPERLINK("https://klasma.github.io/Logging_0513/artfynd/A 3417-2025 artfynd.xlsx", "A 3417-2025")</f>
        <v/>
      </c>
      <c r="W41">
        <f>HYPERLINK("https://klasma.github.io/Logging_0513/kartor/A 3417-2025 karta.png", "A 3417-2025")</f>
        <v/>
      </c>
      <c r="X41">
        <f>HYPERLINK("https://klasma.github.io/Logging_0513/kartor_geotiff/A 3417-2025 georefererad karta.tif", "A 3417-2025")</f>
        <v/>
      </c>
      <c r="Z41">
        <f>HYPERLINK("https://klasma.github.io/Logging_0513/klagomål/A 3417-2025 FSC-klagomål.docx", "A 3417-2025")</f>
        <v/>
      </c>
      <c r="AA41">
        <f>HYPERLINK("https://klasma.github.io/Logging_0513/klagomålsmail/A 3417-2025 FSC-klagomål mail.docx", "A 3417-2025")</f>
        <v/>
      </c>
      <c r="AB41">
        <f>HYPERLINK("https://klasma.github.io/Logging_0513/tillsyn/A 3417-2025 tillsynsbegäran.docx", "A 3417-2025")</f>
        <v/>
      </c>
      <c r="AC41">
        <f>HYPERLINK("https://klasma.github.io/Logging_0513/tillsynsmail/A 3417-2025 tillsynsbegäran mail.docx", "A 3417-2025")</f>
        <v/>
      </c>
    </row>
    <row r="42" ht="15" customHeight="1">
      <c r="A42" t="inlineStr">
        <is>
          <t>A 46154-2023</t>
        </is>
      </c>
      <c r="B42" t="inlineStr">
        <is>
          <t>avverkningsanmälan</t>
        </is>
      </c>
      <c r="C42" t="inlineStr">
        <is>
          <t>Föryngringsavverkning</t>
        </is>
      </c>
      <c r="D42" s="1" t="n">
        <v>45196</v>
      </c>
      <c r="E42" s="1" t="n">
        <v>46223</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s="2" t="inlineStr">
        <is>
          <t>Dvärgkällmossa
Grön sköldmossa</t>
        </is>
      </c>
      <c r="V42">
        <f>HYPERLINK("https://klasma.github.io/Logging_0513/artfynd/A 46154-2023 artfynd.xlsx", "A 46154-2023")</f>
        <v/>
      </c>
      <c r="W42">
        <f>HYPERLINK("https://klasma.github.io/Logging_0513/kartor/A 46154-2023 karta.png", "A 46154-2023")</f>
        <v/>
      </c>
      <c r="X42">
        <f>HYPERLINK("https://klasma.github.io/Logging_0513/kartor_geotiff/A 46154-2023 georefererad karta.tif", "A 46154-2023")</f>
        <v/>
      </c>
      <c r="Z42">
        <f>HYPERLINK("https://klasma.github.io/Logging_0513/klagomål/A 46154-2023 FSC-klagomål.docx", "A 46154-2023")</f>
        <v/>
      </c>
      <c r="AA42">
        <f>HYPERLINK("https://klasma.github.io/Logging_0513/klagomålsmail/A 46154-2023 FSC-klagomål mail.docx", "A 46154-2023")</f>
        <v/>
      </c>
      <c r="AB42">
        <f>HYPERLINK("https://klasma.github.io/Logging_0513/tillsyn/A 46154-2023 tillsynsbegäran.docx", "A 46154-2023")</f>
        <v/>
      </c>
      <c r="AC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46223</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s="2" t="inlineStr">
        <is>
          <t>Månlåsbräken
Spindelört</t>
        </is>
      </c>
      <c r="V43">
        <f>HYPERLINK("https://klasma.github.io/Logging_0513/artfynd/A 29509-2024 artfynd.xlsx", "A 29509-2024")</f>
        <v/>
      </c>
      <c r="W43">
        <f>HYPERLINK("https://klasma.github.io/Logging_0513/kartor/A 29509-2024 karta.png", "A 29509-2024")</f>
        <v/>
      </c>
      <c r="X43">
        <f>HYPERLINK("https://klasma.github.io/Logging_0513/kartor_geotiff/A 29509-2024 georefererad karta.tif", "A 29509-2024")</f>
        <v/>
      </c>
      <c r="Z43">
        <f>HYPERLINK("https://klasma.github.io/Logging_0513/klagomål/A 29509-2024 FSC-klagomål.docx", "A 29509-2024")</f>
        <v/>
      </c>
      <c r="AA43">
        <f>HYPERLINK("https://klasma.github.io/Logging_0513/klagomålsmail/A 29509-2024 FSC-klagomål mail.docx", "A 29509-2024")</f>
        <v/>
      </c>
      <c r="AB43">
        <f>HYPERLINK("https://klasma.github.io/Logging_0513/tillsyn/A 29509-2024 tillsynsbegäran.docx", "A 29509-2024")</f>
        <v/>
      </c>
      <c r="AC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46223</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X44">
        <f>HYPERLINK("https://klasma.github.io/Logging_0513/kartor_geotiff/S 64-2026 georefererad karta.tif", "S 64-2026")</f>
        <v/>
      </c>
      <c r="Z44">
        <f>HYPERLINK("https://klasma.github.io/Logging_0513/klagomål/S 64-2026 FSC-klagomål.docx", "S 64-2026")</f>
        <v/>
      </c>
      <c r="AA44">
        <f>HYPERLINK("https://klasma.github.io/Logging_0513/klagomålsmail/S 64-2026 FSC-klagomål mail.docx", "S 64-2026")</f>
        <v/>
      </c>
      <c r="AB44">
        <f>HYPERLINK("https://klasma.github.io/Logging_0513/tillsyn/S 64-2026 tillsynsbegäran.docx", "S 64-2026")</f>
        <v/>
      </c>
      <c r="AC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46223</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X45">
        <f>HYPERLINK("https://klasma.github.io/Logging_0513/kartor_geotiff/A 29627-2022 georefererad karta.tif", "A 29627-2022")</f>
        <v/>
      </c>
      <c r="Z45">
        <f>HYPERLINK("https://klasma.github.io/Logging_0513/klagomål/A 29627-2022 FSC-klagomål.docx", "A 29627-2022")</f>
        <v/>
      </c>
      <c r="AA45">
        <f>HYPERLINK("https://klasma.github.io/Logging_0513/klagomålsmail/A 29627-2022 FSC-klagomål mail.docx", "A 29627-2022")</f>
        <v/>
      </c>
      <c r="AB45">
        <f>HYPERLINK("https://klasma.github.io/Logging_0513/tillsyn/A 29627-2022 tillsynsbegäran.docx", "A 29627-2022")</f>
        <v/>
      </c>
      <c r="AC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46223</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X46">
        <f>HYPERLINK("https://klasma.github.io/Logging_0513/kartor_geotiff/A 61156-2021 georefererad karta.tif", "A 61156-2021")</f>
        <v/>
      </c>
      <c r="Z46">
        <f>HYPERLINK("https://klasma.github.io/Logging_0513/klagomål/A 61156-2021 FSC-klagomål.docx", "A 61156-2021")</f>
        <v/>
      </c>
      <c r="AA46">
        <f>HYPERLINK("https://klasma.github.io/Logging_0513/klagomålsmail/A 61156-2021 FSC-klagomål mail.docx", "A 61156-2021")</f>
        <v/>
      </c>
      <c r="AB46">
        <f>HYPERLINK("https://klasma.github.io/Logging_0513/tillsyn/A 61156-2021 tillsynsbegäran.docx", "A 61156-2021")</f>
        <v/>
      </c>
      <c r="AC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46223</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X47">
        <f>HYPERLINK("https://klasma.github.io/Logging_0513/kartor_geotiff/A 43628-2021 georefererad karta.tif", "A 43628-2021")</f>
        <v/>
      </c>
      <c r="Z47">
        <f>HYPERLINK("https://klasma.github.io/Logging_0513/klagomål/A 43628-2021 FSC-klagomål.docx", "A 43628-2021")</f>
        <v/>
      </c>
      <c r="AA47">
        <f>HYPERLINK("https://klasma.github.io/Logging_0513/klagomålsmail/A 43628-2021 FSC-klagomål mail.docx", "A 43628-2021")</f>
        <v/>
      </c>
      <c r="AB47">
        <f>HYPERLINK("https://klasma.github.io/Logging_0513/tillsyn/A 43628-2021 tillsynsbegäran.docx", "A 43628-2021")</f>
        <v/>
      </c>
      <c r="AC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46223</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X48">
        <f>HYPERLINK("https://klasma.github.io/Logging_0513/kartor_geotiff/A 52662-2021 georefererad karta.tif", "A 52662-2021")</f>
        <v/>
      </c>
      <c r="Z48">
        <f>HYPERLINK("https://klasma.github.io/Logging_0513/klagomål/A 52662-2021 FSC-klagomål.docx", "A 52662-2021")</f>
        <v/>
      </c>
      <c r="AA48">
        <f>HYPERLINK("https://klasma.github.io/Logging_0513/klagomålsmail/A 52662-2021 FSC-klagomål mail.docx", "A 52662-2021")</f>
        <v/>
      </c>
      <c r="AB48">
        <f>HYPERLINK("https://klasma.github.io/Logging_0513/tillsyn/A 52662-2021 tillsynsbegäran.docx", "A 52662-2021")</f>
        <v/>
      </c>
      <c r="AC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46223</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X49">
        <f>HYPERLINK("https://klasma.github.io/Logging_0513/kartor_geotiff/A 40100-2021 georefererad karta.tif", "A 40100-2021")</f>
        <v/>
      </c>
      <c r="Z49">
        <f>HYPERLINK("https://klasma.github.io/Logging_0513/klagomål/A 40100-2021 FSC-klagomål.docx", "A 40100-2021")</f>
        <v/>
      </c>
      <c r="AA49">
        <f>HYPERLINK("https://klasma.github.io/Logging_0513/klagomålsmail/A 40100-2021 FSC-klagomål mail.docx", "A 40100-2021")</f>
        <v/>
      </c>
      <c r="AB49">
        <f>HYPERLINK("https://klasma.github.io/Logging_0513/tillsyn/A 40100-2021 tillsynsbegäran.docx", "A 40100-2021")</f>
        <v/>
      </c>
      <c r="AC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46223</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X50">
        <f>HYPERLINK("https://klasma.github.io/Logging_0513/kartor_geotiff/A 49440-2021 georefererad karta.tif", "A 49440-2021")</f>
        <v/>
      </c>
      <c r="Z50">
        <f>HYPERLINK("https://klasma.github.io/Logging_0513/klagomål/A 49440-2021 FSC-klagomål.docx", "A 49440-2021")</f>
        <v/>
      </c>
      <c r="AA50">
        <f>HYPERLINK("https://klasma.github.io/Logging_0513/klagomålsmail/A 49440-2021 FSC-klagomål mail.docx", "A 49440-2021")</f>
        <v/>
      </c>
      <c r="AB50">
        <f>HYPERLINK("https://klasma.github.io/Logging_0513/tillsyn/A 49440-2021 tillsynsbegäran.docx", "A 49440-2021")</f>
        <v/>
      </c>
      <c r="AC50">
        <f>HYPERLINK("https://klasma.github.io/Logging_0513/tillsynsmail/A 49440-2021 tillsynsbegäran mail.docx", "A 49440-2021")</f>
        <v/>
      </c>
    </row>
    <row r="51" ht="15" customHeight="1">
      <c r="A51" t="inlineStr">
        <is>
          <t>A 38019-2024</t>
        </is>
      </c>
      <c r="B51" t="inlineStr">
        <is>
          <t>avverkningsanmälan</t>
        </is>
      </c>
      <c r="C51" t="inlineStr">
        <is>
          <t>Föryngringsavverkning</t>
        </is>
      </c>
      <c r="D51" s="1" t="n">
        <v>45544</v>
      </c>
      <c r="E51" s="1" t="n">
        <v>46223</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s="2" t="inlineStr">
        <is>
          <t>Knärot</t>
        </is>
      </c>
      <c r="V51">
        <f>HYPERLINK("https://klasma.github.io/Logging_0513/artfynd/A 38019-2024 artfynd.xlsx", "A 38019-2024")</f>
        <v/>
      </c>
      <c r="W51">
        <f>HYPERLINK("https://klasma.github.io/Logging_0513/kartor/A 38019-2024 karta.png", "A 38019-2024")</f>
        <v/>
      </c>
      <c r="X51">
        <f>HYPERLINK("https://klasma.github.io/Logging_0513/kartor_geotiff/A 38019-2024 georefererad karta.tif", "A 38019-2024")</f>
        <v/>
      </c>
      <c r="Y51">
        <f>HYPERLINK("https://klasma.github.io/Logging_0513/knärot/A 38019-2024 karta knärot.png", "A 38019-2024")</f>
        <v/>
      </c>
      <c r="Z51">
        <f>HYPERLINK("https://klasma.github.io/Logging_0513/klagomål/A 38019-2024 FSC-klagomål.docx", "A 38019-2024")</f>
        <v/>
      </c>
      <c r="AA51">
        <f>HYPERLINK("https://klasma.github.io/Logging_0513/klagomålsmail/A 38019-2024 FSC-klagomål mail.docx", "A 38019-2024")</f>
        <v/>
      </c>
      <c r="AB51">
        <f>HYPERLINK("https://klasma.github.io/Logging_0513/tillsyn/A 38019-2024 tillsynsbegäran.docx", "A 38019-2024")</f>
        <v/>
      </c>
      <c r="AC51">
        <f>HYPERLINK("https://klasma.github.io/Logging_0513/tillsynsmail/A 38019-2024 tillsynsbegäran mail.docx", "A 38019-2024")</f>
        <v/>
      </c>
    </row>
    <row r="52" ht="15" customHeight="1">
      <c r="A52" t="inlineStr">
        <is>
          <t>A 54872-2022</t>
        </is>
      </c>
      <c r="B52" t="inlineStr">
        <is>
          <t>avverkningsanmälan</t>
        </is>
      </c>
      <c r="C52" t="inlineStr">
        <is>
          <t>Föryngringsavverkning</t>
        </is>
      </c>
      <c r="D52" s="1" t="n">
        <v>44886</v>
      </c>
      <c r="E52" s="1" t="n">
        <v>46223</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s="2" t="inlineStr">
        <is>
          <t>Tjäder</t>
        </is>
      </c>
      <c r="V52">
        <f>HYPERLINK("https://klasma.github.io/Logging_0513/artfynd/A 54872-2022 artfynd.xlsx", "A 54872-2022")</f>
        <v/>
      </c>
      <c r="W52">
        <f>HYPERLINK("https://klasma.github.io/Logging_0513/kartor/A 54872-2022 karta.png", "A 54872-2022")</f>
        <v/>
      </c>
      <c r="X52">
        <f>HYPERLINK("https://klasma.github.io/Logging_0513/kartor_geotiff/A 54872-2022 georefererad karta.tif", "A 54872-2022")</f>
        <v/>
      </c>
      <c r="Z52">
        <f>HYPERLINK("https://klasma.github.io/Logging_0513/klagomål/A 54872-2022 FSC-klagomål.docx", "A 54872-2022")</f>
        <v/>
      </c>
      <c r="AA52">
        <f>HYPERLINK("https://klasma.github.io/Logging_0513/klagomålsmail/A 54872-2022 FSC-klagomål mail.docx", "A 54872-2022")</f>
        <v/>
      </c>
      <c r="AB52">
        <f>HYPERLINK("https://klasma.github.io/Logging_0513/tillsyn/A 54872-2022 tillsynsbegäran.docx", "A 54872-2022")</f>
        <v/>
      </c>
      <c r="AC52">
        <f>HYPERLINK("https://klasma.github.io/Logging_0513/tillsynsmail/A 54872-2022 tillsynsbegäran mail.docx", "A 54872-2022")</f>
        <v/>
      </c>
      <c r="AD52">
        <f>HYPERLINK("https://klasma.github.io/Logging_0513/fåglar/A 54872-2022 prioriterade fågelarter.docx", "A 54872-2022")</f>
        <v/>
      </c>
    </row>
    <row r="53" ht="15" customHeight="1">
      <c r="A53" t="inlineStr">
        <is>
          <t>A 61949-2022</t>
        </is>
      </c>
      <c r="B53" t="inlineStr">
        <is>
          <t>avverkningsanmälan</t>
        </is>
      </c>
      <c r="C53" t="inlineStr">
        <is>
          <t>Föryngringsavverkning</t>
        </is>
      </c>
      <c r="D53" s="1" t="n">
        <v>44918</v>
      </c>
      <c r="E53" s="1" t="n">
        <v>46223</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s="2" t="inlineStr">
        <is>
          <t>Orre</t>
        </is>
      </c>
      <c r="V53">
        <f>HYPERLINK("https://klasma.github.io/Logging_0513/artfynd/A 61949-2022 artfynd.xlsx", "A 61949-2022")</f>
        <v/>
      </c>
      <c r="W53">
        <f>HYPERLINK("https://klasma.github.io/Logging_0513/kartor/A 61949-2022 karta.png", "A 61949-2022")</f>
        <v/>
      </c>
      <c r="X53">
        <f>HYPERLINK("https://klasma.github.io/Logging_0513/kartor_geotiff/A 61949-2022 georefererad karta.tif", "A 61949-2022")</f>
        <v/>
      </c>
      <c r="Z53">
        <f>HYPERLINK("https://klasma.github.io/Logging_0513/klagomål/A 61949-2022 FSC-klagomål.docx", "A 61949-2022")</f>
        <v/>
      </c>
      <c r="AA53">
        <f>HYPERLINK("https://klasma.github.io/Logging_0513/klagomålsmail/A 61949-2022 FSC-klagomål mail.docx", "A 61949-2022")</f>
        <v/>
      </c>
      <c r="AB53">
        <f>HYPERLINK("https://klasma.github.io/Logging_0513/tillsyn/A 61949-2022 tillsynsbegäran.docx", "A 61949-2022")</f>
        <v/>
      </c>
      <c r="AC53">
        <f>HYPERLINK("https://klasma.github.io/Logging_0513/tillsynsmail/A 61949-2022 tillsynsbegäran mail.docx", "A 61949-2022")</f>
        <v/>
      </c>
      <c r="AD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46223</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s="2" t="inlineStr">
        <is>
          <t>Puckelmaskros</t>
        </is>
      </c>
      <c r="V54">
        <f>HYPERLINK("https://klasma.github.io/Logging_0513/artfynd/A 60958-2022 artfynd.xlsx", "A 60958-2022")</f>
        <v/>
      </c>
      <c r="W54">
        <f>HYPERLINK("https://klasma.github.io/Logging_0513/kartor/A 60958-2022 karta.png", "A 60958-2022")</f>
        <v/>
      </c>
      <c r="X54">
        <f>HYPERLINK("https://klasma.github.io/Logging_0513/kartor_geotiff/A 60958-2022 georefererad karta.tif", "A 60958-2022")</f>
        <v/>
      </c>
      <c r="Z54">
        <f>HYPERLINK("https://klasma.github.io/Logging_0513/klagomål/A 60958-2022 FSC-klagomål.docx", "A 60958-2022")</f>
        <v/>
      </c>
      <c r="AA54">
        <f>HYPERLINK("https://klasma.github.io/Logging_0513/klagomålsmail/A 60958-2022 FSC-klagomål mail.docx", "A 60958-2022")</f>
        <v/>
      </c>
      <c r="AB54">
        <f>HYPERLINK("https://klasma.github.io/Logging_0513/tillsyn/A 60958-2022 tillsynsbegäran.docx", "A 60958-2022")</f>
        <v/>
      </c>
      <c r="AC54">
        <f>HYPERLINK("https://klasma.github.io/Logging_0513/tillsynsmail/A 60958-2022 tillsynsbegäran mail.docx", "A 60958-2022")</f>
        <v/>
      </c>
    </row>
    <row r="55" ht="15" customHeight="1">
      <c r="A55" t="inlineStr">
        <is>
          <t>A 3752-2026</t>
        </is>
      </c>
      <c r="B55" t="inlineStr">
        <is>
          <t>avverkningsanmälan</t>
        </is>
      </c>
      <c r="C55" t="inlineStr">
        <is>
          <t>Föryngringsavverkning</t>
        </is>
      </c>
      <c r="D55" s="1" t="n">
        <v>46043</v>
      </c>
      <c r="E55" s="1" t="n">
        <v>46223</v>
      </c>
      <c r="F55" t="inlineStr">
        <is>
          <t>ÖSTERGÖTLANDS LÄN</t>
        </is>
      </c>
      <c r="G55" t="inlineStr">
        <is>
          <t>KINDA</t>
        </is>
      </c>
      <c r="I55" t="n">
        <v>1.1</v>
      </c>
      <c r="J55" t="n">
        <v>0</v>
      </c>
      <c r="K55" t="n">
        <v>1</v>
      </c>
      <c r="L55" t="n">
        <v>0</v>
      </c>
      <c r="M55" t="n">
        <v>0</v>
      </c>
      <c r="N55" t="n">
        <v>0</v>
      </c>
      <c r="O55" t="n">
        <v>0</v>
      </c>
      <c r="P55" t="n">
        <v>0</v>
      </c>
      <c r="Q55" t="n">
        <v>0</v>
      </c>
      <c r="R55" t="n">
        <v>0</v>
      </c>
      <c r="S55" t="n">
        <v>1</v>
      </c>
      <c r="T55" t="n">
        <v>1</v>
      </c>
      <c r="U55" s="2" t="inlineStr">
        <is>
          <t>Stubbspretmossa</t>
        </is>
      </c>
      <c r="V55">
        <f>HYPERLINK("https://klasma.github.io/Logging_0513/artfynd/A 3752-2026 artfynd.xlsx", "A 3752-2026")</f>
        <v/>
      </c>
      <c r="W55">
        <f>HYPERLINK("https://klasma.github.io/Logging_0513/kartor/A 3752-2026 karta.png", "A 3752-2026")</f>
        <v/>
      </c>
      <c r="X55">
        <f>HYPERLINK("https://klasma.github.io/Logging_0513/kartor_geotiff/A 3752-2026 georefererad karta.tif", "A 3752-2026")</f>
        <v/>
      </c>
      <c r="Z55">
        <f>HYPERLINK("https://klasma.github.io/Logging_0513/klagomål/A 3752-2026 FSC-klagomål.docx", "A 3752-2026")</f>
        <v/>
      </c>
      <c r="AA55">
        <f>HYPERLINK("https://klasma.github.io/Logging_0513/klagomålsmail/A 3752-2026 FSC-klagomål mail.docx", "A 3752-2026")</f>
        <v/>
      </c>
      <c r="AB55">
        <f>HYPERLINK("https://klasma.github.io/Logging_0513/tillsyn/A 3752-2026 tillsynsbegäran.docx", "A 3752-2026")</f>
        <v/>
      </c>
      <c r="AC55">
        <f>HYPERLINK("https://klasma.github.io/Logging_0513/tillsynsmail/A 3752-2026 tillsynsbegäran mail.docx", "A 3752-2026")</f>
        <v/>
      </c>
    </row>
    <row r="56" ht="15" customHeight="1">
      <c r="A56" t="inlineStr">
        <is>
          <t>A 31147-2025</t>
        </is>
      </c>
      <c r="B56" t="inlineStr">
        <is>
          <t>avverkningsanmälan</t>
        </is>
      </c>
      <c r="C56" t="inlineStr">
        <is>
          <t>Föryngringsavverkning</t>
        </is>
      </c>
      <c r="D56" s="1" t="n">
        <v>45832</v>
      </c>
      <c r="E56" s="1" t="n">
        <v>46223</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s="2" t="inlineStr">
        <is>
          <t>Fjällig taggsvamp s.str.</t>
        </is>
      </c>
      <c r="V56">
        <f>HYPERLINK("https://klasma.github.io/Logging_0513/artfynd/A 31147-2025 artfynd.xlsx", "A 31147-2025")</f>
        <v/>
      </c>
      <c r="W56">
        <f>HYPERLINK("https://klasma.github.io/Logging_0513/kartor/A 31147-2025 karta.png", "A 31147-2025")</f>
        <v/>
      </c>
      <c r="X56">
        <f>HYPERLINK("https://klasma.github.io/Logging_0513/kartor_geotiff/A 31147-2025 georefererad karta.tif", "A 31147-2025")</f>
        <v/>
      </c>
      <c r="Z56">
        <f>HYPERLINK("https://klasma.github.io/Logging_0513/klagomål/A 31147-2025 FSC-klagomål.docx", "A 31147-2025")</f>
        <v/>
      </c>
      <c r="AA56">
        <f>HYPERLINK("https://klasma.github.io/Logging_0513/klagomålsmail/A 31147-2025 FSC-klagomål mail.docx", "A 31147-2025")</f>
        <v/>
      </c>
      <c r="AB56">
        <f>HYPERLINK("https://klasma.github.io/Logging_0513/tillsyn/A 31147-2025 tillsynsbegäran.docx", "A 31147-2025")</f>
        <v/>
      </c>
      <c r="AC56">
        <f>HYPERLINK("https://klasma.github.io/Logging_0513/tillsynsmail/A 31147-2025 tillsynsbegäran mail.docx", "A 31147-2025")</f>
        <v/>
      </c>
    </row>
    <row r="57" ht="15" customHeight="1">
      <c r="A57" t="inlineStr">
        <is>
          <t>A 24071-2025</t>
        </is>
      </c>
      <c r="B57" t="inlineStr">
        <is>
          <t>avverkningsanmälan</t>
        </is>
      </c>
      <c r="C57" t="inlineStr">
        <is>
          <t>Föryngringsavverkning</t>
        </is>
      </c>
      <c r="D57" s="1" t="n">
        <v>45796</v>
      </c>
      <c r="E57" s="1" t="n">
        <v>46223</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s="2" t="inlineStr">
        <is>
          <t>Mörk ängsmaskros</t>
        </is>
      </c>
      <c r="V57">
        <f>HYPERLINK("https://klasma.github.io/Logging_0513/artfynd/A 24071-2025 artfynd.xlsx", "A 24071-2025")</f>
        <v/>
      </c>
      <c r="W57">
        <f>HYPERLINK("https://klasma.github.io/Logging_0513/kartor/A 24071-2025 karta.png", "A 24071-2025")</f>
        <v/>
      </c>
      <c r="X57">
        <f>HYPERLINK("https://klasma.github.io/Logging_0513/kartor_geotiff/A 24071-2025 georefererad karta.tif", "A 24071-2025")</f>
        <v/>
      </c>
      <c r="Z57">
        <f>HYPERLINK("https://klasma.github.io/Logging_0513/klagomål/A 24071-2025 FSC-klagomål.docx", "A 24071-2025")</f>
        <v/>
      </c>
      <c r="AA57">
        <f>HYPERLINK("https://klasma.github.io/Logging_0513/klagomålsmail/A 24071-2025 FSC-klagomål mail.docx", "A 24071-2025")</f>
        <v/>
      </c>
      <c r="AB57">
        <f>HYPERLINK("https://klasma.github.io/Logging_0513/tillsyn/A 24071-2025 tillsynsbegäran.docx", "A 24071-2025")</f>
        <v/>
      </c>
      <c r="AC57">
        <f>HYPERLINK("https://klasma.github.io/Logging_0513/tillsynsmail/A 24071-2025 tillsynsbegäran mail.docx", "A 24071-2025")</f>
        <v/>
      </c>
    </row>
    <row r="58" ht="15" customHeight="1">
      <c r="A58" t="inlineStr">
        <is>
          <t>A 56140-2024</t>
        </is>
      </c>
      <c r="B58" t="inlineStr">
        <is>
          <t>avverkningsanmälan</t>
        </is>
      </c>
      <c r="C58" t="inlineStr">
        <is>
          <t>Föryngringsavverkning</t>
        </is>
      </c>
      <c r="D58" s="1" t="n">
        <v>45624</v>
      </c>
      <c r="E58" s="1" t="n">
        <v>46223</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s="2" t="inlineStr">
        <is>
          <t>Orange taggsvamp</t>
        </is>
      </c>
      <c r="V58">
        <f>HYPERLINK("https://klasma.github.io/Logging_0513/artfynd/A 56140-2024 artfynd.xlsx", "A 56140-2024")</f>
        <v/>
      </c>
      <c r="W58">
        <f>HYPERLINK("https://klasma.github.io/Logging_0513/kartor/A 56140-2024 karta.png", "A 56140-2024")</f>
        <v/>
      </c>
      <c r="X58">
        <f>HYPERLINK("https://klasma.github.io/Logging_0513/kartor_geotiff/A 56140-2024 georefererad karta.tif", "A 56140-2024")</f>
        <v/>
      </c>
      <c r="Z58">
        <f>HYPERLINK("https://klasma.github.io/Logging_0513/klagomål/A 56140-2024 FSC-klagomål.docx", "A 56140-2024")</f>
        <v/>
      </c>
      <c r="AA58">
        <f>HYPERLINK("https://klasma.github.io/Logging_0513/klagomålsmail/A 56140-2024 FSC-klagomål mail.docx", "A 56140-2024")</f>
        <v/>
      </c>
      <c r="AB58">
        <f>HYPERLINK("https://klasma.github.io/Logging_0513/tillsyn/A 56140-2024 tillsynsbegäran.docx", "A 56140-2024")</f>
        <v/>
      </c>
      <c r="AC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46223</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s="2" t="inlineStr">
        <is>
          <t>Sårläka</t>
        </is>
      </c>
      <c r="V59">
        <f>HYPERLINK("https://klasma.github.io/Logging_0513/artfynd/A 16607-2023 artfynd.xlsx", "A 16607-2023")</f>
        <v/>
      </c>
      <c r="W59">
        <f>HYPERLINK("https://klasma.github.io/Logging_0513/kartor/A 16607-2023 karta.png", "A 16607-2023")</f>
        <v/>
      </c>
      <c r="X59">
        <f>HYPERLINK("https://klasma.github.io/Logging_0513/kartor_geotiff/A 16607-2023 georefererad karta.tif", "A 16607-2023")</f>
        <v/>
      </c>
      <c r="Z59">
        <f>HYPERLINK("https://klasma.github.io/Logging_0513/klagomål/A 16607-2023 FSC-klagomål.docx", "A 16607-2023")</f>
        <v/>
      </c>
      <c r="AA59">
        <f>HYPERLINK("https://klasma.github.io/Logging_0513/klagomålsmail/A 16607-2023 FSC-klagomål mail.docx", "A 16607-2023")</f>
        <v/>
      </c>
      <c r="AB59">
        <f>HYPERLINK("https://klasma.github.io/Logging_0513/tillsyn/A 16607-2023 tillsynsbegäran.docx", "A 16607-2023")</f>
        <v/>
      </c>
      <c r="AC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46223</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s="2" t="inlineStr">
        <is>
          <t>Myskmadra</t>
        </is>
      </c>
      <c r="V60">
        <f>HYPERLINK("https://klasma.github.io/Logging_0513/artfynd/A 16609-2023 artfynd.xlsx", "A 16609-2023")</f>
        <v/>
      </c>
      <c r="W60">
        <f>HYPERLINK("https://klasma.github.io/Logging_0513/kartor/A 16609-2023 karta.png", "A 16609-2023")</f>
        <v/>
      </c>
      <c r="X60">
        <f>HYPERLINK("https://klasma.github.io/Logging_0513/kartor_geotiff/A 16609-2023 georefererad karta.tif", "A 16609-2023")</f>
        <v/>
      </c>
      <c r="Z60">
        <f>HYPERLINK("https://klasma.github.io/Logging_0513/klagomål/A 16609-2023 FSC-klagomål.docx", "A 16609-2023")</f>
        <v/>
      </c>
      <c r="AA60">
        <f>HYPERLINK("https://klasma.github.io/Logging_0513/klagomålsmail/A 16609-2023 FSC-klagomål mail.docx", "A 16609-2023")</f>
        <v/>
      </c>
      <c r="AB60">
        <f>HYPERLINK("https://klasma.github.io/Logging_0513/tillsyn/A 16609-2023 tillsynsbegäran.docx", "A 16609-2023")</f>
        <v/>
      </c>
      <c r="AC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46223</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s="2" t="inlineStr">
        <is>
          <t>Blåsippa</t>
        </is>
      </c>
      <c r="V61">
        <f>HYPERLINK("https://klasma.github.io/Logging_0513/artfynd/A 10020-2025 artfynd.xlsx", "A 10020-2025")</f>
        <v/>
      </c>
      <c r="W61">
        <f>HYPERLINK("https://klasma.github.io/Logging_0513/kartor/A 10020-2025 karta.png", "A 10020-2025")</f>
        <v/>
      </c>
      <c r="X61">
        <f>HYPERLINK("https://klasma.github.io/Logging_0513/kartor_geotiff/A 10020-2025 georefererad karta.tif", "A 10020-2025")</f>
        <v/>
      </c>
      <c r="Z61">
        <f>HYPERLINK("https://klasma.github.io/Logging_0513/klagomål/A 10020-2025 FSC-klagomål.docx", "A 10020-2025")</f>
        <v/>
      </c>
      <c r="AA61">
        <f>HYPERLINK("https://klasma.github.io/Logging_0513/klagomålsmail/A 10020-2025 FSC-klagomål mail.docx", "A 10020-2025")</f>
        <v/>
      </c>
      <c r="AB61">
        <f>HYPERLINK("https://klasma.github.io/Logging_0513/tillsyn/A 10020-2025 tillsynsbegäran.docx", "A 10020-2025")</f>
        <v/>
      </c>
      <c r="AC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46223</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s="2" t="inlineStr">
        <is>
          <t>Ekoxe</t>
        </is>
      </c>
      <c r="V62">
        <f>HYPERLINK("https://klasma.github.io/Logging_0513/artfynd/A 56710-2025 artfynd.xlsx", "A 56710-2025")</f>
        <v/>
      </c>
      <c r="W62">
        <f>HYPERLINK("https://klasma.github.io/Logging_0513/kartor/A 56710-2025 karta.png", "A 56710-2025")</f>
        <v/>
      </c>
      <c r="X62">
        <f>HYPERLINK("https://klasma.github.io/Logging_0513/kartor_geotiff/A 56710-2025 georefererad karta.tif", "A 56710-2025")</f>
        <v/>
      </c>
      <c r="Z62">
        <f>HYPERLINK("https://klasma.github.io/Logging_0513/klagomål/A 56710-2025 FSC-klagomål.docx", "A 56710-2025")</f>
        <v/>
      </c>
      <c r="AA62">
        <f>HYPERLINK("https://klasma.github.io/Logging_0513/klagomålsmail/A 56710-2025 FSC-klagomål mail.docx", "A 56710-2025")</f>
        <v/>
      </c>
      <c r="AB62">
        <f>HYPERLINK("https://klasma.github.io/Logging_0513/tillsyn/A 56710-2025 tillsynsbegäran.docx", "A 56710-2025")</f>
        <v/>
      </c>
      <c r="AC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46223</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s="2" t="inlineStr">
        <is>
          <t>Ask</t>
        </is>
      </c>
      <c r="V63">
        <f>HYPERLINK("https://klasma.github.io/Logging_0513/artfynd/A 58113-2025 artfynd.xlsx", "A 58113-2025")</f>
        <v/>
      </c>
      <c r="W63">
        <f>HYPERLINK("https://klasma.github.io/Logging_0513/kartor/A 58113-2025 karta.png", "A 58113-2025")</f>
        <v/>
      </c>
      <c r="X63">
        <f>HYPERLINK("https://klasma.github.io/Logging_0513/kartor_geotiff/A 58113-2025 georefererad karta.tif", "A 58113-2025")</f>
        <v/>
      </c>
      <c r="Z63">
        <f>HYPERLINK("https://klasma.github.io/Logging_0513/klagomål/A 58113-2025 FSC-klagomål.docx", "A 58113-2025")</f>
        <v/>
      </c>
      <c r="AA63">
        <f>HYPERLINK("https://klasma.github.io/Logging_0513/klagomålsmail/A 58113-2025 FSC-klagomål mail.docx", "A 58113-2025")</f>
        <v/>
      </c>
      <c r="AB63">
        <f>HYPERLINK("https://klasma.github.io/Logging_0513/tillsyn/A 58113-2025 tillsynsbegäran.docx", "A 58113-2025")</f>
        <v/>
      </c>
      <c r="AC63">
        <f>HYPERLINK("https://klasma.github.io/Logging_0513/tillsynsmail/A 58113-2025 tillsynsbegäran mail.docx", "A 58113-2025")</f>
        <v/>
      </c>
    </row>
    <row r="64" ht="15" customHeight="1">
      <c r="A64" t="inlineStr">
        <is>
          <t>A 61779-2025</t>
        </is>
      </c>
      <c r="B64" t="inlineStr">
        <is>
          <t>avverkningsanmälan</t>
        </is>
      </c>
      <c r="C64" t="inlineStr">
        <is>
          <t>Föryngringsavverkning</t>
        </is>
      </c>
      <c r="D64" s="1" t="n">
        <v>46002</v>
      </c>
      <c r="E64" s="1" t="n">
        <v>46223</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s="2" t="inlineStr">
        <is>
          <t>Spretfibbla</t>
        </is>
      </c>
      <c r="V64">
        <f>HYPERLINK("https://klasma.github.io/Logging_0513/artfynd/A 61779-2025 artfynd.xlsx", "A 61779-2025")</f>
        <v/>
      </c>
      <c r="W64">
        <f>HYPERLINK("https://klasma.github.io/Logging_0513/kartor/A 61779-2025 karta.png", "A 61779-2025")</f>
        <v/>
      </c>
      <c r="X64">
        <f>HYPERLINK("https://klasma.github.io/Logging_0513/kartor_geotiff/A 61779-2025 georefererad karta.tif", "A 61779-2025")</f>
        <v/>
      </c>
      <c r="Z64">
        <f>HYPERLINK("https://klasma.github.io/Logging_0513/klagomål/A 61779-2025 FSC-klagomål.docx", "A 61779-2025")</f>
        <v/>
      </c>
      <c r="AA64">
        <f>HYPERLINK("https://klasma.github.io/Logging_0513/klagomålsmail/A 61779-2025 FSC-klagomål mail.docx", "A 61779-2025")</f>
        <v/>
      </c>
      <c r="AB64">
        <f>HYPERLINK("https://klasma.github.io/Logging_0513/tillsyn/A 61779-2025 tillsynsbegäran.docx", "A 61779-2025")</f>
        <v/>
      </c>
      <c r="AC64">
        <f>HYPERLINK("https://klasma.github.io/Logging_0513/tillsynsmail/A 61779-2025 tillsynsbegäran mail.docx", "A 61779-2025")</f>
        <v/>
      </c>
    </row>
    <row r="65" ht="15" customHeight="1">
      <c r="A65" t="inlineStr">
        <is>
          <t>A 61704-2025</t>
        </is>
      </c>
      <c r="B65" t="inlineStr">
        <is>
          <t>avverkningsanmälan</t>
        </is>
      </c>
      <c r="C65" t="inlineStr">
        <is>
          <t>Föryngringsavverkning</t>
        </is>
      </c>
      <c r="D65" s="1" t="n">
        <v>46002</v>
      </c>
      <c r="E65" s="1" t="n">
        <v>46223</v>
      </c>
      <c r="F65" t="inlineStr">
        <is>
          <t>ÖSTERGÖTLANDS LÄN</t>
        </is>
      </c>
      <c r="G65" t="inlineStr">
        <is>
          <t>KINDA</t>
        </is>
      </c>
      <c r="I65" t="n">
        <v>2.3</v>
      </c>
      <c r="J65" t="n">
        <v>0</v>
      </c>
      <c r="K65" t="n">
        <v>0</v>
      </c>
      <c r="L65" t="n">
        <v>1</v>
      </c>
      <c r="M65" t="n">
        <v>0</v>
      </c>
      <c r="N65" t="n">
        <v>0</v>
      </c>
      <c r="O65" t="n">
        <v>0</v>
      </c>
      <c r="P65" t="n">
        <v>0</v>
      </c>
      <c r="Q65" t="n">
        <v>1</v>
      </c>
      <c r="R65" t="n">
        <v>0</v>
      </c>
      <c r="S65" t="n">
        <v>1</v>
      </c>
      <c r="T65" t="n">
        <v>1</v>
      </c>
      <c r="U65" s="2" t="inlineStr">
        <is>
          <t>Sårläka</t>
        </is>
      </c>
      <c r="V65">
        <f>HYPERLINK("https://klasma.github.io/Logging_0513/artfynd/A 61704-2025 artfynd.xlsx", "A 61704-2025")</f>
        <v/>
      </c>
      <c r="W65">
        <f>HYPERLINK("https://klasma.github.io/Logging_0513/kartor/A 61704-2025 karta.png", "A 61704-2025")</f>
        <v/>
      </c>
      <c r="X65">
        <f>HYPERLINK("https://klasma.github.io/Logging_0513/kartor_geotiff/A 61704-2025 georefererad karta.tif", "A 61704-2025")</f>
        <v/>
      </c>
      <c r="Z65">
        <f>HYPERLINK("https://klasma.github.io/Logging_0513/klagomål/A 61704-2025 FSC-klagomål.docx", "A 61704-2025")</f>
        <v/>
      </c>
      <c r="AA65">
        <f>HYPERLINK("https://klasma.github.io/Logging_0513/klagomålsmail/A 61704-2025 FSC-klagomål mail.docx", "A 61704-2025")</f>
        <v/>
      </c>
      <c r="AB65">
        <f>HYPERLINK("https://klasma.github.io/Logging_0513/tillsyn/A 61704-2025 tillsynsbegäran.docx", "A 61704-2025")</f>
        <v/>
      </c>
      <c r="AC65">
        <f>HYPERLINK("https://klasma.github.io/Logging_0513/tillsynsmail/A 61704-2025 tillsynsbegäran mail.docx", "A 61704-2025")</f>
        <v/>
      </c>
    </row>
    <row r="66" ht="15" customHeight="1">
      <c r="A66" t="inlineStr">
        <is>
          <t>A 44552-2021</t>
        </is>
      </c>
      <c r="B66" t="inlineStr">
        <is>
          <t>avverkningsanmälan</t>
        </is>
      </c>
      <c r="C66" t="inlineStr">
        <is>
          <t>Föryngringsavverkning</t>
        </is>
      </c>
      <c r="D66" s="1" t="n">
        <v>44435</v>
      </c>
      <c r="E66" s="1" t="n">
        <v>46223</v>
      </c>
      <c r="F66" t="inlineStr">
        <is>
          <t>ÖSTERGÖTLANDS LÄN</t>
        </is>
      </c>
      <c r="G66" t="inlineStr">
        <is>
          <t>KINDA</t>
        </is>
      </c>
      <c r="I66" t="n">
        <v>3.7</v>
      </c>
      <c r="J66" t="n">
        <v>0</v>
      </c>
      <c r="K66" t="n">
        <v>0</v>
      </c>
      <c r="L66" t="n">
        <v>1</v>
      </c>
      <c r="M66" t="n">
        <v>0</v>
      </c>
      <c r="N66" t="n">
        <v>0</v>
      </c>
      <c r="O66" t="n">
        <v>0</v>
      </c>
      <c r="P66" t="n">
        <v>0</v>
      </c>
      <c r="Q66" t="n">
        <v>1</v>
      </c>
      <c r="R66" t="n">
        <v>0</v>
      </c>
      <c r="S66" t="n">
        <v>1</v>
      </c>
      <c r="T66" t="n">
        <v>1</v>
      </c>
      <c r="U66" s="2" t="inlineStr">
        <is>
          <t>Storgröe</t>
        </is>
      </c>
      <c r="V66">
        <f>HYPERLINK("https://klasma.github.io/Logging_0513/artfynd/A 44552-2021 artfynd.xlsx", "A 44552-2021")</f>
        <v/>
      </c>
      <c r="W66">
        <f>HYPERLINK("https://klasma.github.io/Logging_0513/kartor/A 44552-2021 karta.png", "A 44552-2021")</f>
        <v/>
      </c>
      <c r="X66">
        <f>HYPERLINK("https://klasma.github.io/Logging_0513/kartor_geotiff/A 44552-2021 georefererad karta.tif", "A 44552-2021")</f>
        <v/>
      </c>
      <c r="Z66">
        <f>HYPERLINK("https://klasma.github.io/Logging_0513/klagomål/A 44552-2021 FSC-klagomål.docx", "A 44552-2021")</f>
        <v/>
      </c>
      <c r="AA66">
        <f>HYPERLINK("https://klasma.github.io/Logging_0513/klagomålsmail/A 44552-2021 FSC-klagomål mail.docx", "A 44552-2021")</f>
        <v/>
      </c>
      <c r="AB66">
        <f>HYPERLINK("https://klasma.github.io/Logging_0513/tillsyn/A 44552-2021 tillsynsbegäran.docx", "A 44552-2021")</f>
        <v/>
      </c>
      <c r="AC66">
        <f>HYPERLINK("https://klasma.github.io/Logging_0513/tillsynsmail/A 44552-2021 tillsynsbegäran mail.docx", "A 44552-2021")</f>
        <v/>
      </c>
    </row>
    <row r="67" ht="15" customHeight="1">
      <c r="A67" t="inlineStr">
        <is>
          <t>A 61705-2025</t>
        </is>
      </c>
      <c r="B67" t="inlineStr">
        <is>
          <t>avverkningsanmälan</t>
        </is>
      </c>
      <c r="C67" t="inlineStr">
        <is>
          <t>Föryngringsavverkning</t>
        </is>
      </c>
      <c r="D67" s="1" t="n">
        <v>46002</v>
      </c>
      <c r="E67" s="1" t="n">
        <v>46223</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s="2" t="inlineStr">
        <is>
          <t>Gullpudra</t>
        </is>
      </c>
      <c r="V67">
        <f>HYPERLINK("https://klasma.github.io/Logging_0513/artfynd/A 61705-2025 artfynd.xlsx", "A 61705-2025")</f>
        <v/>
      </c>
      <c r="W67">
        <f>HYPERLINK("https://klasma.github.io/Logging_0513/kartor/A 61705-2025 karta.png", "A 61705-2025")</f>
        <v/>
      </c>
      <c r="X67">
        <f>HYPERLINK("https://klasma.github.io/Logging_0513/kartor_geotiff/A 61705-2025 georefererad karta.tif", "A 61705-2025")</f>
        <v/>
      </c>
      <c r="Z67">
        <f>HYPERLINK("https://klasma.github.io/Logging_0513/klagomål/A 61705-2025 FSC-klagomål.docx", "A 61705-2025")</f>
        <v/>
      </c>
      <c r="AA67">
        <f>HYPERLINK("https://klasma.github.io/Logging_0513/klagomålsmail/A 61705-2025 FSC-klagomål mail.docx", "A 61705-2025")</f>
        <v/>
      </c>
      <c r="AB67">
        <f>HYPERLINK("https://klasma.github.io/Logging_0513/tillsyn/A 61705-2025 tillsynsbegäran.docx", "A 61705-2025")</f>
        <v/>
      </c>
      <c r="AC67">
        <f>HYPERLINK("https://klasma.github.io/Logging_0513/tillsynsmail/A 61705-2025 tillsynsbegäran mail.docx", "A 61705-2025")</f>
        <v/>
      </c>
    </row>
    <row r="68" ht="15" customHeight="1">
      <c r="A68" t="inlineStr">
        <is>
          <t>A 66100-2021</t>
        </is>
      </c>
      <c r="B68" t="inlineStr">
        <is>
          <t>avverkningsanmälan</t>
        </is>
      </c>
      <c r="C68" t="inlineStr">
        <is>
          <t>Föryngringsavverkning</t>
        </is>
      </c>
      <c r="D68" s="1" t="n">
        <v>44517</v>
      </c>
      <c r="E68" s="1" t="n">
        <v>46223</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s="2" t="inlineStr">
        <is>
          <t>Huggorm</t>
        </is>
      </c>
      <c r="V68">
        <f>HYPERLINK("https://klasma.github.io/Logging_0513/artfynd/A 66100-2021 artfynd.xlsx", "A 66100-2021")</f>
        <v/>
      </c>
      <c r="W68">
        <f>HYPERLINK("https://klasma.github.io/Logging_0513/kartor/A 66100-2021 karta.png", "A 66100-2021")</f>
        <v/>
      </c>
      <c r="X68">
        <f>HYPERLINK("https://klasma.github.io/Logging_0513/kartor_geotiff/A 66100-2021 georefererad karta.tif", "A 66100-2021")</f>
        <v/>
      </c>
      <c r="Z68">
        <f>HYPERLINK("https://klasma.github.io/Logging_0513/klagomål/A 66100-2021 FSC-klagomål.docx", "A 66100-2021")</f>
        <v/>
      </c>
      <c r="AA68">
        <f>HYPERLINK("https://klasma.github.io/Logging_0513/klagomålsmail/A 66100-2021 FSC-klagomål mail.docx", "A 66100-2021")</f>
        <v/>
      </c>
      <c r="AB68">
        <f>HYPERLINK("https://klasma.github.io/Logging_0513/tillsyn/A 66100-2021 tillsynsbegäran.docx", "A 66100-2021")</f>
        <v/>
      </c>
      <c r="AC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46223</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s="2" t="inlineStr">
        <is>
          <t>Skogsbräsma</t>
        </is>
      </c>
      <c r="V69">
        <f>HYPERLINK("https://klasma.github.io/Logging_0513/artfynd/A 5371-2024 artfynd.xlsx", "A 5371-2024")</f>
        <v/>
      </c>
      <c r="W69">
        <f>HYPERLINK("https://klasma.github.io/Logging_0513/kartor/A 5371-2024 karta.png", "A 5371-2024")</f>
        <v/>
      </c>
      <c r="X69">
        <f>HYPERLINK("https://klasma.github.io/Logging_0513/kartor_geotiff/A 5371-2024 georefererad karta.tif", "A 5371-2024")</f>
        <v/>
      </c>
      <c r="Z69">
        <f>HYPERLINK("https://klasma.github.io/Logging_0513/klagomål/A 5371-2024 FSC-klagomål.docx", "A 5371-2024")</f>
        <v/>
      </c>
      <c r="AA69">
        <f>HYPERLINK("https://klasma.github.io/Logging_0513/klagomålsmail/A 5371-2024 FSC-klagomål mail.docx", "A 5371-2024")</f>
        <v/>
      </c>
      <c r="AB69">
        <f>HYPERLINK("https://klasma.github.io/Logging_0513/tillsyn/A 5371-2024 tillsynsbegäran.docx", "A 5371-2024")</f>
        <v/>
      </c>
      <c r="AC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46223</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s="2" t="inlineStr">
        <is>
          <t>Ask</t>
        </is>
      </c>
      <c r="V70">
        <f>HYPERLINK("https://klasma.github.io/Logging_0513/artfynd/A 12170-2022 artfynd.xlsx", "A 12170-2022")</f>
        <v/>
      </c>
      <c r="W70">
        <f>HYPERLINK("https://klasma.github.io/Logging_0513/kartor/A 12170-2022 karta.png", "A 12170-2022")</f>
        <v/>
      </c>
      <c r="X70">
        <f>HYPERLINK("https://klasma.github.io/Logging_0513/kartor_geotiff/A 12170-2022 georefererad karta.tif", "A 12170-2022")</f>
        <v/>
      </c>
      <c r="Z70">
        <f>HYPERLINK("https://klasma.github.io/Logging_0513/klagomål/A 12170-2022 FSC-klagomål.docx", "A 12170-2022")</f>
        <v/>
      </c>
      <c r="AA70">
        <f>HYPERLINK("https://klasma.github.io/Logging_0513/klagomålsmail/A 12170-2022 FSC-klagomål mail.docx", "A 12170-2022")</f>
        <v/>
      </c>
      <c r="AB70">
        <f>HYPERLINK("https://klasma.github.io/Logging_0513/tillsyn/A 12170-2022 tillsynsbegäran.docx", "A 12170-2022")</f>
        <v/>
      </c>
      <c r="AC70">
        <f>HYPERLINK("https://klasma.github.io/Logging_0513/tillsynsmail/A 12170-2022 tillsynsbegäran mail.docx", "A 12170-2022")</f>
        <v/>
      </c>
    </row>
    <row r="71" ht="15" customHeight="1">
      <c r="A71" t="inlineStr">
        <is>
          <t>A 35863-2025</t>
        </is>
      </c>
      <c r="B71" t="inlineStr">
        <is>
          <t>avverkningsanmälan</t>
        </is>
      </c>
      <c r="C71" t="inlineStr">
        <is>
          <t>Föryngringsavverkning</t>
        </is>
      </c>
      <c r="D71" s="1" t="n">
        <v>45861</v>
      </c>
      <c r="E71" s="1" t="n">
        <v>46223</v>
      </c>
      <c r="F71" t="inlineStr">
        <is>
          <t>ÖSTERGÖTLANDS LÄN</t>
        </is>
      </c>
      <c r="G71" t="inlineStr">
        <is>
          <t>KINDA</t>
        </is>
      </c>
      <c r="I71" t="n">
        <v>2.8</v>
      </c>
      <c r="J71" t="n">
        <v>0</v>
      </c>
      <c r="K71" t="n">
        <v>1</v>
      </c>
      <c r="L71" t="n">
        <v>0</v>
      </c>
      <c r="M71" t="n">
        <v>0</v>
      </c>
      <c r="N71" t="n">
        <v>0</v>
      </c>
      <c r="O71" t="n">
        <v>0</v>
      </c>
      <c r="P71" t="n">
        <v>0</v>
      </c>
      <c r="Q71" t="n">
        <v>0</v>
      </c>
      <c r="R71" t="n">
        <v>0</v>
      </c>
      <c r="S71" t="n">
        <v>1</v>
      </c>
      <c r="T71" t="n">
        <v>1</v>
      </c>
      <c r="U71" s="2" t="inlineStr">
        <is>
          <t>Tibast</t>
        </is>
      </c>
      <c r="V71">
        <f>HYPERLINK("https://klasma.github.io/Logging_0513/artfynd/A 35863-2025 artfynd.xlsx", "A 35863-2025")</f>
        <v/>
      </c>
      <c r="W71">
        <f>HYPERLINK("https://klasma.github.io/Logging_0513/kartor/A 35863-2025 karta.png", "A 35863-2025")</f>
        <v/>
      </c>
      <c r="X71">
        <f>HYPERLINK("https://klasma.github.io/Logging_0513/kartor_geotiff/A 35863-2025 georefererad karta.tif", "A 35863-2025")</f>
        <v/>
      </c>
      <c r="Z71">
        <f>HYPERLINK("https://klasma.github.io/Logging_0513/klagomål/A 35863-2025 FSC-klagomål.docx", "A 35863-2025")</f>
        <v/>
      </c>
      <c r="AA71">
        <f>HYPERLINK("https://klasma.github.io/Logging_0513/klagomålsmail/A 35863-2025 FSC-klagomål mail.docx", "A 35863-2025")</f>
        <v/>
      </c>
      <c r="AB71">
        <f>HYPERLINK("https://klasma.github.io/Logging_0513/tillsyn/A 35863-2025 tillsynsbegäran.docx", "A 35863-2025")</f>
        <v/>
      </c>
      <c r="AC71">
        <f>HYPERLINK("https://klasma.github.io/Logging_0513/tillsynsmail/A 35863-2025 tillsynsbegäran mail.docx", "A 35863-2025")</f>
        <v/>
      </c>
    </row>
    <row r="72" ht="15" customHeight="1">
      <c r="A72" t="inlineStr">
        <is>
          <t>A 38015-2023</t>
        </is>
      </c>
      <c r="B72" t="inlineStr">
        <is>
          <t>avverkningsanmälan</t>
        </is>
      </c>
      <c r="C72" t="inlineStr">
        <is>
          <t>Föryngringsavverkning</t>
        </is>
      </c>
      <c r="D72" s="1" t="n">
        <v>45160</v>
      </c>
      <c r="E72" s="1" t="n">
        <v>46223</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s="2" t="inlineStr">
        <is>
          <t>Spindelörtskinnbagge</t>
        </is>
      </c>
      <c r="V72">
        <f>HYPERLINK("https://klasma.github.io/Logging_0513/artfynd/A 38015-2023 artfynd.xlsx", "A 38015-2023")</f>
        <v/>
      </c>
      <c r="W72">
        <f>HYPERLINK("https://klasma.github.io/Logging_0513/kartor/A 38015-2023 karta.png", "A 38015-2023")</f>
        <v/>
      </c>
      <c r="X72">
        <f>HYPERLINK("https://klasma.github.io/Logging_0513/kartor_geotiff/A 38015-2023 georefererad karta.tif", "A 38015-2023")</f>
        <v/>
      </c>
      <c r="Z72">
        <f>HYPERLINK("https://klasma.github.io/Logging_0513/klagomål/A 38015-2023 FSC-klagomål.docx", "A 38015-2023")</f>
        <v/>
      </c>
      <c r="AA72">
        <f>HYPERLINK("https://klasma.github.io/Logging_0513/klagomålsmail/A 38015-2023 FSC-klagomål mail.docx", "A 38015-2023")</f>
        <v/>
      </c>
      <c r="AB72">
        <f>HYPERLINK("https://klasma.github.io/Logging_0513/tillsyn/A 38015-2023 tillsynsbegäran.docx", "A 38015-2023")</f>
        <v/>
      </c>
      <c r="AC72">
        <f>HYPERLINK("https://klasma.github.io/Logging_0513/tillsynsmail/A 38015-2023 tillsynsbegäran mail.docx", "A 38015-2023")</f>
        <v/>
      </c>
    </row>
    <row r="73" ht="15" customHeight="1">
      <c r="A73" t="inlineStr">
        <is>
          <t>A 40987-2025</t>
        </is>
      </c>
      <c r="B73" t="inlineStr">
        <is>
          <t>avverkningsanmälan</t>
        </is>
      </c>
      <c r="C73" t="inlineStr">
        <is>
          <t>Föryngringsavverkning</t>
        </is>
      </c>
      <c r="D73" s="1" t="n">
        <v>45898</v>
      </c>
      <c r="E73" s="1" t="n">
        <v>46223</v>
      </c>
      <c r="F73" t="inlineStr">
        <is>
          <t>ÖSTERGÖTLANDS LÄN</t>
        </is>
      </c>
      <c r="G73" t="inlineStr">
        <is>
          <t>KINDA</t>
        </is>
      </c>
      <c r="I73" t="n">
        <v>1.6</v>
      </c>
      <c r="J73" t="n">
        <v>1</v>
      </c>
      <c r="K73" t="n">
        <v>1</v>
      </c>
      <c r="L73" t="n">
        <v>0</v>
      </c>
      <c r="M73" t="n">
        <v>0</v>
      </c>
      <c r="N73" t="n">
        <v>0</v>
      </c>
      <c r="O73" t="n">
        <v>0</v>
      </c>
      <c r="P73" t="n">
        <v>0</v>
      </c>
      <c r="Q73" t="n">
        <v>0</v>
      </c>
      <c r="R73" t="n">
        <v>0</v>
      </c>
      <c r="S73" t="n">
        <v>1</v>
      </c>
      <c r="T73" t="n">
        <v>2</v>
      </c>
      <c r="U73" s="2" t="inlineStr">
        <is>
          <t>Purpurknipprot</t>
        </is>
      </c>
      <c r="V73">
        <f>HYPERLINK("https://klasma.github.io/Logging_0513/artfynd/A 40987-2025 artfynd.xlsx", "A 40987-2025")</f>
        <v/>
      </c>
      <c r="W73">
        <f>HYPERLINK("https://klasma.github.io/Logging_0513/kartor/A 40987-2025 karta.png", "A 40987-2025")</f>
        <v/>
      </c>
      <c r="X73">
        <f>HYPERLINK("https://klasma.github.io/Logging_0513/kartor_geotiff/A 40987-2025 georefererad karta.tif", "A 40987-2025")</f>
        <v/>
      </c>
      <c r="Z73">
        <f>HYPERLINK("https://klasma.github.io/Logging_0513/klagomål/A 40987-2025 FSC-klagomål.docx", "A 40987-2025")</f>
        <v/>
      </c>
      <c r="AA73">
        <f>HYPERLINK("https://klasma.github.io/Logging_0513/klagomålsmail/A 40987-2025 FSC-klagomål mail.docx", "A 40987-2025")</f>
        <v/>
      </c>
      <c r="AB73">
        <f>HYPERLINK("https://klasma.github.io/Logging_0513/tillsyn/A 40987-2025 tillsynsbegäran.docx", "A 40987-2025")</f>
        <v/>
      </c>
      <c r="AC73">
        <f>HYPERLINK("https://klasma.github.io/Logging_0513/tillsynsmail/A 40987-2025 tillsynsbegäran mail.docx", "A 40987-2025")</f>
        <v/>
      </c>
    </row>
    <row r="74" ht="15" customHeight="1">
      <c r="A74" t="inlineStr">
        <is>
          <t>A 53239-2023</t>
        </is>
      </c>
      <c r="B74" t="inlineStr">
        <is>
          <t>avverkningsanmälan</t>
        </is>
      </c>
      <c r="C74" t="inlineStr">
        <is>
          <t>Föryngringsavverkning</t>
        </is>
      </c>
      <c r="D74" s="1" t="n">
        <v>45229</v>
      </c>
      <c r="E74" s="1" t="n">
        <v>46223</v>
      </c>
      <c r="F74" t="inlineStr">
        <is>
          <t>ÖSTERGÖTLANDS LÄN</t>
        </is>
      </c>
      <c r="G74" t="inlineStr">
        <is>
          <t>KINDA</t>
        </is>
      </c>
      <c r="H74" t="inlineStr">
        <is>
          <t>Allmännings- och besparingsskogar</t>
        </is>
      </c>
      <c r="I74" t="n">
        <v>10.3</v>
      </c>
      <c r="J74" t="n">
        <v>0</v>
      </c>
      <c r="K74" t="n">
        <v>0</v>
      </c>
      <c r="L74" t="n">
        <v>1</v>
      </c>
      <c r="M74" t="n">
        <v>0</v>
      </c>
      <c r="N74" t="n">
        <v>0</v>
      </c>
      <c r="O74" t="n">
        <v>0</v>
      </c>
      <c r="P74" t="n">
        <v>0</v>
      </c>
      <c r="Q74" t="n">
        <v>1</v>
      </c>
      <c r="R74" t="n">
        <v>0</v>
      </c>
      <c r="S74" t="n">
        <v>1</v>
      </c>
      <c r="T74" t="n">
        <v>1</v>
      </c>
      <c r="U74" s="2" t="inlineStr">
        <is>
          <t>Jungfrulin</t>
        </is>
      </c>
      <c r="V74">
        <f>HYPERLINK("https://klasma.github.io/Logging_0513/artfynd/A 53239-2023 artfynd.xlsx", "A 53239-2023")</f>
        <v/>
      </c>
      <c r="W74">
        <f>HYPERLINK("https://klasma.github.io/Logging_0513/kartor/A 53239-2023 karta.png", "A 53239-2023")</f>
        <v/>
      </c>
      <c r="X74">
        <f>HYPERLINK("https://klasma.github.io/Logging_0513/kartor_geotiff/A 53239-2023 georefererad karta.tif", "A 53239-2023")</f>
        <v/>
      </c>
      <c r="Z74">
        <f>HYPERLINK("https://klasma.github.io/Logging_0513/klagomål/A 53239-2023 FSC-klagomål.docx", "A 53239-2023")</f>
        <v/>
      </c>
      <c r="AA74">
        <f>HYPERLINK("https://klasma.github.io/Logging_0513/klagomålsmail/A 53239-2023 FSC-klagomål mail.docx", "A 53239-2023")</f>
        <v/>
      </c>
      <c r="AB74">
        <f>HYPERLINK("https://klasma.github.io/Logging_0513/tillsyn/A 53239-2023 tillsynsbegäran.docx", "A 53239-2023")</f>
        <v/>
      </c>
      <c r="AC74">
        <f>HYPERLINK("https://klasma.github.io/Logging_0513/tillsynsmail/A 53239-2023 tillsynsbegäran mail.docx", "A 53239-2023")</f>
        <v/>
      </c>
    </row>
    <row r="75" ht="15" customHeight="1">
      <c r="A75" t="inlineStr">
        <is>
          <t>A 23897-2023</t>
        </is>
      </c>
      <c r="B75" t="inlineStr">
        <is>
          <t>avverkningsanmälan</t>
        </is>
      </c>
      <c r="C75" t="inlineStr">
        <is>
          <t>Föryngringsavverkning</t>
        </is>
      </c>
      <c r="D75" s="1" t="n">
        <v>45078</v>
      </c>
      <c r="E75" s="1" t="n">
        <v>46223</v>
      </c>
      <c r="F75" t="inlineStr">
        <is>
          <t>ÖSTERGÖTLANDS LÄN</t>
        </is>
      </c>
      <c r="G75" t="inlineStr">
        <is>
          <t>KINDA</t>
        </is>
      </c>
      <c r="H75" t="inlineStr">
        <is>
          <t>Sveaskog</t>
        </is>
      </c>
      <c r="I75" t="n">
        <v>1.2</v>
      </c>
      <c r="J75" t="n">
        <v>0</v>
      </c>
      <c r="K75" t="n">
        <v>0</v>
      </c>
      <c r="L75" t="n">
        <v>1</v>
      </c>
      <c r="M75" t="n">
        <v>0</v>
      </c>
      <c r="N75" t="n">
        <v>0</v>
      </c>
      <c r="O75" t="n">
        <v>0</v>
      </c>
      <c r="P75" t="n">
        <v>0</v>
      </c>
      <c r="Q75" t="n">
        <v>1</v>
      </c>
      <c r="R75" t="n">
        <v>0</v>
      </c>
      <c r="S75" t="n">
        <v>1</v>
      </c>
      <c r="T75" t="n">
        <v>1</v>
      </c>
      <c r="U75" s="2" t="inlineStr">
        <is>
          <t>Slåtterfibbla</t>
        </is>
      </c>
      <c r="V75">
        <f>HYPERLINK("https://klasma.github.io/Logging_0513/artfynd/A 23897-2023 artfynd.xlsx", "A 23897-2023")</f>
        <v/>
      </c>
      <c r="W75">
        <f>HYPERLINK("https://klasma.github.io/Logging_0513/kartor/A 23897-2023 karta.png", "A 23897-2023")</f>
        <v/>
      </c>
      <c r="X75">
        <f>HYPERLINK("https://klasma.github.io/Logging_0513/kartor_geotiff/A 23897-2023 georefererad karta.tif", "A 23897-2023")</f>
        <v/>
      </c>
      <c r="Z75">
        <f>HYPERLINK("https://klasma.github.io/Logging_0513/klagomål/A 23897-2023 FSC-klagomål.docx", "A 23897-2023")</f>
        <v/>
      </c>
      <c r="AA75">
        <f>HYPERLINK("https://klasma.github.io/Logging_0513/klagomålsmail/A 23897-2023 FSC-klagomål mail.docx", "A 23897-2023")</f>
        <v/>
      </c>
      <c r="AB75">
        <f>HYPERLINK("https://klasma.github.io/Logging_0513/tillsyn/A 23897-2023 tillsynsbegäran.docx", "A 23897-2023")</f>
        <v/>
      </c>
      <c r="AC75">
        <f>HYPERLINK("https://klasma.github.io/Logging_0513/tillsynsmail/A 23897-2023 tillsynsbegäran mail.docx", "A 23897-2023")</f>
        <v/>
      </c>
    </row>
    <row r="76" ht="15" customHeight="1">
      <c r="A76" t="inlineStr">
        <is>
          <t>A 33003-2024</t>
        </is>
      </c>
      <c r="B76" t="inlineStr">
        <is>
          <t>avverkningsanmälan</t>
        </is>
      </c>
      <c r="C76" t="inlineStr">
        <is>
          <t>Avverkning för annat ändamål</t>
        </is>
      </c>
      <c r="D76" s="1" t="n">
        <v>45517</v>
      </c>
      <c r="E76" s="1" t="n">
        <v>46223</v>
      </c>
      <c r="F76" t="inlineStr">
        <is>
          <t>ÖSTERGÖTLANDS LÄN</t>
        </is>
      </c>
      <c r="G76" t="inlineStr">
        <is>
          <t>KINDA</t>
        </is>
      </c>
      <c r="I76" t="n">
        <v>2.4</v>
      </c>
      <c r="J76" t="n">
        <v>1</v>
      </c>
      <c r="K76" t="n">
        <v>0</v>
      </c>
      <c r="L76" t="n">
        <v>0</v>
      </c>
      <c r="M76" t="n">
        <v>0</v>
      </c>
      <c r="N76" t="n">
        <v>0</v>
      </c>
      <c r="O76" t="n">
        <v>0</v>
      </c>
      <c r="P76" t="n">
        <v>0</v>
      </c>
      <c r="Q76" t="n">
        <v>0</v>
      </c>
      <c r="R76" t="n">
        <v>0</v>
      </c>
      <c r="S76" t="n">
        <v>1</v>
      </c>
      <c r="T76" t="n">
        <v>1</v>
      </c>
      <c r="U76" s="2" t="inlineStr">
        <is>
          <t>Sävsparv</t>
        </is>
      </c>
      <c r="V76">
        <f>HYPERLINK("https://klasma.github.io/Logging_0513/artfynd/A 33003-2024 artfynd.xlsx", "A 33003-2024")</f>
        <v/>
      </c>
      <c r="W76">
        <f>HYPERLINK("https://klasma.github.io/Logging_0513/kartor/A 33003-2024 karta.png", "A 33003-2024")</f>
        <v/>
      </c>
      <c r="X76">
        <f>HYPERLINK("https://klasma.github.io/Logging_0513/kartor_geotiff/A 33003-2024 georefererad karta.tif", "A 33003-2024")</f>
        <v/>
      </c>
      <c r="Z76">
        <f>HYPERLINK("https://klasma.github.io/Logging_0513/klagomål/A 33003-2024 FSC-klagomål.docx", "A 33003-2024")</f>
        <v/>
      </c>
      <c r="AA76">
        <f>HYPERLINK("https://klasma.github.io/Logging_0513/klagomålsmail/A 33003-2024 FSC-klagomål mail.docx", "A 33003-2024")</f>
        <v/>
      </c>
      <c r="AB76">
        <f>HYPERLINK("https://klasma.github.io/Logging_0513/tillsyn/A 33003-2024 tillsynsbegäran.docx", "A 33003-2024")</f>
        <v/>
      </c>
      <c r="AC76">
        <f>HYPERLINK("https://klasma.github.io/Logging_0513/tillsynsmail/A 33003-2024 tillsynsbegäran mail.docx", "A 33003-2024")</f>
        <v/>
      </c>
      <c r="AD76">
        <f>HYPERLINK("https://klasma.github.io/Logging_0513/fåglar/A 33003-2024 prioriterade fågelarter.docx", "A 33003-2024")</f>
        <v/>
      </c>
    </row>
    <row r="77" ht="15" customHeight="1">
      <c r="A77" t="inlineStr">
        <is>
          <t>A 7801-2022</t>
        </is>
      </c>
      <c r="B77" t="inlineStr">
        <is>
          <t>avverkningsanmälan</t>
        </is>
      </c>
      <c r="C77" t="inlineStr">
        <is>
          <t>Avverkning för att bevara och utveckla /försöksver</t>
        </is>
      </c>
      <c r="D77" s="1" t="n">
        <v>44608</v>
      </c>
      <c r="E77" s="1" t="n">
        <v>46223</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s="2" t="inlineStr">
        <is>
          <t>Ask</t>
        </is>
      </c>
      <c r="V77">
        <f>HYPERLINK("https://klasma.github.io/Logging_0513/artfynd/A 7801-2022 artfynd.xlsx", "A 7801-2022")</f>
        <v/>
      </c>
      <c r="W77">
        <f>HYPERLINK("https://klasma.github.io/Logging_0513/kartor/A 7801-2022 karta.png", "A 7801-2022")</f>
        <v/>
      </c>
      <c r="X77">
        <f>HYPERLINK("https://klasma.github.io/Logging_0513/kartor_geotiff/A 7801-2022 georefererad karta.tif", "A 7801-2022")</f>
        <v/>
      </c>
      <c r="Z77">
        <f>HYPERLINK("https://klasma.github.io/Logging_0513/klagomål/A 7801-2022 FSC-klagomål.docx", "A 7801-2022")</f>
        <v/>
      </c>
      <c r="AA77">
        <f>HYPERLINK("https://klasma.github.io/Logging_0513/klagomålsmail/A 7801-2022 FSC-klagomål mail.docx", "A 7801-2022")</f>
        <v/>
      </c>
      <c r="AB77">
        <f>HYPERLINK("https://klasma.github.io/Logging_0513/tillsyn/A 7801-2022 tillsynsbegäran.docx", "A 7801-2022")</f>
        <v/>
      </c>
      <c r="AC77">
        <f>HYPERLINK("https://klasma.github.io/Logging_0513/tillsynsmail/A 7801-2022 tillsynsbegäran mail.docx", "A 7801-2022")</f>
        <v/>
      </c>
    </row>
    <row r="78" ht="15" customHeight="1">
      <c r="A78" t="inlineStr">
        <is>
          <t>A 46145-2023</t>
        </is>
      </c>
      <c r="B78" t="inlineStr">
        <is>
          <t>avverkningsanmälan</t>
        </is>
      </c>
      <c r="C78" t="inlineStr">
        <is>
          <t>Föryngringsavverkning</t>
        </is>
      </c>
      <c r="D78" s="1" t="n">
        <v>45196</v>
      </c>
      <c r="E78" s="1" t="n">
        <v>46223</v>
      </c>
      <c r="F78" t="inlineStr">
        <is>
          <t>ÖSTERGÖTLANDS LÄN</t>
        </is>
      </c>
      <c r="G78" t="inlineStr">
        <is>
          <t>KINDA</t>
        </is>
      </c>
      <c r="I78" t="n">
        <v>4.2</v>
      </c>
      <c r="J78" t="n">
        <v>0</v>
      </c>
      <c r="K78" t="n">
        <v>1</v>
      </c>
      <c r="L78" t="n">
        <v>0</v>
      </c>
      <c r="M78" t="n">
        <v>0</v>
      </c>
      <c r="N78" t="n">
        <v>0</v>
      </c>
      <c r="O78" t="n">
        <v>0</v>
      </c>
      <c r="P78" t="n">
        <v>0</v>
      </c>
      <c r="Q78" t="n">
        <v>0</v>
      </c>
      <c r="R78" t="n">
        <v>0</v>
      </c>
      <c r="S78" t="n">
        <v>1</v>
      </c>
      <c r="T78" t="n">
        <v>1</v>
      </c>
      <c r="U78" s="2" t="inlineStr">
        <is>
          <t>Svart trolldruva</t>
        </is>
      </c>
      <c r="V78">
        <f>HYPERLINK("https://klasma.github.io/Logging_0513/artfynd/A 46145-2023 artfynd.xlsx", "A 46145-2023")</f>
        <v/>
      </c>
      <c r="W78">
        <f>HYPERLINK("https://klasma.github.io/Logging_0513/kartor/A 46145-2023 karta.png", "A 46145-2023")</f>
        <v/>
      </c>
      <c r="X78">
        <f>HYPERLINK("https://klasma.github.io/Logging_0513/kartor_geotiff/A 46145-2023 georefererad karta.tif", "A 46145-2023")</f>
        <v/>
      </c>
      <c r="Z78">
        <f>HYPERLINK("https://klasma.github.io/Logging_0513/klagomål/A 46145-2023 FSC-klagomål.docx", "A 46145-2023")</f>
        <v/>
      </c>
      <c r="AA78">
        <f>HYPERLINK("https://klasma.github.io/Logging_0513/klagomålsmail/A 46145-2023 FSC-klagomål mail.docx", "A 46145-2023")</f>
        <v/>
      </c>
      <c r="AB78">
        <f>HYPERLINK("https://klasma.github.io/Logging_0513/tillsyn/A 46145-2023 tillsynsbegäran.docx", "A 46145-2023")</f>
        <v/>
      </c>
      <c r="AC78">
        <f>HYPERLINK("https://klasma.github.io/Logging_0513/tillsynsmail/A 46145-2023 tillsynsbegäran mail.docx", "A 46145-2023")</f>
        <v/>
      </c>
    </row>
    <row r="79" ht="15" customHeight="1">
      <c r="A79" t="inlineStr">
        <is>
          <t>A 1739-2024</t>
        </is>
      </c>
      <c r="B79" t="inlineStr">
        <is>
          <t>avverkningsanmälan</t>
        </is>
      </c>
      <c r="C79" t="inlineStr">
        <is>
          <t>Föryngringsavverkning</t>
        </is>
      </c>
      <c r="D79" s="1" t="n">
        <v>45307</v>
      </c>
      <c r="E79" s="1" t="n">
        <v>46223</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s="2" t="inlineStr">
        <is>
          <t>Skogsklocka</t>
        </is>
      </c>
      <c r="V79">
        <f>HYPERLINK("https://klasma.github.io/Logging_0513/artfynd/A 1739-2024 artfynd.xlsx", "A 1739-2024")</f>
        <v/>
      </c>
      <c r="W79">
        <f>HYPERLINK("https://klasma.github.io/Logging_0513/kartor/A 1739-2024 karta.png", "A 1739-2024")</f>
        <v/>
      </c>
      <c r="X79">
        <f>HYPERLINK("https://klasma.github.io/Logging_0513/kartor_geotiff/A 1739-2024 georefererad karta.tif", "A 1739-2024")</f>
        <v/>
      </c>
      <c r="Z79">
        <f>HYPERLINK("https://klasma.github.io/Logging_0513/klagomål/A 1739-2024 FSC-klagomål.docx", "A 1739-2024")</f>
        <v/>
      </c>
      <c r="AA79">
        <f>HYPERLINK("https://klasma.github.io/Logging_0513/klagomålsmail/A 1739-2024 FSC-klagomål mail.docx", "A 1739-2024")</f>
        <v/>
      </c>
      <c r="AB79">
        <f>HYPERLINK("https://klasma.github.io/Logging_0513/tillsyn/A 1739-2024 tillsynsbegäran.docx", "A 1739-2024")</f>
        <v/>
      </c>
      <c r="AC79">
        <f>HYPERLINK("https://klasma.github.io/Logging_0513/tillsynsmail/A 1739-2024 tillsynsbegäran mail.docx", "A 1739-2024")</f>
        <v/>
      </c>
    </row>
    <row r="80" ht="15" customHeight="1">
      <c r="A80" t="inlineStr">
        <is>
          <t>A 27647-2026</t>
        </is>
      </c>
      <c r="B80" t="inlineStr">
        <is>
          <t>avverkningsanmälan</t>
        </is>
      </c>
      <c r="C80" t="inlineStr">
        <is>
          <t>Avverkning för annat ändamål</t>
        </is>
      </c>
      <c r="D80" s="1" t="n">
        <v>46190</v>
      </c>
      <c r="E80" s="1" t="n">
        <v>46223</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s="2" t="inlineStr">
        <is>
          <t>Orre</t>
        </is>
      </c>
      <c r="V80">
        <f>HYPERLINK("https://klasma.github.io/Logging_0513/artfynd/A 27647-2026 artfynd.xlsx", "A 27647-2026")</f>
        <v/>
      </c>
      <c r="W80">
        <f>HYPERLINK("https://klasma.github.io/Logging_0513/kartor/A 27647-2026 karta.png", "A 27647-2026")</f>
        <v/>
      </c>
      <c r="X80">
        <f>HYPERLINK("https://klasma.github.io/Logging_0513/kartor_geotiff/A 27647-2026 georefererad karta.tif", "A 27647-2026")</f>
        <v/>
      </c>
      <c r="Z80">
        <f>HYPERLINK("https://klasma.github.io/Logging_0513/klagomål/A 27647-2026 FSC-klagomål.docx", "A 27647-2026")</f>
        <v/>
      </c>
      <c r="AA80">
        <f>HYPERLINK("https://klasma.github.io/Logging_0513/klagomålsmail/A 27647-2026 FSC-klagomål mail.docx", "A 27647-2026")</f>
        <v/>
      </c>
      <c r="AB80">
        <f>HYPERLINK("https://klasma.github.io/Logging_0513/tillsyn/A 27647-2026 tillsynsbegäran.docx", "A 27647-2026")</f>
        <v/>
      </c>
      <c r="AC80">
        <f>HYPERLINK("https://klasma.github.io/Logging_0513/tillsynsmail/A 27647-2026 tillsynsbegäran mail.docx", "A 27647-2026")</f>
        <v/>
      </c>
      <c r="AD80">
        <f>HYPERLINK("https://klasma.github.io/Logging_0513/fåglar/A 27647-2026 prioriterade fågelarter.docx", "A 27647-2026")</f>
        <v/>
      </c>
    </row>
    <row r="81" ht="15" customHeight="1">
      <c r="A81" t="inlineStr">
        <is>
          <t>A 46757-2022</t>
        </is>
      </c>
      <c r="B81" t="inlineStr">
        <is>
          <t>avverkningsanmälan</t>
        </is>
      </c>
      <c r="C81" t="inlineStr">
        <is>
          <t>Föryngringsavverkning</t>
        </is>
      </c>
      <c r="D81" s="1" t="n">
        <v>44851</v>
      </c>
      <c r="E81" s="1" t="n">
        <v>46223</v>
      </c>
      <c r="F81" t="inlineStr">
        <is>
          <t>ÖSTERGÖTLANDS LÄN</t>
        </is>
      </c>
      <c r="G81" t="inlineStr">
        <is>
          <t>KINDA</t>
        </is>
      </c>
      <c r="I81" t="n">
        <v>1.8</v>
      </c>
      <c r="J81" t="n">
        <v>0</v>
      </c>
      <c r="K81" t="n">
        <v>0</v>
      </c>
      <c r="L81" t="n">
        <v>1</v>
      </c>
      <c r="M81" t="n">
        <v>0</v>
      </c>
      <c r="N81" t="n">
        <v>0</v>
      </c>
      <c r="O81" t="n">
        <v>0</v>
      </c>
      <c r="P81" t="n">
        <v>0</v>
      </c>
      <c r="Q81" t="n">
        <v>1</v>
      </c>
      <c r="R81" t="n">
        <v>0</v>
      </c>
      <c r="S81" t="n">
        <v>1</v>
      </c>
      <c r="T81" t="n">
        <v>1</v>
      </c>
      <c r="U81" s="2" t="inlineStr">
        <is>
          <t>Svedjenäva</t>
        </is>
      </c>
      <c r="V81">
        <f>HYPERLINK("https://klasma.github.io/Logging_0513/artfynd/A 46757-2022 artfynd.xlsx", "A 46757-2022")</f>
        <v/>
      </c>
      <c r="W81">
        <f>HYPERLINK("https://klasma.github.io/Logging_0513/kartor/A 46757-2022 karta.png", "A 46757-2022")</f>
        <v/>
      </c>
      <c r="X81">
        <f>HYPERLINK("https://klasma.github.io/Logging_0513/kartor_geotiff/A 46757-2022 georefererad karta.tif", "A 46757-2022")</f>
        <v/>
      </c>
      <c r="Z81">
        <f>HYPERLINK("https://klasma.github.io/Logging_0513/klagomål/A 46757-2022 FSC-klagomål.docx", "A 46757-2022")</f>
        <v/>
      </c>
      <c r="AA81">
        <f>HYPERLINK("https://klasma.github.io/Logging_0513/klagomålsmail/A 46757-2022 FSC-klagomål mail.docx", "A 46757-2022")</f>
        <v/>
      </c>
      <c r="AB81">
        <f>HYPERLINK("https://klasma.github.io/Logging_0513/tillsyn/A 46757-2022 tillsynsbegäran.docx", "A 46757-2022")</f>
        <v/>
      </c>
      <c r="AC81">
        <f>HYPERLINK("https://klasma.github.io/Logging_0513/tillsynsmail/A 46757-2022 tillsynsbegäran mail.docx", "A 46757-2022")</f>
        <v/>
      </c>
    </row>
    <row r="82" ht="15" customHeight="1">
      <c r="A82" t="inlineStr">
        <is>
          <t>A 67789-2021</t>
        </is>
      </c>
      <c r="B82" t="inlineStr">
        <is>
          <t>avverkningsanmälan</t>
        </is>
      </c>
      <c r="C82" t="inlineStr">
        <is>
          <t>Föryngringsavverkning</t>
        </is>
      </c>
      <c r="D82" s="1" t="n">
        <v>44525</v>
      </c>
      <c r="E82" s="1" t="n">
        <v>46223</v>
      </c>
      <c r="F82" t="inlineStr">
        <is>
          <t>ÖSTERGÖTLANDS LÄN</t>
        </is>
      </c>
      <c r="G82" t="inlineStr">
        <is>
          <t>KINDA</t>
        </is>
      </c>
      <c r="I82" t="n">
        <v>19.4</v>
      </c>
      <c r="J82" t="n">
        <v>1</v>
      </c>
      <c r="K82" t="n">
        <v>0</v>
      </c>
      <c r="L82" t="n">
        <v>0</v>
      </c>
      <c r="M82" t="n">
        <v>0</v>
      </c>
      <c r="N82" t="n">
        <v>0</v>
      </c>
      <c r="O82" t="n">
        <v>0</v>
      </c>
      <c r="P82" t="n">
        <v>0</v>
      </c>
      <c r="Q82" t="n">
        <v>0</v>
      </c>
      <c r="R82" t="n">
        <v>0</v>
      </c>
      <c r="S82" t="n">
        <v>1</v>
      </c>
      <c r="T82" t="n">
        <v>1</v>
      </c>
      <c r="U82" s="2" t="inlineStr">
        <is>
          <t>Havsörn</t>
        </is>
      </c>
      <c r="V82">
        <f>HYPERLINK("https://klasma.github.io/Logging_0513/artfynd/A 67789-2021 artfynd.xlsx", "A 67789-2021")</f>
        <v/>
      </c>
      <c r="W82">
        <f>HYPERLINK("https://klasma.github.io/Logging_0513/kartor/A 67789-2021 karta.png", "A 67789-2021")</f>
        <v/>
      </c>
      <c r="X82">
        <f>HYPERLINK("https://klasma.github.io/Logging_0513/kartor_geotiff/A 67789-2021 georefererad karta.tif", "A 67789-2021")</f>
        <v/>
      </c>
      <c r="Z82">
        <f>HYPERLINK("https://klasma.github.io/Logging_0513/klagomål/A 67789-2021 FSC-klagomål.docx", "A 67789-2021")</f>
        <v/>
      </c>
      <c r="AA82">
        <f>HYPERLINK("https://klasma.github.io/Logging_0513/klagomålsmail/A 67789-2021 FSC-klagomål mail.docx", "A 67789-2021")</f>
        <v/>
      </c>
      <c r="AB82">
        <f>HYPERLINK("https://klasma.github.io/Logging_0513/tillsyn/A 67789-2021 tillsynsbegäran.docx", "A 67789-2021")</f>
        <v/>
      </c>
      <c r="AC82">
        <f>HYPERLINK("https://klasma.github.io/Logging_0513/tillsynsmail/A 67789-2021 tillsynsbegäran mail.docx", "A 67789-2021")</f>
        <v/>
      </c>
      <c r="AD82">
        <f>HYPERLINK("https://klasma.github.io/Logging_0513/fåglar/A 67789-2021 prioriterade fågelarter.docx", "A 67789-2021")</f>
        <v/>
      </c>
    </row>
    <row r="83" ht="15" customHeight="1">
      <c r="A83" t="inlineStr">
        <is>
          <t>A 35789-2022</t>
        </is>
      </c>
      <c r="B83" t="inlineStr">
        <is>
          <t>avverkningsanmälan</t>
        </is>
      </c>
      <c r="C83" t="inlineStr">
        <is>
          <t>Föryngringsavverkning</t>
        </is>
      </c>
      <c r="D83" s="1" t="n">
        <v>44801</v>
      </c>
      <c r="E83" s="1" t="n">
        <v>46223</v>
      </c>
      <c r="F83" t="inlineStr">
        <is>
          <t>ÖSTERGÖTLANDS LÄN</t>
        </is>
      </c>
      <c r="G83" t="inlineStr">
        <is>
          <t>KINDA</t>
        </is>
      </c>
      <c r="I83" t="n">
        <v>2.2</v>
      </c>
      <c r="J83" t="n">
        <v>0</v>
      </c>
      <c r="K83" t="n">
        <v>1</v>
      </c>
      <c r="L83" t="n">
        <v>0</v>
      </c>
      <c r="M83" t="n">
        <v>0</v>
      </c>
      <c r="N83" t="n">
        <v>0</v>
      </c>
      <c r="O83" t="n">
        <v>0</v>
      </c>
      <c r="P83" t="n">
        <v>0</v>
      </c>
      <c r="Q83" t="n">
        <v>0</v>
      </c>
      <c r="R83" t="n">
        <v>0</v>
      </c>
      <c r="S83" t="n">
        <v>1</v>
      </c>
      <c r="T83" t="n">
        <v>2</v>
      </c>
      <c r="U83" s="2" t="inlineStr">
        <is>
          <t>Tibast</t>
        </is>
      </c>
      <c r="V83">
        <f>HYPERLINK("https://klasma.github.io/Logging_0513/artfynd/A 35789-2022 artfynd.xlsx", "A 35789-2022")</f>
        <v/>
      </c>
      <c r="W83">
        <f>HYPERLINK("https://klasma.github.io/Logging_0513/kartor/A 35789-2022 karta.png", "A 35789-2022")</f>
        <v/>
      </c>
      <c r="X83">
        <f>HYPERLINK("https://klasma.github.io/Logging_0513/kartor_geotiff/A 35789-2022 georefererad karta.tif", "A 35789-2022")</f>
        <v/>
      </c>
      <c r="Z83">
        <f>HYPERLINK("https://klasma.github.io/Logging_0513/klagomål/A 35789-2022 FSC-klagomål.docx", "A 35789-2022")</f>
        <v/>
      </c>
      <c r="AA83">
        <f>HYPERLINK("https://klasma.github.io/Logging_0513/klagomålsmail/A 35789-2022 FSC-klagomål mail.docx", "A 35789-2022")</f>
        <v/>
      </c>
      <c r="AB83">
        <f>HYPERLINK("https://klasma.github.io/Logging_0513/tillsyn/A 35789-2022 tillsynsbegäran.docx", "A 35789-2022")</f>
        <v/>
      </c>
      <c r="AC83">
        <f>HYPERLINK("https://klasma.github.io/Logging_0513/tillsynsmail/A 35789-2022 tillsynsbegäran mail.docx", "A 35789-2022")</f>
        <v/>
      </c>
    </row>
    <row r="84" ht="15" customHeight="1">
      <c r="A84" t="inlineStr">
        <is>
          <t>A 29016-2026</t>
        </is>
      </c>
      <c r="B84" t="inlineStr">
        <is>
          <t>avverkningsanmälan</t>
        </is>
      </c>
      <c r="C84" t="inlineStr">
        <is>
          <t>Föryngringsavverkning</t>
        </is>
      </c>
      <c r="D84" s="1" t="n">
        <v>46199</v>
      </c>
      <c r="E84" s="1" t="n">
        <v>46223</v>
      </c>
      <c r="F84" t="inlineStr">
        <is>
          <t>ÖSTERGÖTLANDS LÄN</t>
        </is>
      </c>
      <c r="G84" t="inlineStr">
        <is>
          <t>KINDA</t>
        </is>
      </c>
      <c r="H84" t="inlineStr">
        <is>
          <t>Övriga Aktiebolag</t>
        </is>
      </c>
      <c r="I84" t="n">
        <v>5.1</v>
      </c>
      <c r="J84" t="n">
        <v>0</v>
      </c>
      <c r="K84" t="n">
        <v>0</v>
      </c>
      <c r="L84" t="n">
        <v>1</v>
      </c>
      <c r="M84" t="n">
        <v>0</v>
      </c>
      <c r="N84" t="n">
        <v>0</v>
      </c>
      <c r="O84" t="n">
        <v>0</v>
      </c>
      <c r="P84" t="n">
        <v>0</v>
      </c>
      <c r="Q84" t="n">
        <v>1</v>
      </c>
      <c r="R84" t="n">
        <v>0</v>
      </c>
      <c r="S84" t="n">
        <v>1</v>
      </c>
      <c r="T84" t="n">
        <v>1</v>
      </c>
      <c r="U84" s="2" t="inlineStr">
        <is>
          <t>Motaggsvamp</t>
        </is>
      </c>
      <c r="V84">
        <f>HYPERLINK("https://klasma.github.io/Logging_0513/artfynd/A 29016-2026 artfynd.xlsx", "A 29016-2026")</f>
        <v/>
      </c>
      <c r="W84">
        <f>HYPERLINK("https://klasma.github.io/Logging_0513/kartor/A 29016-2026 karta.png", "A 29016-2026")</f>
        <v/>
      </c>
      <c r="X84">
        <f>HYPERLINK("https://klasma.github.io/Logging_0513/kartor_geotiff/A 29016-2026 georefererad karta.tif", "A 29016-2026")</f>
        <v/>
      </c>
      <c r="Z84">
        <f>HYPERLINK("https://klasma.github.io/Logging_0513/klagomål/A 29016-2026 FSC-klagomål.docx", "A 29016-2026")</f>
        <v/>
      </c>
      <c r="AA84">
        <f>HYPERLINK("https://klasma.github.io/Logging_0513/klagomålsmail/A 29016-2026 FSC-klagomål mail.docx", "A 29016-2026")</f>
        <v/>
      </c>
      <c r="AB84">
        <f>HYPERLINK("https://klasma.github.io/Logging_0513/tillsyn/A 29016-2026 tillsynsbegäran.docx", "A 29016-2026")</f>
        <v/>
      </c>
      <c r="AC84">
        <f>HYPERLINK("https://klasma.github.io/Logging_0513/tillsynsmail/A 29016-2026 tillsynsbegäran mail.docx", "A 29016-2026")</f>
        <v/>
      </c>
    </row>
    <row r="85" ht="15" customHeight="1">
      <c r="A85" t="inlineStr">
        <is>
          <t>A 30112-2026</t>
        </is>
      </c>
      <c r="B85" t="inlineStr">
        <is>
          <t>avverkningsanmälan</t>
        </is>
      </c>
      <c r="C85" t="inlineStr">
        <is>
          <t>Föryngringsavverkning</t>
        </is>
      </c>
      <c r="D85" s="1" t="n">
        <v>46206</v>
      </c>
      <c r="E85" s="1" t="n">
        <v>46223</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s="2" t="inlineStr">
        <is>
          <t>Gröngöling</t>
        </is>
      </c>
      <c r="V85">
        <f>HYPERLINK("https://klasma.github.io/Logging_0513/artfynd/A 30112-2026 artfynd.xlsx", "A 30112-2026")</f>
        <v/>
      </c>
      <c r="W85">
        <f>HYPERLINK("https://klasma.github.io/Logging_0513/kartor/A 30112-2026 karta.png", "A 30112-2026")</f>
        <v/>
      </c>
      <c r="X85">
        <f>HYPERLINK("https://klasma.github.io/Logging_0513/kartor_geotiff/A 30112-2026 georefererad karta.tif", "A 30112-2026")</f>
        <v/>
      </c>
      <c r="Z85">
        <f>HYPERLINK("https://klasma.github.io/Logging_0513/klagomål/A 30112-2026 FSC-klagomål.docx", "A 30112-2026")</f>
        <v/>
      </c>
      <c r="AA85">
        <f>HYPERLINK("https://klasma.github.io/Logging_0513/klagomålsmail/A 30112-2026 FSC-klagomål mail.docx", "A 30112-2026")</f>
        <v/>
      </c>
      <c r="AB85">
        <f>HYPERLINK("https://klasma.github.io/Logging_0513/tillsyn/A 30112-2026 tillsynsbegäran.docx", "A 30112-2026")</f>
        <v/>
      </c>
      <c r="AC85">
        <f>HYPERLINK("https://klasma.github.io/Logging_0513/tillsynsmail/A 30112-2026 tillsynsbegäran mail.docx", "A 30112-2026")</f>
        <v/>
      </c>
    </row>
    <row r="86" ht="15" customHeight="1">
      <c r="A86" t="inlineStr">
        <is>
          <t>A 54475-2025</t>
        </is>
      </c>
      <c r="B86" t="inlineStr">
        <is>
          <t>avverkningsanmälan</t>
        </is>
      </c>
      <c r="C86" t="inlineStr">
        <is>
          <t>Föryngringsavverkning</t>
        </is>
      </c>
      <c r="D86" s="1" t="n">
        <v>45965</v>
      </c>
      <c r="E86" s="1" t="n">
        <v>46223</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s="2" t="inlineStr">
        <is>
          <t>Tibast</t>
        </is>
      </c>
      <c r="V86">
        <f>HYPERLINK("https://klasma.github.io/Logging_0513/artfynd/A 54475-2025 artfynd.xlsx", "A 54475-2025")</f>
        <v/>
      </c>
      <c r="W86">
        <f>HYPERLINK("https://klasma.github.io/Logging_0513/kartor/A 54475-2025 karta.png", "A 54475-2025")</f>
        <v/>
      </c>
      <c r="X86">
        <f>HYPERLINK("https://klasma.github.io/Logging_0513/kartor_geotiff/A 54475-2025 georefererad karta.tif", "A 54475-2025")</f>
        <v/>
      </c>
      <c r="Z86">
        <f>HYPERLINK("https://klasma.github.io/Logging_0513/klagomål/A 54475-2025 FSC-klagomål.docx", "A 54475-2025")</f>
        <v/>
      </c>
      <c r="AA86">
        <f>HYPERLINK("https://klasma.github.io/Logging_0513/klagomålsmail/A 54475-2025 FSC-klagomål mail.docx", "A 54475-2025")</f>
        <v/>
      </c>
      <c r="AB86">
        <f>HYPERLINK("https://klasma.github.io/Logging_0513/tillsyn/A 54475-2025 tillsynsbegäran.docx", "A 54475-2025")</f>
        <v/>
      </c>
      <c r="AC86">
        <f>HYPERLINK("https://klasma.github.io/Logging_0513/tillsynsmail/A 54475-2025 tillsynsbegäran mail.docx", "A 54475-2025")</f>
        <v/>
      </c>
    </row>
    <row r="87" ht="15" customHeight="1">
      <c r="A87" t="inlineStr">
        <is>
          <t>A 12801-2022</t>
        </is>
      </c>
      <c r="B87" t="inlineStr">
        <is>
          <t>avverkningsanmälan</t>
        </is>
      </c>
      <c r="C87" t="inlineStr">
        <is>
          <t>Föryngringsavverkning</t>
        </is>
      </c>
      <c r="D87" s="1" t="n">
        <v>44642</v>
      </c>
      <c r="E87" s="1" t="n">
        <v>46223</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s="2" t="inlineStr">
        <is>
          <t>Revlummer</t>
        </is>
      </c>
      <c r="V87">
        <f>HYPERLINK("https://klasma.github.io/Logging_0513/artfynd/A 12801-2022 artfynd.xlsx", "A 12801-2022")</f>
        <v/>
      </c>
      <c r="W87">
        <f>HYPERLINK("https://klasma.github.io/Logging_0513/kartor/A 12801-2022 karta.png", "A 12801-2022")</f>
        <v/>
      </c>
      <c r="X87">
        <f>HYPERLINK("https://klasma.github.io/Logging_0513/kartor_geotiff/A 12801-2022 georefererad karta.tif", "A 12801-2022")</f>
        <v/>
      </c>
      <c r="Z87">
        <f>HYPERLINK("https://klasma.github.io/Logging_0513/klagomål/A 12801-2022 FSC-klagomål.docx", "A 12801-2022")</f>
        <v/>
      </c>
      <c r="AA87">
        <f>HYPERLINK("https://klasma.github.io/Logging_0513/klagomålsmail/A 12801-2022 FSC-klagomål mail.docx", "A 12801-2022")</f>
        <v/>
      </c>
      <c r="AB87">
        <f>HYPERLINK("https://klasma.github.io/Logging_0513/tillsyn/A 12801-2022 tillsynsbegäran.docx", "A 12801-2022")</f>
        <v/>
      </c>
      <c r="AC87">
        <f>HYPERLINK("https://klasma.github.io/Logging_0513/tillsynsmail/A 12801-2022 tillsynsbegäran mail.docx", "A 12801-2022")</f>
        <v/>
      </c>
    </row>
    <row r="88" ht="15" customHeight="1">
      <c r="A88" t="inlineStr">
        <is>
          <t>A 25186-2026</t>
        </is>
      </c>
      <c r="B88" t="inlineStr">
        <is>
          <t>avverkningsanmälan</t>
        </is>
      </c>
      <c r="C88" t="inlineStr">
        <is>
          <t>Föryngringsavverkning</t>
        </is>
      </c>
      <c r="D88" s="1" t="n">
        <v>46175</v>
      </c>
      <c r="E88" s="1" t="n">
        <v>46223</v>
      </c>
      <c r="F88" t="inlineStr">
        <is>
          <t>ÖSTERGÖTLANDS LÄN</t>
        </is>
      </c>
      <c r="G88" t="inlineStr">
        <is>
          <t>KINDA</t>
        </is>
      </c>
      <c r="I88" t="n">
        <v>6</v>
      </c>
      <c r="J88" t="n">
        <v>1</v>
      </c>
      <c r="K88" t="n">
        <v>0</v>
      </c>
      <c r="L88" t="n">
        <v>0</v>
      </c>
      <c r="M88" t="n">
        <v>0</v>
      </c>
      <c r="N88" t="n">
        <v>0</v>
      </c>
      <c r="O88" t="n">
        <v>0</v>
      </c>
      <c r="P88" t="n">
        <v>0</v>
      </c>
      <c r="Q88" t="n">
        <v>0</v>
      </c>
      <c r="R88" t="n">
        <v>0</v>
      </c>
      <c r="S88" t="n">
        <v>1</v>
      </c>
      <c r="T88" t="n">
        <v>1</v>
      </c>
      <c r="U88" s="2" t="inlineStr">
        <is>
          <t>Fläcknycklar</t>
        </is>
      </c>
      <c r="V88">
        <f>HYPERLINK("https://klasma.github.io/Logging_0513/artfynd/A 25186-2026 artfynd.xlsx", "A 25186-2026")</f>
        <v/>
      </c>
      <c r="W88">
        <f>HYPERLINK("https://klasma.github.io/Logging_0513/kartor/A 25186-2026 karta.png", "A 25186-2026")</f>
        <v/>
      </c>
      <c r="X88">
        <f>HYPERLINK("https://klasma.github.io/Logging_0513/kartor_geotiff/A 25186-2026 georefererad karta.tif", "A 25186-2026")</f>
        <v/>
      </c>
      <c r="Z88">
        <f>HYPERLINK("https://klasma.github.io/Logging_0513/klagomål/A 25186-2026 FSC-klagomål.docx", "A 25186-2026")</f>
        <v/>
      </c>
      <c r="AA88">
        <f>HYPERLINK("https://klasma.github.io/Logging_0513/klagomålsmail/A 25186-2026 FSC-klagomål mail.docx", "A 25186-2026")</f>
        <v/>
      </c>
      <c r="AB88">
        <f>HYPERLINK("https://klasma.github.io/Logging_0513/tillsyn/A 25186-2026 tillsynsbegäran.docx", "A 25186-2026")</f>
        <v/>
      </c>
      <c r="AC88">
        <f>HYPERLINK("https://klasma.github.io/Logging_0513/tillsynsmail/A 25186-2026 tillsynsbegäran mail.docx", "A 25186-2026")</f>
        <v/>
      </c>
    </row>
    <row r="89" ht="15" customHeight="1">
      <c r="A89" t="inlineStr">
        <is>
          <t>A 24989-2026</t>
        </is>
      </c>
      <c r="B89" t="inlineStr">
        <is>
          <t>avverkningsanmälan</t>
        </is>
      </c>
      <c r="C89" t="inlineStr">
        <is>
          <t>Föryngringsavverkning</t>
        </is>
      </c>
      <c r="D89" s="1" t="n">
        <v>46174</v>
      </c>
      <c r="E89" s="1" t="n">
        <v>46223</v>
      </c>
      <c r="F89" t="inlineStr">
        <is>
          <t>ÖSTERGÖTLANDS LÄN</t>
        </is>
      </c>
      <c r="G89" t="inlineStr">
        <is>
          <t>KINDA</t>
        </is>
      </c>
      <c r="H89" t="inlineStr">
        <is>
          <t>Övriga Aktiebolag</t>
        </is>
      </c>
      <c r="I89" t="n">
        <v>7.8</v>
      </c>
      <c r="J89" t="n">
        <v>1</v>
      </c>
      <c r="K89" t="n">
        <v>0</v>
      </c>
      <c r="L89" t="n">
        <v>0</v>
      </c>
      <c r="M89" t="n">
        <v>0</v>
      </c>
      <c r="N89" t="n">
        <v>0</v>
      </c>
      <c r="O89" t="n">
        <v>0</v>
      </c>
      <c r="P89" t="n">
        <v>0</v>
      </c>
      <c r="Q89" t="n">
        <v>0</v>
      </c>
      <c r="R89" t="n">
        <v>0</v>
      </c>
      <c r="S89" t="n">
        <v>1</v>
      </c>
      <c r="T89" t="n">
        <v>1</v>
      </c>
      <c r="U89" s="2" t="inlineStr">
        <is>
          <t>Grönvit nattviol</t>
        </is>
      </c>
      <c r="V89">
        <f>HYPERLINK("https://klasma.github.io/Logging_0513/artfynd/A 24989-2026 artfynd.xlsx", "A 24989-2026")</f>
        <v/>
      </c>
      <c r="W89">
        <f>HYPERLINK("https://klasma.github.io/Logging_0513/kartor/A 24989-2026 karta.png", "A 24989-2026")</f>
        <v/>
      </c>
      <c r="X89">
        <f>HYPERLINK("https://klasma.github.io/Logging_0513/kartor_geotiff/A 24989-2026 georefererad karta.tif", "A 24989-2026")</f>
        <v/>
      </c>
      <c r="Z89">
        <f>HYPERLINK("https://klasma.github.io/Logging_0513/klagomål/A 24989-2026 FSC-klagomål.docx", "A 24989-2026")</f>
        <v/>
      </c>
      <c r="AA89">
        <f>HYPERLINK("https://klasma.github.io/Logging_0513/klagomålsmail/A 24989-2026 FSC-klagomål mail.docx", "A 24989-2026")</f>
        <v/>
      </c>
      <c r="AB89">
        <f>HYPERLINK("https://klasma.github.io/Logging_0513/tillsyn/A 24989-2026 tillsynsbegäran.docx", "A 24989-2026")</f>
        <v/>
      </c>
      <c r="AC89">
        <f>HYPERLINK("https://klasma.github.io/Logging_0513/tillsynsmail/A 24989-2026 tillsynsbegäran mail.docx", "A 24989-2026")</f>
        <v/>
      </c>
    </row>
    <row r="90" ht="15" customHeight="1">
      <c r="A90" t="inlineStr">
        <is>
          <t>A 25016-2026</t>
        </is>
      </c>
      <c r="B90" t="inlineStr">
        <is>
          <t>avverkningsanmälan</t>
        </is>
      </c>
      <c r="C90" t="inlineStr">
        <is>
          <t>Föryngringsavverkning</t>
        </is>
      </c>
      <c r="D90" s="1" t="n">
        <v>46174</v>
      </c>
      <c r="E90" s="1" t="n">
        <v>46223</v>
      </c>
      <c r="F90" t="inlineStr">
        <is>
          <t>ÖSTERGÖTLANDS LÄN</t>
        </is>
      </c>
      <c r="G90" t="inlineStr">
        <is>
          <t>KINDA</t>
        </is>
      </c>
      <c r="H90" t="inlineStr">
        <is>
          <t>Övriga Aktiebolag</t>
        </is>
      </c>
      <c r="I90" t="n">
        <v>0.4</v>
      </c>
      <c r="J90" t="n">
        <v>1</v>
      </c>
      <c r="K90" t="n">
        <v>0</v>
      </c>
      <c r="L90" t="n">
        <v>0</v>
      </c>
      <c r="M90" t="n">
        <v>0</v>
      </c>
      <c r="N90" t="n">
        <v>0</v>
      </c>
      <c r="O90" t="n">
        <v>0</v>
      </c>
      <c r="P90" t="n">
        <v>0</v>
      </c>
      <c r="Q90" t="n">
        <v>0</v>
      </c>
      <c r="R90" t="n">
        <v>0</v>
      </c>
      <c r="S90" t="n">
        <v>1</v>
      </c>
      <c r="T90" t="n">
        <v>1</v>
      </c>
      <c r="U90" s="2" t="inlineStr">
        <is>
          <t>Grönvit nattviol</t>
        </is>
      </c>
      <c r="V90">
        <f>HYPERLINK("https://klasma.github.io/Logging_0513/artfynd/A 25016-2026 artfynd.xlsx", "A 25016-2026")</f>
        <v/>
      </c>
      <c r="W90">
        <f>HYPERLINK("https://klasma.github.io/Logging_0513/kartor/A 25016-2026 karta.png", "A 25016-2026")</f>
        <v/>
      </c>
      <c r="X90">
        <f>HYPERLINK("https://klasma.github.io/Logging_0513/kartor_geotiff/A 25016-2026 georefererad karta.tif", "A 25016-2026")</f>
        <v/>
      </c>
      <c r="Z90">
        <f>HYPERLINK("https://klasma.github.io/Logging_0513/klagomål/A 25016-2026 FSC-klagomål.docx", "A 25016-2026")</f>
        <v/>
      </c>
      <c r="AA90">
        <f>HYPERLINK("https://klasma.github.io/Logging_0513/klagomålsmail/A 25016-2026 FSC-klagomål mail.docx", "A 25016-2026")</f>
        <v/>
      </c>
      <c r="AB90">
        <f>HYPERLINK("https://klasma.github.io/Logging_0513/tillsyn/A 25016-2026 tillsynsbegäran.docx", "A 25016-2026")</f>
        <v/>
      </c>
      <c r="AC90">
        <f>HYPERLINK("https://klasma.github.io/Logging_0513/tillsynsmail/A 25016-2026 tillsynsbegäran mail.docx", "A 25016-2026")</f>
        <v/>
      </c>
    </row>
    <row r="91" ht="15" customHeight="1">
      <c r="A91" t="inlineStr">
        <is>
          <t>S 1490-2024</t>
        </is>
      </c>
      <c r="B91" t="inlineStr">
        <is>
          <t>samrådsanmälan</t>
        </is>
      </c>
      <c r="C91" t="inlineStr">
        <is>
          <t>Annan skogsbruksåtgärd</t>
        </is>
      </c>
      <c r="D91" s="1" t="n">
        <v>45420</v>
      </c>
      <c r="E91" s="1" t="n">
        <v>46223</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s="2" t="inlineStr">
        <is>
          <t>Sårläka</t>
        </is>
      </c>
      <c r="V91">
        <f>HYPERLINK("https://klasma.github.io/Logging_0513/artfynd/S 1490-2024 artfynd.xlsx", "S 1490-2024")</f>
        <v/>
      </c>
      <c r="W91">
        <f>HYPERLINK("https://klasma.github.io/Logging_0513/kartor/S 1490-2024 karta.png", "S 1490-2024")</f>
        <v/>
      </c>
      <c r="X91">
        <f>HYPERLINK("https://klasma.github.io/Logging_0513/kartor_geotiff/S 1490-2024 georefererad karta.tif", "S 1490-2024")</f>
        <v/>
      </c>
      <c r="Z91">
        <f>HYPERLINK("https://klasma.github.io/Logging_0513/klagomål/S 1490-2024 FSC-klagomål.docx", "S 1490-2024")</f>
        <v/>
      </c>
      <c r="AA91">
        <f>HYPERLINK("https://klasma.github.io/Logging_0513/klagomålsmail/S 1490-2024 FSC-klagomål mail.docx", "S 1490-2024")</f>
        <v/>
      </c>
      <c r="AB91">
        <f>HYPERLINK("https://klasma.github.io/Logging_0513/tillsyn/S 1490-2024 tillsynsbegäran.docx", "S 1490-2024")</f>
        <v/>
      </c>
      <c r="AC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46223</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s="2" t="inlineStr">
        <is>
          <t>Blek kraterlav</t>
        </is>
      </c>
      <c r="V92">
        <f>HYPERLINK("https://klasma.github.io/Logging_0513/artfynd/S 1390-2024 artfynd.xlsx", "S 1390-2024")</f>
        <v/>
      </c>
      <c r="W92">
        <f>HYPERLINK("https://klasma.github.io/Logging_0513/kartor/S 1390-2024 karta.png", "S 1390-2024")</f>
        <v/>
      </c>
      <c r="X92">
        <f>HYPERLINK("https://klasma.github.io/Logging_0513/kartor_geotiff/S 1390-2024 georefererad karta.tif", "S 1390-2024")</f>
        <v/>
      </c>
      <c r="Z92">
        <f>HYPERLINK("https://klasma.github.io/Logging_0513/klagomål/S 1390-2024 FSC-klagomål.docx", "S 1390-2024")</f>
        <v/>
      </c>
      <c r="AA92">
        <f>HYPERLINK("https://klasma.github.io/Logging_0513/klagomålsmail/S 1390-2024 FSC-klagomål mail.docx", "S 1390-2024")</f>
        <v/>
      </c>
      <c r="AB92">
        <f>HYPERLINK("https://klasma.github.io/Logging_0513/tillsyn/S 1390-2024 tillsynsbegäran.docx", "S 1390-2024")</f>
        <v/>
      </c>
      <c r="AC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46223</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s="2" t="inlineStr"/>
    </row>
    <row r="94" ht="15" customHeight="1">
      <c r="A94" t="inlineStr">
        <is>
          <t>A 52207-2021</t>
        </is>
      </c>
      <c r="B94" t="inlineStr">
        <is>
          <t>avverkningsanmälan</t>
        </is>
      </c>
      <c r="C94" t="inlineStr">
        <is>
          <t>Föryngringsavverkning</t>
        </is>
      </c>
      <c r="D94" s="1" t="n">
        <v>44463</v>
      </c>
      <c r="E94" s="1" t="n">
        <v>46223</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s="2" t="inlineStr"/>
    </row>
    <row r="95" ht="15" customHeight="1">
      <c r="A95" t="inlineStr">
        <is>
          <t>A 40051-2021</t>
        </is>
      </c>
      <c r="B95" t="inlineStr">
        <is>
          <t>avverkningsanmälan</t>
        </is>
      </c>
      <c r="C95" t="inlineStr">
        <is>
          <t>Föryngringsavverkning</t>
        </is>
      </c>
      <c r="D95" s="1" t="n">
        <v>44418</v>
      </c>
      <c r="E95" s="1" t="n">
        <v>46223</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s="2" t="inlineStr"/>
    </row>
    <row r="96" ht="15" customHeight="1">
      <c r="A96" t="inlineStr">
        <is>
          <t>A 39417-2022</t>
        </is>
      </c>
      <c r="B96" t="inlineStr">
        <is>
          <t>avverkningsanmälan</t>
        </is>
      </c>
      <c r="C96" t="inlineStr">
        <is>
          <t>Föryngringsavverkning</t>
        </is>
      </c>
      <c r="D96" s="1" t="n">
        <v>44817</v>
      </c>
      <c r="E96" s="1" t="n">
        <v>46223</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46223</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47168-2022</t>
        </is>
      </c>
      <c r="B98" t="inlineStr">
        <is>
          <t>avverkningsanmälan</t>
        </is>
      </c>
      <c r="C98" t="inlineStr">
        <is>
          <t>Föryngringsavverkning</t>
        </is>
      </c>
      <c r="D98" s="1" t="n">
        <v>44852</v>
      </c>
      <c r="E98" s="1" t="n">
        <v>46223</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s="2" t="inlineStr"/>
    </row>
    <row r="99" ht="15" customHeight="1">
      <c r="A99" t="inlineStr">
        <is>
          <t>A 31817-2022</t>
        </is>
      </c>
      <c r="B99" t="inlineStr">
        <is>
          <t>avverkningsanmälan</t>
        </is>
      </c>
      <c r="C99" t="inlineStr">
        <is>
          <t>Föryngringsavverkning</t>
        </is>
      </c>
      <c r="D99" s="1" t="n">
        <v>44776</v>
      </c>
      <c r="E99" s="1" t="n">
        <v>46223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45170-2021</t>
        </is>
      </c>
      <c r="B100" t="inlineStr">
        <is>
          <t>avverkningsanmälan</t>
        </is>
      </c>
      <c r="C100" t="inlineStr">
        <is>
          <t>Föryngringsavverkning</t>
        </is>
      </c>
      <c r="D100" s="1" t="n">
        <v>44439</v>
      </c>
      <c r="E100" s="1" t="n">
        <v>46223</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56725-2021</t>
        </is>
      </c>
      <c r="B101" t="inlineStr">
        <is>
          <t>avverkningsanmälan</t>
        </is>
      </c>
      <c r="C101" t="inlineStr">
        <is>
          <t>Föryngringsavverkning</t>
        </is>
      </c>
      <c r="D101" s="1" t="n">
        <v>44481</v>
      </c>
      <c r="E101" s="1" t="n">
        <v>46223</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57950-2021</t>
        </is>
      </c>
      <c r="B102" t="inlineStr">
        <is>
          <t>avverkningsanmälan</t>
        </is>
      </c>
      <c r="C102" t="inlineStr">
        <is>
          <t>Föryngringsavverkning</t>
        </is>
      </c>
      <c r="D102" s="1" t="n">
        <v>44484</v>
      </c>
      <c r="E102" s="1" t="n">
        <v>46223</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27774-2022</t>
        </is>
      </c>
      <c r="B103" t="inlineStr">
        <is>
          <t>avverkningsanmälan</t>
        </is>
      </c>
      <c r="C103" t="inlineStr">
        <is>
          <t>Föryngringsavverkning</t>
        </is>
      </c>
      <c r="D103" s="1" t="n">
        <v>44743</v>
      </c>
      <c r="E103" s="1" t="n">
        <v>46223</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38948-2021</t>
        </is>
      </c>
      <c r="B104" t="inlineStr">
        <is>
          <t>avverkningsanmälan</t>
        </is>
      </c>
      <c r="C104" t="inlineStr">
        <is>
          <t>Föryngringsavverkning</t>
        </is>
      </c>
      <c r="D104" s="1" t="n">
        <v>44411</v>
      </c>
      <c r="E104" s="1" t="n">
        <v>46223</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57496-2021</t>
        </is>
      </c>
      <c r="B105" t="inlineStr">
        <is>
          <t>avverkningsanmälan</t>
        </is>
      </c>
      <c r="C105" t="inlineStr">
        <is>
          <t>Föryngringsavverkning</t>
        </is>
      </c>
      <c r="D105" s="1" t="n">
        <v>44483</v>
      </c>
      <c r="E105" s="1" t="n">
        <v>46223</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644-2022</t>
        </is>
      </c>
      <c r="B106" t="inlineStr">
        <is>
          <t>avverkningsanmälan</t>
        </is>
      </c>
      <c r="C106" t="inlineStr">
        <is>
          <t>Föryngringsavverkning</t>
        </is>
      </c>
      <c r="D106" s="1" t="n">
        <v>44568</v>
      </c>
      <c r="E106" s="1" t="n">
        <v>46223</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3886-2022</t>
        </is>
      </c>
      <c r="B107" t="inlineStr">
        <is>
          <t>avverkningsanmälan</t>
        </is>
      </c>
      <c r="C107" t="inlineStr">
        <is>
          <t>Föryngringsavverkning</t>
        </is>
      </c>
      <c r="D107" s="1" t="n">
        <v>44587</v>
      </c>
      <c r="E107" s="1" t="n">
        <v>46223</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25188-2022</t>
        </is>
      </c>
      <c r="B108" t="inlineStr">
        <is>
          <t>avverkningsanmälan</t>
        </is>
      </c>
      <c r="C108" t="inlineStr">
        <is>
          <t>Föryngringsavverkning</t>
        </is>
      </c>
      <c r="D108" s="1" t="n">
        <v>44729</v>
      </c>
      <c r="E108" s="1" t="n">
        <v>46223</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s="2" t="inlineStr"/>
    </row>
    <row r="109" ht="15" customHeight="1">
      <c r="A109" t="inlineStr">
        <is>
          <t>A 39552-2021</t>
        </is>
      </c>
      <c r="B109" t="inlineStr">
        <is>
          <t>avverkningsanmälan</t>
        </is>
      </c>
      <c r="C109" t="inlineStr">
        <is>
          <t>Föryngringsavverkning</t>
        </is>
      </c>
      <c r="D109" s="1" t="n">
        <v>44416</v>
      </c>
      <c r="E109" s="1" t="n">
        <v>46223</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43508-2021</t>
        </is>
      </c>
      <c r="B110" t="inlineStr">
        <is>
          <t>avverkningsanmälan</t>
        </is>
      </c>
      <c r="C110" t="inlineStr">
        <is>
          <t>Föryngringsavverkning</t>
        </is>
      </c>
      <c r="D110" s="1" t="n">
        <v>44433</v>
      </c>
      <c r="E110" s="1" t="n">
        <v>46223</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65715-2021</t>
        </is>
      </c>
      <c r="B111" t="inlineStr">
        <is>
          <t>avverkningsanmälan</t>
        </is>
      </c>
      <c r="C111" t="inlineStr">
        <is>
          <t>Föryngringsavverkning</t>
        </is>
      </c>
      <c r="D111" s="1" t="n">
        <v>44516</v>
      </c>
      <c r="E111" s="1" t="n">
        <v>46223</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35653-2022</t>
        </is>
      </c>
      <c r="B112" t="inlineStr">
        <is>
          <t>avverkningsanmälan</t>
        </is>
      </c>
      <c r="C112" t="inlineStr">
        <is>
          <t>Föryngringsavverkning</t>
        </is>
      </c>
      <c r="D112" s="1" t="n">
        <v>44799</v>
      </c>
      <c r="E112" s="1" t="n">
        <v>46223</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32497-2022</t>
        </is>
      </c>
      <c r="B113" t="inlineStr">
        <is>
          <t>avverkningsanmälan</t>
        </is>
      </c>
      <c r="C113" t="inlineStr">
        <is>
          <t>Föryngringsavverkning</t>
        </is>
      </c>
      <c r="D113" s="1" t="n">
        <v>44782</v>
      </c>
      <c r="E113" s="1" t="n">
        <v>46223</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47579-2021</t>
        </is>
      </c>
      <c r="B114" t="inlineStr">
        <is>
          <t>avverkningsanmälan</t>
        </is>
      </c>
      <c r="C114" t="inlineStr">
        <is>
          <t>Föryngringsavverkning</t>
        </is>
      </c>
      <c r="D114" s="1" t="n">
        <v>44447</v>
      </c>
      <c r="E114" s="1" t="n">
        <v>46223</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26614-2022</t>
        </is>
      </c>
      <c r="B115" t="inlineStr">
        <is>
          <t>avverkningsanmälan</t>
        </is>
      </c>
      <c r="C115" t="inlineStr">
        <is>
          <t>Föryngringsavverkning</t>
        </is>
      </c>
      <c r="D115" s="1" t="n">
        <v>44739</v>
      </c>
      <c r="E115" s="1" t="n">
        <v>46223</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3877-2022</t>
        </is>
      </c>
      <c r="B116" t="inlineStr">
        <is>
          <t>avverkningsanmälan</t>
        </is>
      </c>
      <c r="C116" t="inlineStr">
        <is>
          <t>Föryngringsavverkning</t>
        </is>
      </c>
      <c r="D116" s="1" t="n">
        <v>44587</v>
      </c>
      <c r="E116" s="1" t="n">
        <v>46223</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52382-2021</t>
        </is>
      </c>
      <c r="B117" t="inlineStr">
        <is>
          <t>avverkningsanmälan</t>
        </is>
      </c>
      <c r="C117" t="inlineStr">
        <is>
          <t>Föryngringsavverkning</t>
        </is>
      </c>
      <c r="D117" s="1" t="n">
        <v>44465</v>
      </c>
      <c r="E117" s="1" t="n">
        <v>46223</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52957-2021</t>
        </is>
      </c>
      <c r="B118" t="inlineStr">
        <is>
          <t>avverkningsanmälan</t>
        </is>
      </c>
      <c r="C118" t="inlineStr">
        <is>
          <t>Föryngringsavverkning</t>
        </is>
      </c>
      <c r="D118" s="1" t="n">
        <v>44467</v>
      </c>
      <c r="E118" s="1" t="n">
        <v>46223</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52661-2021</t>
        </is>
      </c>
      <c r="B119" t="inlineStr">
        <is>
          <t>avverkningsanmälan</t>
        </is>
      </c>
      <c r="C119" t="inlineStr">
        <is>
          <t>Föryngringsavverkning</t>
        </is>
      </c>
      <c r="D119" s="1" t="n">
        <v>44466</v>
      </c>
      <c r="E119" s="1" t="n">
        <v>46223</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52665-2021</t>
        </is>
      </c>
      <c r="B120" t="inlineStr">
        <is>
          <t>avverkningsanmälan</t>
        </is>
      </c>
      <c r="C120" t="inlineStr">
        <is>
          <t>Föryngringsavverkning</t>
        </is>
      </c>
      <c r="D120" s="1" t="n">
        <v>44466</v>
      </c>
      <c r="E120" s="1" t="n">
        <v>46223</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66028-2021</t>
        </is>
      </c>
      <c r="B121" t="inlineStr">
        <is>
          <t>avverkningsanmälan</t>
        </is>
      </c>
      <c r="C121" t="inlineStr">
        <is>
          <t>Föryngringsavverkning</t>
        </is>
      </c>
      <c r="D121" s="1" t="n">
        <v>44517</v>
      </c>
      <c r="E121" s="1" t="n">
        <v>46223</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49444-2021</t>
        </is>
      </c>
      <c r="B122" t="inlineStr">
        <is>
          <t>avverkningsanmälan</t>
        </is>
      </c>
      <c r="C122" t="inlineStr">
        <is>
          <t>Föryngringsavverkning</t>
        </is>
      </c>
      <c r="D122" s="1" t="n">
        <v>44454</v>
      </c>
      <c r="E122" s="1" t="n">
        <v>46223</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6389-2022</t>
        </is>
      </c>
      <c r="B123" t="inlineStr">
        <is>
          <t>avverkningsanmälan</t>
        </is>
      </c>
      <c r="C123" t="inlineStr">
        <is>
          <t>Föryngringsavverkning</t>
        </is>
      </c>
      <c r="D123" s="1" t="n">
        <v>44600</v>
      </c>
      <c r="E123" s="1" t="n">
        <v>46223</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26604-2022</t>
        </is>
      </c>
      <c r="B124" t="inlineStr">
        <is>
          <t>avverkningsanmälan</t>
        </is>
      </c>
      <c r="C124" t="inlineStr">
        <is>
          <t>Föryngringsavverkning</t>
        </is>
      </c>
      <c r="D124" s="1" t="n">
        <v>44739</v>
      </c>
      <c r="E124" s="1" t="n">
        <v>46223</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26021-2022</t>
        </is>
      </c>
      <c r="B125" t="inlineStr">
        <is>
          <t>avverkningsanmälan</t>
        </is>
      </c>
      <c r="C125" t="inlineStr">
        <is>
          <t>Föryngringsavverkning</t>
        </is>
      </c>
      <c r="D125" s="1" t="n">
        <v>44734</v>
      </c>
      <c r="E125" s="1" t="n">
        <v>46223</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s="2" t="inlineStr"/>
    </row>
    <row r="126" ht="15" customHeight="1">
      <c r="A126" t="inlineStr">
        <is>
          <t>A 47051-2022</t>
        </is>
      </c>
      <c r="B126" t="inlineStr">
        <is>
          <t>avverkningsanmälan</t>
        </is>
      </c>
      <c r="C126" t="inlineStr">
        <is>
          <t>Föryngringsavverkning</t>
        </is>
      </c>
      <c r="D126" s="1" t="n">
        <v>44852</v>
      </c>
      <c r="E126" s="1" t="n">
        <v>46223</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49349-2022</t>
        </is>
      </c>
      <c r="B127" t="inlineStr">
        <is>
          <t>avverkningsanmälan</t>
        </is>
      </c>
      <c r="C127" t="inlineStr">
        <is>
          <t>Föryngringsavverkning</t>
        </is>
      </c>
      <c r="D127" s="1" t="n">
        <v>44861</v>
      </c>
      <c r="E127" s="1" t="n">
        <v>46223</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9468-2022</t>
        </is>
      </c>
      <c r="B128" t="inlineStr">
        <is>
          <t>avverkningsanmälan</t>
        </is>
      </c>
      <c r="C128" t="inlineStr">
        <is>
          <t>Föryngringsavverkning</t>
        </is>
      </c>
      <c r="D128" s="1" t="n">
        <v>44616</v>
      </c>
      <c r="E128" s="1" t="n">
        <v>46223</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46686-2021</t>
        </is>
      </c>
      <c r="B129" t="inlineStr">
        <is>
          <t>avverkningsanmälan</t>
        </is>
      </c>
      <c r="C129" t="inlineStr">
        <is>
          <t>Föryngringsavverkning</t>
        </is>
      </c>
      <c r="D129" s="1" t="n">
        <v>44445</v>
      </c>
      <c r="E129" s="1" t="n">
        <v>46223</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57657-2021</t>
        </is>
      </c>
      <c r="B130" t="inlineStr">
        <is>
          <t>avverkningsanmälan</t>
        </is>
      </c>
      <c r="C130" t="inlineStr">
        <is>
          <t>Föryngringsavverkning</t>
        </is>
      </c>
      <c r="D130" s="1" t="n">
        <v>44484</v>
      </c>
      <c r="E130" s="1" t="n">
        <v>46223</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s="2" t="inlineStr"/>
    </row>
    <row r="131" ht="15" customHeight="1">
      <c r="A131" t="inlineStr">
        <is>
          <t>A 34815-2022</t>
        </is>
      </c>
      <c r="B131" t="inlineStr">
        <is>
          <t>avverkningsanmälan</t>
        </is>
      </c>
      <c r="C131" t="inlineStr">
        <is>
          <t>Föryngringsavverkning</t>
        </is>
      </c>
      <c r="D131" s="1" t="n">
        <v>44796</v>
      </c>
      <c r="E131" s="1" t="n">
        <v>46223</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44160-2022</t>
        </is>
      </c>
      <c r="B132" t="inlineStr">
        <is>
          <t>avverkningsanmälan</t>
        </is>
      </c>
      <c r="C132" t="inlineStr">
        <is>
          <t>Föryngringsavverkning</t>
        </is>
      </c>
      <c r="D132" s="1" t="n">
        <v>44837</v>
      </c>
      <c r="E132" s="1" t="n">
        <v>46223</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52663-2021</t>
        </is>
      </c>
      <c r="B133" t="inlineStr">
        <is>
          <t>avverkningsanmälan</t>
        </is>
      </c>
      <c r="C133" t="inlineStr">
        <is>
          <t>Föryngringsavverkning</t>
        </is>
      </c>
      <c r="D133" s="1" t="n">
        <v>44466</v>
      </c>
      <c r="E133" s="1" t="n">
        <v>46223</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40246-2021</t>
        </is>
      </c>
      <c r="B134" t="inlineStr">
        <is>
          <t>avverkningsanmälan</t>
        </is>
      </c>
      <c r="C134" t="inlineStr">
        <is>
          <t>Föryngringsavverkning</t>
        </is>
      </c>
      <c r="D134" s="1" t="n">
        <v>44419</v>
      </c>
      <c r="E134" s="1" t="n">
        <v>46223</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43467-2022</t>
        </is>
      </c>
      <c r="B135" t="inlineStr">
        <is>
          <t>avverkningsanmälan</t>
        </is>
      </c>
      <c r="C135" t="inlineStr">
        <is>
          <t>Föryngringsavverkning</t>
        </is>
      </c>
      <c r="D135" s="1" t="n">
        <v>44836</v>
      </c>
      <c r="E135" s="1" t="n">
        <v>46223</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44303-2022</t>
        </is>
      </c>
      <c r="B136" t="inlineStr">
        <is>
          <t>avverkningsanmälan</t>
        </is>
      </c>
      <c r="C136" t="inlineStr">
        <is>
          <t>Föryngringsavverkning</t>
        </is>
      </c>
      <c r="D136" s="1" t="n">
        <v>44839</v>
      </c>
      <c r="E136" s="1" t="n">
        <v>46223</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25670-2022</t>
        </is>
      </c>
      <c r="B137" t="inlineStr">
        <is>
          <t>avverkningsanmälan</t>
        </is>
      </c>
      <c r="C137" t="inlineStr">
        <is>
          <t>Föryngringsavverkning</t>
        </is>
      </c>
      <c r="D137" s="1" t="n">
        <v>44733</v>
      </c>
      <c r="E137" s="1" t="n">
        <v>46223</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22687-2022</t>
        </is>
      </c>
      <c r="B138" t="inlineStr">
        <is>
          <t>avverkningsanmälan</t>
        </is>
      </c>
      <c r="C138" t="inlineStr">
        <is>
          <t>Föryngringsavverkning</t>
        </is>
      </c>
      <c r="D138" s="1" t="n">
        <v>44714</v>
      </c>
      <c r="E138" s="1" t="n">
        <v>46223</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53493-2022</t>
        </is>
      </c>
      <c r="B139" t="inlineStr">
        <is>
          <t>avverkningsanmälan</t>
        </is>
      </c>
      <c r="C139" t="inlineStr">
        <is>
          <t>Föryngringsavverkning</t>
        </is>
      </c>
      <c r="D139" s="1" t="n">
        <v>44874</v>
      </c>
      <c r="E139" s="1" t="n">
        <v>46223</v>
      </c>
      <c r="F139" t="inlineStr">
        <is>
          <t>ÖSTERGÖTLANDS LÄN</t>
        </is>
      </c>
      <c r="G139" t="inlineStr">
        <is>
          <t>KINDA</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48386-2021</t>
        </is>
      </c>
      <c r="B140" t="inlineStr">
        <is>
          <t>avverkningsanmälan</t>
        </is>
      </c>
      <c r="C140" t="inlineStr">
        <is>
          <t>Föryngringsavverkning</t>
        </is>
      </c>
      <c r="D140" s="1" t="n">
        <v>44451</v>
      </c>
      <c r="E140" s="1" t="n">
        <v>46223</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57497-2021</t>
        </is>
      </c>
      <c r="B141" t="inlineStr">
        <is>
          <t>avverkningsanmälan</t>
        </is>
      </c>
      <c r="C141" t="inlineStr">
        <is>
          <t>Föryngringsavverkning</t>
        </is>
      </c>
      <c r="D141" s="1" t="n">
        <v>44483</v>
      </c>
      <c r="E141" s="1" t="n">
        <v>46223</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74446-2021</t>
        </is>
      </c>
      <c r="B142" t="inlineStr">
        <is>
          <t>avverkningsanmälan</t>
        </is>
      </c>
      <c r="C142" t="inlineStr">
        <is>
          <t>Föryngringsavverkning</t>
        </is>
      </c>
      <c r="D142" s="1" t="n">
        <v>44560</v>
      </c>
      <c r="E142" s="1" t="n">
        <v>46223</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57894-2021</t>
        </is>
      </c>
      <c r="B143" t="inlineStr">
        <is>
          <t>avverkningsanmälan</t>
        </is>
      </c>
      <c r="C143" t="inlineStr">
        <is>
          <t>Föryngringsavverkning</t>
        </is>
      </c>
      <c r="D143" s="1" t="n">
        <v>44486</v>
      </c>
      <c r="E143" s="1" t="n">
        <v>46223</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23614-2022</t>
        </is>
      </c>
      <c r="B144" t="inlineStr">
        <is>
          <t>avverkningsanmälan</t>
        </is>
      </c>
      <c r="C144" t="inlineStr">
        <is>
          <t>Föryngringsavverkning</t>
        </is>
      </c>
      <c r="D144" s="1" t="n">
        <v>44721</v>
      </c>
      <c r="E144" s="1" t="n">
        <v>46223</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52048-2022</t>
        </is>
      </c>
      <c r="B145" t="inlineStr">
        <is>
          <t>avverkningsanmälan</t>
        </is>
      </c>
      <c r="C145" t="inlineStr">
        <is>
          <t>Föryngringsavverkning</t>
        </is>
      </c>
      <c r="D145" s="1" t="n">
        <v>44873</v>
      </c>
      <c r="E145" s="1" t="n">
        <v>46223</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19897-2022</t>
        </is>
      </c>
      <c r="B146" t="inlineStr">
        <is>
          <t>avverkningsanmälan</t>
        </is>
      </c>
      <c r="C146" t="inlineStr">
        <is>
          <t>Föryngringsavverkning</t>
        </is>
      </c>
      <c r="D146" s="1" t="n">
        <v>44697</v>
      </c>
      <c r="E146" s="1" t="n">
        <v>46223</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36826-2022</t>
        </is>
      </c>
      <c r="B147" t="inlineStr">
        <is>
          <t>avverkningsanmälan</t>
        </is>
      </c>
      <c r="C147" t="inlineStr">
        <is>
          <t>Föryngringsavverkning</t>
        </is>
      </c>
      <c r="D147" s="1" t="n">
        <v>44805</v>
      </c>
      <c r="E147" s="1" t="n">
        <v>46223</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21148-2022</t>
        </is>
      </c>
      <c r="B148" t="inlineStr">
        <is>
          <t>avverkningsanmälan</t>
        </is>
      </c>
      <c r="C148" t="inlineStr">
        <is>
          <t>Föryngringsavverkning</t>
        </is>
      </c>
      <c r="D148" s="1" t="n">
        <v>44704</v>
      </c>
      <c r="E148" s="1" t="n">
        <v>46223</v>
      </c>
      <c r="F148" t="inlineStr">
        <is>
          <t>ÖSTERGÖTLANDS LÄN</t>
        </is>
      </c>
      <c r="G148" t="inlineStr">
        <is>
          <t>KINDA</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7142-2022</t>
        </is>
      </c>
      <c r="B149" t="inlineStr">
        <is>
          <t>avverkningsanmälan</t>
        </is>
      </c>
      <c r="C149" t="inlineStr">
        <is>
          <t>Föryngringsavverkning</t>
        </is>
      </c>
      <c r="D149" s="1" t="n">
        <v>44603</v>
      </c>
      <c r="E149" s="1" t="n">
        <v>46223</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23248-2022</t>
        </is>
      </c>
      <c r="B150" t="inlineStr">
        <is>
          <t>avverkningsanmälan</t>
        </is>
      </c>
      <c r="C150" t="inlineStr">
        <is>
          <t>Föryngringsavverkning</t>
        </is>
      </c>
      <c r="D150" s="1" t="n">
        <v>44720</v>
      </c>
      <c r="E150" s="1" t="n">
        <v>46223</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10935-2023</t>
        </is>
      </c>
      <c r="B151" t="inlineStr">
        <is>
          <t>avverkningsanmälan</t>
        </is>
      </c>
      <c r="C151" t="inlineStr">
        <is>
          <t>Föryngringsavverkning</t>
        </is>
      </c>
      <c r="D151" s="1" t="n">
        <v>44991</v>
      </c>
      <c r="E151" s="1" t="n">
        <v>46223</v>
      </c>
      <c r="F151" t="inlineStr">
        <is>
          <t>ÖSTERGÖTLANDS LÄN</t>
        </is>
      </c>
      <c r="G151" t="inlineStr">
        <is>
          <t>KINDA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33562-2022</t>
        </is>
      </c>
      <c r="B152" t="inlineStr">
        <is>
          <t>avverkningsanmälan</t>
        </is>
      </c>
      <c r="C152" t="inlineStr">
        <is>
          <t>Föryngringsavverkning</t>
        </is>
      </c>
      <c r="D152" s="1" t="n">
        <v>44789</v>
      </c>
      <c r="E152" s="1" t="n">
        <v>46223</v>
      </c>
      <c r="F152" t="inlineStr">
        <is>
          <t>ÖSTERGÖTLANDS LÄN</t>
        </is>
      </c>
      <c r="G152" t="inlineStr">
        <is>
          <t>KINDA</t>
        </is>
      </c>
      <c r="I152" t="n">
        <v>0</v>
      </c>
      <c r="J152" t="n">
        <v>0</v>
      </c>
      <c r="K152" t="n">
        <v>0</v>
      </c>
      <c r="L152" t="n">
        <v>0</v>
      </c>
      <c r="M152" t="n">
        <v>0</v>
      </c>
      <c r="N152" t="n">
        <v>0</v>
      </c>
      <c r="O152" t="n">
        <v>0</v>
      </c>
      <c r="P152" t="n">
        <v>0</v>
      </c>
      <c r="Q152" t="n">
        <v>0</v>
      </c>
      <c r="R152" t="n">
        <v>0</v>
      </c>
      <c r="S152" t="n">
        <v>0</v>
      </c>
      <c r="T152" t="n">
        <v>0</v>
      </c>
      <c r="U152" s="2" t="inlineStr"/>
    </row>
    <row r="153" ht="15" customHeight="1">
      <c r="A153" t="inlineStr">
        <is>
          <t>A 29445-2024</t>
        </is>
      </c>
      <c r="B153" t="inlineStr">
        <is>
          <t>avverkningsanmälan</t>
        </is>
      </c>
      <c r="C153" t="inlineStr">
        <is>
          <t>Föryngringsavverkning</t>
        </is>
      </c>
      <c r="D153" s="1" t="n">
        <v>45483</v>
      </c>
      <c r="E153" s="1" t="n">
        <v>46223</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35650-2022</t>
        </is>
      </c>
      <c r="B154" t="inlineStr">
        <is>
          <t>avverkningsanmälan</t>
        </is>
      </c>
      <c r="C154" t="inlineStr">
        <is>
          <t>Föryngringsavverkning</t>
        </is>
      </c>
      <c r="D154" s="1" t="n">
        <v>44799</v>
      </c>
      <c r="E154" s="1" t="n">
        <v>46223</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35654-2022</t>
        </is>
      </c>
      <c r="B155" t="inlineStr">
        <is>
          <t>avverkningsanmälan</t>
        </is>
      </c>
      <c r="C155" t="inlineStr">
        <is>
          <t>Föryngringsavverkning</t>
        </is>
      </c>
      <c r="D155" s="1" t="n">
        <v>44799</v>
      </c>
      <c r="E155" s="1" t="n">
        <v>46223</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s="2" t="inlineStr"/>
    </row>
    <row r="156" ht="15" customHeight="1">
      <c r="A156" t="inlineStr">
        <is>
          <t>A 37880-2022</t>
        </is>
      </c>
      <c r="B156" t="inlineStr">
        <is>
          <t>avverkningsanmälan</t>
        </is>
      </c>
      <c r="C156" t="inlineStr">
        <is>
          <t>Föryngringsavverkning</t>
        </is>
      </c>
      <c r="D156" s="1" t="n">
        <v>44811</v>
      </c>
      <c r="E156" s="1" t="n">
        <v>46223</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5706-2024</t>
        </is>
      </c>
      <c r="B157" t="inlineStr">
        <is>
          <t>avverkningsanmälan</t>
        </is>
      </c>
      <c r="C157" t="inlineStr">
        <is>
          <t>Föryngringsavverkning</t>
        </is>
      </c>
      <c r="D157" s="1" t="n">
        <v>45334</v>
      </c>
      <c r="E157" s="1" t="n">
        <v>46223</v>
      </c>
      <c r="F157" t="inlineStr">
        <is>
          <t>ÖSTERGÖTLANDS LÄN</t>
        </is>
      </c>
      <c r="G157" t="inlineStr">
        <is>
          <t>KINDA</t>
        </is>
      </c>
      <c r="I157" t="n">
        <v>5.3</v>
      </c>
      <c r="J157" t="n">
        <v>0</v>
      </c>
      <c r="K157" t="n">
        <v>0</v>
      </c>
      <c r="L157" t="n">
        <v>0</v>
      </c>
      <c r="M157" t="n">
        <v>0</v>
      </c>
      <c r="N157" t="n">
        <v>0</v>
      </c>
      <c r="O157" t="n">
        <v>0</v>
      </c>
      <c r="P157" t="n">
        <v>0</v>
      </c>
      <c r="Q157" t="n">
        <v>0</v>
      </c>
      <c r="R157" t="n">
        <v>0</v>
      </c>
      <c r="S157" t="n">
        <v>0</v>
      </c>
      <c r="T157" t="n">
        <v>0</v>
      </c>
      <c r="U157" s="2" t="inlineStr"/>
    </row>
    <row r="158" ht="15" customHeight="1">
      <c r="A158" t="inlineStr">
        <is>
          <t>A 9573-2024</t>
        </is>
      </c>
      <c r="B158" t="inlineStr">
        <is>
          <t>avverkningsanmälan</t>
        </is>
      </c>
      <c r="C158" t="inlineStr">
        <is>
          <t>Föryngringsavverkning</t>
        </is>
      </c>
      <c r="D158" s="1" t="n">
        <v>45360</v>
      </c>
      <c r="E158" s="1" t="n">
        <v>46223</v>
      </c>
      <c r="F158" t="inlineStr">
        <is>
          <t>ÖSTERGÖTLANDS LÄN</t>
        </is>
      </c>
      <c r="G158" t="inlineStr">
        <is>
          <t>KINDA</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9578-2024</t>
        </is>
      </c>
      <c r="B159" t="inlineStr">
        <is>
          <t>avverkningsanmälan</t>
        </is>
      </c>
      <c r="C159" t="inlineStr">
        <is>
          <t>Föryngringsavverkning</t>
        </is>
      </c>
      <c r="D159" s="1" t="n">
        <v>45360</v>
      </c>
      <c r="E159" s="1" t="n">
        <v>46223</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24067-2022</t>
        </is>
      </c>
      <c r="B160" t="inlineStr">
        <is>
          <t>avverkningsanmälan</t>
        </is>
      </c>
      <c r="C160" t="inlineStr">
        <is>
          <t>Föryngringsavverkning</t>
        </is>
      </c>
      <c r="D160" s="1" t="n">
        <v>44725</v>
      </c>
      <c r="E160" s="1" t="n">
        <v>46223</v>
      </c>
      <c r="F160" t="inlineStr">
        <is>
          <t>ÖSTERGÖTLANDS LÄN</t>
        </is>
      </c>
      <c r="G160" t="inlineStr">
        <is>
          <t>KINDA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12461-2024</t>
        </is>
      </c>
      <c r="B161" t="inlineStr">
        <is>
          <t>avverkningsanmälan</t>
        </is>
      </c>
      <c r="C161" t="inlineStr">
        <is>
          <t>Föryngringsavverkning</t>
        </is>
      </c>
      <c r="D161" s="1" t="n">
        <v>45379</v>
      </c>
      <c r="E161" s="1" t="n">
        <v>46223</v>
      </c>
      <c r="F161" t="inlineStr">
        <is>
          <t>ÖSTERGÖTLANDS LÄN</t>
        </is>
      </c>
      <c r="G161" t="inlineStr">
        <is>
          <t>KINDA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44278-2022</t>
        </is>
      </c>
      <c r="B162" t="inlineStr">
        <is>
          <t>avverkningsanmälan</t>
        </is>
      </c>
      <c r="C162" t="inlineStr">
        <is>
          <t>Föryngringsavverkning</t>
        </is>
      </c>
      <c r="D162" s="1" t="n">
        <v>44839</v>
      </c>
      <c r="E162" s="1" t="n">
        <v>46223</v>
      </c>
      <c r="F162" t="inlineStr">
        <is>
          <t>ÖSTERGÖTLANDS LÄN</t>
        </is>
      </c>
      <c r="G162" t="inlineStr">
        <is>
          <t>KINDA</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13064-2024</t>
        </is>
      </c>
      <c r="B163" t="inlineStr">
        <is>
          <t>avverkningsanmälan</t>
        </is>
      </c>
      <c r="C163" t="inlineStr">
        <is>
          <t>Föryngringsavverkning</t>
        </is>
      </c>
      <c r="D163" s="1" t="n">
        <v>45385</v>
      </c>
      <c r="E163" s="1" t="n">
        <v>46223</v>
      </c>
      <c r="F163" t="inlineStr">
        <is>
          <t>ÖSTERGÖTLANDS LÄN</t>
        </is>
      </c>
      <c r="G163" t="inlineStr">
        <is>
          <t>KINDA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51047-2022</t>
        </is>
      </c>
      <c r="B164" t="inlineStr">
        <is>
          <t>avverkningsanmälan</t>
        </is>
      </c>
      <c r="C164" t="inlineStr">
        <is>
          <t>Föryngringsavverkning</t>
        </is>
      </c>
      <c r="D164" s="1" t="n">
        <v>44868</v>
      </c>
      <c r="E164" s="1" t="n">
        <v>46223</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24844-2024</t>
        </is>
      </c>
      <c r="B165" t="inlineStr">
        <is>
          <t>avverkningsanmälan</t>
        </is>
      </c>
      <c r="C165" t="inlineStr">
        <is>
          <t>Föryngringsavverkning</t>
        </is>
      </c>
      <c r="D165" s="1" t="n">
        <v>45461</v>
      </c>
      <c r="E165" s="1" t="n">
        <v>46223</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2967-2024</t>
        </is>
      </c>
      <c r="B166" t="inlineStr">
        <is>
          <t>avverkningsanmälan</t>
        </is>
      </c>
      <c r="C166" t="inlineStr">
        <is>
          <t>Föryngringsavverkning</t>
        </is>
      </c>
      <c r="D166" s="1" t="n">
        <v>45315</v>
      </c>
      <c r="E166" s="1" t="n">
        <v>46223</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9577-2024</t>
        </is>
      </c>
      <c r="B167" t="inlineStr">
        <is>
          <t>avverkningsanmälan</t>
        </is>
      </c>
      <c r="C167" t="inlineStr">
        <is>
          <t>Föryngringsavverkning</t>
        </is>
      </c>
      <c r="D167" s="1" t="n">
        <v>45360</v>
      </c>
      <c r="E167" s="1" t="n">
        <v>46223</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21716-2024</t>
        </is>
      </c>
      <c r="B168" t="inlineStr">
        <is>
          <t>avverkningsanmälan</t>
        </is>
      </c>
      <c r="C168" t="inlineStr">
        <is>
          <t>Föryngringsavverkning</t>
        </is>
      </c>
      <c r="D168" s="1" t="n">
        <v>45442</v>
      </c>
      <c r="E168" s="1" t="n">
        <v>46223</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s="2" t="inlineStr"/>
    </row>
    <row r="169" ht="15" customHeight="1">
      <c r="A169" t="inlineStr">
        <is>
          <t>A 4914-2023</t>
        </is>
      </c>
      <c r="B169" t="inlineStr">
        <is>
          <t>avverkningsanmälan</t>
        </is>
      </c>
      <c r="C169" t="inlineStr">
        <is>
          <t>Föryngringsavverkning</t>
        </is>
      </c>
      <c r="D169" s="1" t="n">
        <v>44958</v>
      </c>
      <c r="E169" s="1" t="n">
        <v>46223</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2638-2024</t>
        </is>
      </c>
      <c r="B170" t="inlineStr">
        <is>
          <t>avverkningsanmälan</t>
        </is>
      </c>
      <c r="C170" t="inlineStr">
        <is>
          <t>Föryngringsavverkning</t>
        </is>
      </c>
      <c r="D170" s="1" t="n">
        <v>45314</v>
      </c>
      <c r="E170" s="1" t="n">
        <v>46223</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26146-2024</t>
        </is>
      </c>
      <c r="B171" t="inlineStr">
        <is>
          <t>avverkningsanmälan</t>
        </is>
      </c>
      <c r="C171" t="inlineStr">
        <is>
          <t>Föryngringsavverkning</t>
        </is>
      </c>
      <c r="D171" s="1" t="n">
        <v>45468</v>
      </c>
      <c r="E171" s="1" t="n">
        <v>46223</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52863-2023</t>
        </is>
      </c>
      <c r="B172" t="inlineStr">
        <is>
          <t>avverkningsanmälan</t>
        </is>
      </c>
      <c r="C172" t="inlineStr">
        <is>
          <t>Föryngringsavverkning</t>
        </is>
      </c>
      <c r="D172" s="1" t="n">
        <v>45219</v>
      </c>
      <c r="E172" s="1" t="n">
        <v>46223</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60343-2023</t>
        </is>
      </c>
      <c r="B173" t="inlineStr">
        <is>
          <t>avverkningsanmälan</t>
        </is>
      </c>
      <c r="C173" t="inlineStr">
        <is>
          <t>Föryngringsavverkning</t>
        </is>
      </c>
      <c r="D173" s="1" t="n">
        <v>45259</v>
      </c>
      <c r="E173" s="1" t="n">
        <v>46223</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45457-2024</t>
        </is>
      </c>
      <c r="B174" t="inlineStr">
        <is>
          <t>avverkningsanmälan</t>
        </is>
      </c>
      <c r="C174" t="inlineStr">
        <is>
          <t>Föryngringsavverkning</t>
        </is>
      </c>
      <c r="D174" s="1" t="n">
        <v>45576</v>
      </c>
      <c r="E174" s="1" t="n">
        <v>46223</v>
      </c>
      <c r="F174" t="inlineStr">
        <is>
          <t>ÖSTERGÖTLANDS LÄN</t>
        </is>
      </c>
      <c r="G174" t="inlineStr">
        <is>
          <t>KINDA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133-2024</t>
        </is>
      </c>
      <c r="B175" t="inlineStr">
        <is>
          <t>avverkningsanmälan</t>
        </is>
      </c>
      <c r="C175" t="inlineStr">
        <is>
          <t>Föryngringsavverkning</t>
        </is>
      </c>
      <c r="D175" s="1" t="n">
        <v>45294</v>
      </c>
      <c r="E175" s="1" t="n">
        <v>46223</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44139-2024</t>
        </is>
      </c>
      <c r="B176" t="inlineStr">
        <is>
          <t>avverkningsanmälan</t>
        </is>
      </c>
      <c r="C176" t="inlineStr">
        <is>
          <t>Föryngringsavverkning</t>
        </is>
      </c>
      <c r="D176" s="1" t="n">
        <v>45572</v>
      </c>
      <c r="E176" s="1" t="n">
        <v>46223</v>
      </c>
      <c r="F176" t="inlineStr">
        <is>
          <t>ÖSTERGÖTLANDS LÄN</t>
        </is>
      </c>
      <c r="G176" t="inlineStr">
        <is>
          <t>KINDA</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51294-2022</t>
        </is>
      </c>
      <c r="B177" t="inlineStr">
        <is>
          <t>avverkningsanmälan</t>
        </is>
      </c>
      <c r="C177" t="inlineStr">
        <is>
          <t>Föryngringsavverkning</t>
        </is>
      </c>
      <c r="D177" s="1" t="n">
        <v>44868</v>
      </c>
      <c r="E177" s="1" t="n">
        <v>46223</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38130-2023</t>
        </is>
      </c>
      <c r="B178" t="inlineStr">
        <is>
          <t>avverkningsanmälan</t>
        </is>
      </c>
      <c r="C178" t="inlineStr">
        <is>
          <t>Föryngringsavverkning</t>
        </is>
      </c>
      <c r="D178" s="1" t="n">
        <v>45161</v>
      </c>
      <c r="E178" s="1" t="n">
        <v>46223</v>
      </c>
      <c r="F178" t="inlineStr">
        <is>
          <t>ÖSTERGÖTLANDS LÄN</t>
        </is>
      </c>
      <c r="G178" t="inlineStr">
        <is>
          <t>KINDA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38132-2023</t>
        </is>
      </c>
      <c r="B179" t="inlineStr">
        <is>
          <t>avverkningsanmälan</t>
        </is>
      </c>
      <c r="C179" t="inlineStr">
        <is>
          <t>Föryngringsavverkning</t>
        </is>
      </c>
      <c r="D179" s="1" t="n">
        <v>45161</v>
      </c>
      <c r="E179" s="1" t="n">
        <v>46223</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38133-2023</t>
        </is>
      </c>
      <c r="B180" t="inlineStr">
        <is>
          <t>avverkningsanmälan</t>
        </is>
      </c>
      <c r="C180" t="inlineStr">
        <is>
          <t>Föryngringsavverkning</t>
        </is>
      </c>
      <c r="D180" s="1" t="n">
        <v>45161</v>
      </c>
      <c r="E180" s="1" t="n">
        <v>46223</v>
      </c>
      <c r="F180" t="inlineStr">
        <is>
          <t>ÖSTERGÖTLANDS LÄN</t>
        </is>
      </c>
      <c r="G180" t="inlineStr">
        <is>
          <t>KINDA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29794-2024</t>
        </is>
      </c>
      <c r="B181" t="inlineStr">
        <is>
          <t>avverkningsanmälan</t>
        </is>
      </c>
      <c r="C181" t="inlineStr">
        <is>
          <t>Föryngringsavverkning</t>
        </is>
      </c>
      <c r="D181" s="1" t="n">
        <v>45485</v>
      </c>
      <c r="E181" s="1" t="n">
        <v>46223</v>
      </c>
      <c r="F181" t="inlineStr">
        <is>
          <t>ÖSTERGÖTLANDS LÄN</t>
        </is>
      </c>
      <c r="G181" t="inlineStr">
        <is>
          <t>KINDA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27959-2024</t>
        </is>
      </c>
      <c r="B182" t="inlineStr">
        <is>
          <t>avverkningsanmälan</t>
        </is>
      </c>
      <c r="C182" t="inlineStr">
        <is>
          <t>Föryngringsavverkning</t>
        </is>
      </c>
      <c r="D182" s="1" t="n">
        <v>45476</v>
      </c>
      <c r="E182" s="1" t="n">
        <v>46223</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32285-2023</t>
        </is>
      </c>
      <c r="B183" t="inlineStr">
        <is>
          <t>avverkningsanmälan</t>
        </is>
      </c>
      <c r="C183" t="inlineStr">
        <is>
          <t>Föryngringsavverkning</t>
        </is>
      </c>
      <c r="D183" s="1" t="n">
        <v>45120</v>
      </c>
      <c r="E183" s="1" t="n">
        <v>46223</v>
      </c>
      <c r="F183" t="inlineStr">
        <is>
          <t>ÖSTERGÖTLANDS LÄN</t>
        </is>
      </c>
      <c r="G183" t="inlineStr">
        <is>
          <t>KINDA</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27841-2024</t>
        </is>
      </c>
      <c r="B184" t="inlineStr">
        <is>
          <t>avverkningsanmälan</t>
        </is>
      </c>
      <c r="C184" t="inlineStr">
        <is>
          <t>Föryngringsavverkning</t>
        </is>
      </c>
      <c r="D184" s="1" t="n">
        <v>45475</v>
      </c>
      <c r="E184" s="1" t="n">
        <v>46223</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45693-2023</t>
        </is>
      </c>
      <c r="B185" t="inlineStr">
        <is>
          <t>avverkningsanmälan</t>
        </is>
      </c>
      <c r="C185" t="inlineStr">
        <is>
          <t>Föryngringsavverkning</t>
        </is>
      </c>
      <c r="D185" s="1" t="n">
        <v>45195</v>
      </c>
      <c r="E185" s="1" t="n">
        <v>46223</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4433-2024</t>
        </is>
      </c>
      <c r="B186" t="inlineStr">
        <is>
          <t>avverkningsanmälan</t>
        </is>
      </c>
      <c r="C186" t="inlineStr">
        <is>
          <t>Föryngringsavverkning</t>
        </is>
      </c>
      <c r="D186" s="1" t="n">
        <v>45327</v>
      </c>
      <c r="E186" s="1" t="n">
        <v>46223</v>
      </c>
      <c r="F186" t="inlineStr">
        <is>
          <t>ÖSTERGÖTLANDS LÄN</t>
        </is>
      </c>
      <c r="G186" t="inlineStr">
        <is>
          <t>KINDA</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25490-2023</t>
        </is>
      </c>
      <c r="B187" t="inlineStr">
        <is>
          <t>avverkningsanmälan</t>
        </is>
      </c>
      <c r="C187" t="inlineStr">
        <is>
          <t>Föryngringsavverkning</t>
        </is>
      </c>
      <c r="D187" s="1" t="n">
        <v>45082</v>
      </c>
      <c r="E187" s="1" t="n">
        <v>46223</v>
      </c>
      <c r="F187" t="inlineStr">
        <is>
          <t>ÖSTERGÖTLANDS LÄN</t>
        </is>
      </c>
      <c r="G187" t="inlineStr">
        <is>
          <t>KINDA</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48520-2024</t>
        </is>
      </c>
      <c r="B188" t="inlineStr">
        <is>
          <t>avverkningsanmälan</t>
        </is>
      </c>
      <c r="C188" t="inlineStr">
        <is>
          <t>Föryngringsavverkning</t>
        </is>
      </c>
      <c r="D188" s="1" t="n">
        <v>45593</v>
      </c>
      <c r="E188" s="1" t="n">
        <v>46223</v>
      </c>
      <c r="F188" t="inlineStr">
        <is>
          <t>ÖSTERGÖTLANDS LÄN</t>
        </is>
      </c>
      <c r="G188" t="inlineStr">
        <is>
          <t>KINDA</t>
        </is>
      </c>
      <c r="I188" t="n">
        <v>4.6</v>
      </c>
      <c r="J188" t="n">
        <v>0</v>
      </c>
      <c r="K188" t="n">
        <v>0</v>
      </c>
      <c r="L188" t="n">
        <v>0</v>
      </c>
      <c r="M188" t="n">
        <v>0</v>
      </c>
      <c r="N188" t="n">
        <v>0</v>
      </c>
      <c r="O188" t="n">
        <v>0</v>
      </c>
      <c r="P188" t="n">
        <v>0</v>
      </c>
      <c r="Q188" t="n">
        <v>0</v>
      </c>
      <c r="R188" t="n">
        <v>0</v>
      </c>
      <c r="S188" t="n">
        <v>0</v>
      </c>
      <c r="T188" t="n">
        <v>0</v>
      </c>
      <c r="U188" s="2" t="inlineStr"/>
    </row>
    <row r="189" ht="15" customHeight="1">
      <c r="A189" t="inlineStr">
        <is>
          <t>A 61957-2022</t>
        </is>
      </c>
      <c r="B189" t="inlineStr">
        <is>
          <t>avverkningsanmälan</t>
        </is>
      </c>
      <c r="C189" t="inlineStr">
        <is>
          <t>Föryngringsavverkning</t>
        </is>
      </c>
      <c r="D189" s="1" t="n">
        <v>44918</v>
      </c>
      <c r="E189" s="1" t="n">
        <v>46223</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22813-2024</t>
        </is>
      </c>
      <c r="B190" t="inlineStr">
        <is>
          <t>avverkningsanmälan</t>
        </is>
      </c>
      <c r="C190" t="inlineStr">
        <is>
          <t>Föryngringsavverkning</t>
        </is>
      </c>
      <c r="D190" s="1" t="n">
        <v>45448</v>
      </c>
      <c r="E190" s="1" t="n">
        <v>46223</v>
      </c>
      <c r="F190" t="inlineStr">
        <is>
          <t>ÖSTERGÖTLANDS LÄN</t>
        </is>
      </c>
      <c r="G190" t="inlineStr">
        <is>
          <t>KINDA</t>
        </is>
      </c>
      <c r="H190" t="inlineStr">
        <is>
          <t>Allmännings- och besparingsskogar</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24023-2024</t>
        </is>
      </c>
      <c r="B191" t="inlineStr">
        <is>
          <t>avverkningsanmälan</t>
        </is>
      </c>
      <c r="C191" t="inlineStr">
        <is>
          <t>Föryngringsavverkning</t>
        </is>
      </c>
      <c r="D191" s="1" t="n">
        <v>45456</v>
      </c>
      <c r="E191" s="1" t="n">
        <v>46223</v>
      </c>
      <c r="F191" t="inlineStr">
        <is>
          <t>ÖSTERGÖTLANDS LÄN</t>
        </is>
      </c>
      <c r="G191" t="inlineStr">
        <is>
          <t>KINDA</t>
        </is>
      </c>
      <c r="I191" t="n">
        <v>7.1</v>
      </c>
      <c r="J191" t="n">
        <v>0</v>
      </c>
      <c r="K191" t="n">
        <v>0</v>
      </c>
      <c r="L191" t="n">
        <v>0</v>
      </c>
      <c r="M191" t="n">
        <v>0</v>
      </c>
      <c r="N191" t="n">
        <v>0</v>
      </c>
      <c r="O191" t="n">
        <v>0</v>
      </c>
      <c r="P191" t="n">
        <v>0</v>
      </c>
      <c r="Q191" t="n">
        <v>0</v>
      </c>
      <c r="R191" t="n">
        <v>0</v>
      </c>
      <c r="S191" t="n">
        <v>0</v>
      </c>
      <c r="T191" t="n">
        <v>0</v>
      </c>
      <c r="U191" s="2" t="inlineStr"/>
    </row>
    <row r="192" ht="15" customHeight="1">
      <c r="A192" t="inlineStr">
        <is>
          <t>A 61946-2022</t>
        </is>
      </c>
      <c r="B192" t="inlineStr">
        <is>
          <t>avverkningsanmälan</t>
        </is>
      </c>
      <c r="C192" t="inlineStr">
        <is>
          <t>Föryngringsavverkning</t>
        </is>
      </c>
      <c r="D192" s="1" t="n">
        <v>44918</v>
      </c>
      <c r="E192" s="1" t="n">
        <v>46223</v>
      </c>
      <c r="F192" t="inlineStr">
        <is>
          <t>ÖSTERGÖTLANDS LÄN</t>
        </is>
      </c>
      <c r="G192" t="inlineStr">
        <is>
          <t>KINDA</t>
        </is>
      </c>
      <c r="I192" t="n">
        <v>11.6</v>
      </c>
      <c r="J192" t="n">
        <v>0</v>
      </c>
      <c r="K192" t="n">
        <v>0</v>
      </c>
      <c r="L192" t="n">
        <v>0</v>
      </c>
      <c r="M192" t="n">
        <v>0</v>
      </c>
      <c r="N192" t="n">
        <v>0</v>
      </c>
      <c r="O192" t="n">
        <v>0</v>
      </c>
      <c r="P192" t="n">
        <v>0</v>
      </c>
      <c r="Q192" t="n">
        <v>0</v>
      </c>
      <c r="R192" t="n">
        <v>0</v>
      </c>
      <c r="S192" t="n">
        <v>0</v>
      </c>
      <c r="T192" t="n">
        <v>0</v>
      </c>
      <c r="U192" s="2" t="inlineStr"/>
    </row>
    <row r="193" ht="15" customHeight="1">
      <c r="A193" t="inlineStr">
        <is>
          <t>A 61962-2022</t>
        </is>
      </c>
      <c r="B193" t="inlineStr">
        <is>
          <t>avverkningsanmälan</t>
        </is>
      </c>
      <c r="C193" t="inlineStr">
        <is>
          <t>Föryngringsavverkning</t>
        </is>
      </c>
      <c r="D193" s="1" t="n">
        <v>44918</v>
      </c>
      <c r="E193" s="1" t="n">
        <v>46223</v>
      </c>
      <c r="F193" t="inlineStr">
        <is>
          <t>ÖSTERGÖTLANDS LÄN</t>
        </is>
      </c>
      <c r="G193" t="inlineStr">
        <is>
          <t>KINDA</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37068-2024</t>
        </is>
      </c>
      <c r="B194" t="inlineStr">
        <is>
          <t>avverkningsanmälan</t>
        </is>
      </c>
      <c r="C194" t="inlineStr">
        <is>
          <t>Föryngringsavverkning</t>
        </is>
      </c>
      <c r="D194" s="1" t="n">
        <v>45539</v>
      </c>
      <c r="E194" s="1" t="n">
        <v>46223</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13976-2022</t>
        </is>
      </c>
      <c r="B195" t="inlineStr">
        <is>
          <t>avverkningsanmälan</t>
        </is>
      </c>
      <c r="C195" t="inlineStr">
        <is>
          <t>Föryngringsavverkning</t>
        </is>
      </c>
      <c r="D195" s="1" t="n">
        <v>44650</v>
      </c>
      <c r="E195" s="1" t="n">
        <v>46223</v>
      </c>
      <c r="F195" t="inlineStr">
        <is>
          <t>ÖSTERGÖTLANDS LÄN</t>
        </is>
      </c>
      <c r="G195" t="inlineStr">
        <is>
          <t>KINDA</t>
        </is>
      </c>
      <c r="H195" t="inlineStr">
        <is>
          <t>Övriga Aktiebolag</t>
        </is>
      </c>
      <c r="I195" t="n">
        <v>7.4</v>
      </c>
      <c r="J195" t="n">
        <v>0</v>
      </c>
      <c r="K195" t="n">
        <v>0</v>
      </c>
      <c r="L195" t="n">
        <v>0</v>
      </c>
      <c r="M195" t="n">
        <v>0</v>
      </c>
      <c r="N195" t="n">
        <v>0</v>
      </c>
      <c r="O195" t="n">
        <v>0</v>
      </c>
      <c r="P195" t="n">
        <v>0</v>
      </c>
      <c r="Q195" t="n">
        <v>0</v>
      </c>
      <c r="R195" t="n">
        <v>0</v>
      </c>
      <c r="S195" t="n">
        <v>0</v>
      </c>
      <c r="T195" t="n">
        <v>0</v>
      </c>
      <c r="U195" s="2" t="inlineStr"/>
    </row>
    <row r="196" ht="15" customHeight="1">
      <c r="A196" t="inlineStr">
        <is>
          <t>A 28068-2024</t>
        </is>
      </c>
      <c r="B196" t="inlineStr">
        <is>
          <t>avverkningsanmälan</t>
        </is>
      </c>
      <c r="C196" t="inlineStr">
        <is>
          <t>Föryngringsavverkning</t>
        </is>
      </c>
      <c r="D196" s="1" t="n">
        <v>45476</v>
      </c>
      <c r="E196" s="1" t="n">
        <v>46223</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9182-2024</t>
        </is>
      </c>
      <c r="B197" t="inlineStr">
        <is>
          <t>avverkningsanmälan</t>
        </is>
      </c>
      <c r="C197" t="inlineStr">
        <is>
          <t>Föryngringsavverkning</t>
        </is>
      </c>
      <c r="D197" s="1" t="n">
        <v>45358</v>
      </c>
      <c r="E197" s="1" t="n">
        <v>46223</v>
      </c>
      <c r="F197" t="inlineStr">
        <is>
          <t>ÖSTERGÖTLANDS LÄN</t>
        </is>
      </c>
      <c r="G197" t="inlineStr">
        <is>
          <t>KINDA</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3908-2023</t>
        </is>
      </c>
      <c r="B198" t="inlineStr">
        <is>
          <t>avverkningsanmälan</t>
        </is>
      </c>
      <c r="C198" t="inlineStr">
        <is>
          <t>Föryngringsavverkning</t>
        </is>
      </c>
      <c r="D198" s="1" t="n">
        <v>44952</v>
      </c>
      <c r="E198" s="1" t="n">
        <v>46223</v>
      </c>
      <c r="F198" t="inlineStr">
        <is>
          <t>ÖSTERGÖTLANDS LÄN</t>
        </is>
      </c>
      <c r="G198" t="inlineStr">
        <is>
          <t>KINDA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34871-2024</t>
        </is>
      </c>
      <c r="B199" t="inlineStr">
        <is>
          <t>avverkningsanmälan</t>
        </is>
      </c>
      <c r="C199" t="inlineStr">
        <is>
          <t>Föryngringsavverkning</t>
        </is>
      </c>
      <c r="D199" s="1" t="n">
        <v>45527</v>
      </c>
      <c r="E199" s="1" t="n">
        <v>46223</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33043-2024</t>
        </is>
      </c>
      <c r="B200" t="inlineStr">
        <is>
          <t>avverkningsanmälan</t>
        </is>
      </c>
      <c r="C200" t="inlineStr">
        <is>
          <t>Föryngringsavverkning</t>
        </is>
      </c>
      <c r="D200" s="1" t="n">
        <v>45517</v>
      </c>
      <c r="E200" s="1" t="n">
        <v>46223</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13769-2023</t>
        </is>
      </c>
      <c r="B201" t="inlineStr">
        <is>
          <t>avverkningsanmälan</t>
        </is>
      </c>
      <c r="C201" t="inlineStr">
        <is>
          <t>Föryngringsavverkning</t>
        </is>
      </c>
      <c r="D201" s="1" t="n">
        <v>45007</v>
      </c>
      <c r="E201" s="1" t="n">
        <v>46223</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13673-2024</t>
        </is>
      </c>
      <c r="B202" t="inlineStr">
        <is>
          <t>avverkningsanmälan</t>
        </is>
      </c>
      <c r="C202" t="inlineStr">
        <is>
          <t>Föryngringsavverkning</t>
        </is>
      </c>
      <c r="D202" s="1" t="n">
        <v>45390</v>
      </c>
      <c r="E202" s="1" t="n">
        <v>46223</v>
      </c>
      <c r="F202" t="inlineStr">
        <is>
          <t>ÖSTERGÖTLANDS LÄN</t>
        </is>
      </c>
      <c r="G202" t="inlineStr">
        <is>
          <t>KINDA</t>
        </is>
      </c>
      <c r="H202" t="inlineStr">
        <is>
          <t>Övriga Aktiebolag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60824-2023</t>
        </is>
      </c>
      <c r="B203" t="inlineStr">
        <is>
          <t>avverkningsanmälan</t>
        </is>
      </c>
      <c r="C203" t="inlineStr">
        <is>
          <t>Föryngringsavverkning</t>
        </is>
      </c>
      <c r="D203" s="1" t="n">
        <v>45260</v>
      </c>
      <c r="E203" s="1" t="n">
        <v>46223</v>
      </c>
      <c r="F203" t="inlineStr">
        <is>
          <t>ÖSTERGÖTLANDS LÄN</t>
        </is>
      </c>
      <c r="G203" t="inlineStr">
        <is>
          <t>KINDA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8501-2024</t>
        </is>
      </c>
      <c r="B204" t="inlineStr">
        <is>
          <t>avverkningsanmälan</t>
        </is>
      </c>
      <c r="C204" t="inlineStr">
        <is>
          <t>Föryngringsavverkning</t>
        </is>
      </c>
      <c r="D204" s="1" t="n">
        <v>45355</v>
      </c>
      <c r="E204" s="1" t="n">
        <v>46223</v>
      </c>
      <c r="F204" t="inlineStr">
        <is>
          <t>ÖSTERGÖTLANDS LÄN</t>
        </is>
      </c>
      <c r="G204" t="inlineStr">
        <is>
          <t>KINDA</t>
        </is>
      </c>
      <c r="H204" t="inlineStr">
        <is>
          <t>Övriga Aktiebolag</t>
        </is>
      </c>
      <c r="I204" t="n">
        <v>10.3</v>
      </c>
      <c r="J204" t="n">
        <v>0</v>
      </c>
      <c r="K204" t="n">
        <v>0</v>
      </c>
      <c r="L204" t="n">
        <v>0</v>
      </c>
      <c r="M204" t="n">
        <v>0</v>
      </c>
      <c r="N204" t="n">
        <v>0</v>
      </c>
      <c r="O204" t="n">
        <v>0</v>
      </c>
      <c r="P204" t="n">
        <v>0</v>
      </c>
      <c r="Q204" t="n">
        <v>0</v>
      </c>
      <c r="R204" t="n">
        <v>0</v>
      </c>
      <c r="S204" t="n">
        <v>0</v>
      </c>
      <c r="T204" t="n">
        <v>0</v>
      </c>
      <c r="U204" s="2" t="inlineStr"/>
    </row>
    <row r="205" ht="15" customHeight="1">
      <c r="A205" t="inlineStr">
        <is>
          <t>A 3849-2026</t>
        </is>
      </c>
      <c r="B205" t="inlineStr">
        <is>
          <t>avverkningsanmälan</t>
        </is>
      </c>
      <c r="C205" t="inlineStr">
        <is>
          <t>Föryngringsavverkning</t>
        </is>
      </c>
      <c r="D205" s="1" t="n">
        <v>46043</v>
      </c>
      <c r="E205" s="1" t="n">
        <v>46223</v>
      </c>
      <c r="F205" t="inlineStr">
        <is>
          <t>ÖSTERGÖTLANDS LÄN</t>
        </is>
      </c>
      <c r="G205" t="inlineStr">
        <is>
          <t>KINDA</t>
        </is>
      </c>
      <c r="H205" t="inlineStr">
        <is>
          <t>Kommuner</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27969-2025</t>
        </is>
      </c>
      <c r="B206" t="inlineStr">
        <is>
          <t>avverkningsanmälan</t>
        </is>
      </c>
      <c r="C206" t="inlineStr">
        <is>
          <t>Föryngringsavverkning</t>
        </is>
      </c>
      <c r="D206" s="1" t="n">
        <v>45817</v>
      </c>
      <c r="E206" s="1" t="n">
        <v>46223</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14817-2023</t>
        </is>
      </c>
      <c r="B207" t="inlineStr">
        <is>
          <t>avverkningsanmälan</t>
        </is>
      </c>
      <c r="C207" t="inlineStr">
        <is>
          <t>Föryngringsavverkning</t>
        </is>
      </c>
      <c r="D207" s="1" t="n">
        <v>45014</v>
      </c>
      <c r="E207" s="1" t="n">
        <v>46223</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49443-2021</t>
        </is>
      </c>
      <c r="B208" t="inlineStr">
        <is>
          <t>avverkningsanmälan</t>
        </is>
      </c>
      <c r="C208" t="inlineStr">
        <is>
          <t>Föryngringsavverkning</t>
        </is>
      </c>
      <c r="D208" s="1" t="n">
        <v>44454</v>
      </c>
      <c r="E208" s="1" t="n">
        <v>46223</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39090-2025</t>
        </is>
      </c>
      <c r="B209" t="inlineStr">
        <is>
          <t>avverkningsanmälan</t>
        </is>
      </c>
      <c r="C209" t="inlineStr">
        <is>
          <t>Föryngringsavverkning</t>
        </is>
      </c>
      <c r="D209" s="1" t="n">
        <v>45888</v>
      </c>
      <c r="E209" s="1" t="n">
        <v>46223</v>
      </c>
      <c r="F209" t="inlineStr">
        <is>
          <t>ÖSTERGÖTLANDS LÄN</t>
        </is>
      </c>
      <c r="G209" t="inlineStr">
        <is>
          <t>KINDA</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27966-2023</t>
        </is>
      </c>
      <c r="B210" t="inlineStr">
        <is>
          <t>avverkningsanmälan</t>
        </is>
      </c>
      <c r="C210" t="inlineStr">
        <is>
          <t>Föryngringsavverkning</t>
        </is>
      </c>
      <c r="D210" s="1" t="n">
        <v>45098</v>
      </c>
      <c r="E210" s="1" t="n">
        <v>46223</v>
      </c>
      <c r="F210" t="inlineStr">
        <is>
          <t>ÖSTERGÖTLANDS LÄN</t>
        </is>
      </c>
      <c r="G210" t="inlineStr">
        <is>
          <t>KINDA</t>
        </is>
      </c>
      <c r="I210" t="n">
        <v>2.9</v>
      </c>
      <c r="J210" t="n">
        <v>0</v>
      </c>
      <c r="K210" t="n">
        <v>0</v>
      </c>
      <c r="L210" t="n">
        <v>0</v>
      </c>
      <c r="M210" t="n">
        <v>0</v>
      </c>
      <c r="N210" t="n">
        <v>0</v>
      </c>
      <c r="O210" t="n">
        <v>0</v>
      </c>
      <c r="P210" t="n">
        <v>0</v>
      </c>
      <c r="Q210" t="n">
        <v>0</v>
      </c>
      <c r="R210" t="n">
        <v>0</v>
      </c>
      <c r="S210" t="n">
        <v>0</v>
      </c>
      <c r="T210" t="n">
        <v>0</v>
      </c>
      <c r="U210" s="2" t="inlineStr"/>
    </row>
    <row r="211" ht="15" customHeight="1">
      <c r="A211" t="inlineStr">
        <is>
          <t>A 34627-2023</t>
        </is>
      </c>
      <c r="B211" t="inlineStr">
        <is>
          <t>avverkningsanmälan</t>
        </is>
      </c>
      <c r="C211" t="inlineStr">
        <is>
          <t>Föryngringsavverkning</t>
        </is>
      </c>
      <c r="D211" s="1" t="n">
        <v>45139</v>
      </c>
      <c r="E211" s="1" t="n">
        <v>46223</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10806-2024</t>
        </is>
      </c>
      <c r="B212" t="inlineStr">
        <is>
          <t>avverkningsanmälan</t>
        </is>
      </c>
      <c r="C212" t="inlineStr">
        <is>
          <t>Föryngringsavverkning</t>
        </is>
      </c>
      <c r="D212" s="1" t="n">
        <v>45369</v>
      </c>
      <c r="E212" s="1" t="n">
        <v>46223</v>
      </c>
      <c r="F212" t="inlineStr">
        <is>
          <t>ÖSTERGÖTLANDS LÄN</t>
        </is>
      </c>
      <c r="G212" t="inlineStr">
        <is>
          <t>KINDA</t>
        </is>
      </c>
      <c r="I212" t="n">
        <v>4.2</v>
      </c>
      <c r="J212" t="n">
        <v>0</v>
      </c>
      <c r="K212" t="n">
        <v>0</v>
      </c>
      <c r="L212" t="n">
        <v>0</v>
      </c>
      <c r="M212" t="n">
        <v>0</v>
      </c>
      <c r="N212" t="n">
        <v>0</v>
      </c>
      <c r="O212" t="n">
        <v>0</v>
      </c>
      <c r="P212" t="n">
        <v>0</v>
      </c>
      <c r="Q212" t="n">
        <v>0</v>
      </c>
      <c r="R212" t="n">
        <v>0</v>
      </c>
      <c r="S212" t="n">
        <v>0</v>
      </c>
      <c r="T212" t="n">
        <v>0</v>
      </c>
      <c r="U212" s="2" t="inlineStr"/>
    </row>
    <row r="213" ht="15" customHeight="1">
      <c r="A213" t="inlineStr">
        <is>
          <t>A 43069-2024</t>
        </is>
      </c>
      <c r="B213" t="inlineStr">
        <is>
          <t>avverkningsanmälan</t>
        </is>
      </c>
      <c r="C213" t="inlineStr">
        <is>
          <t>Föryngringsavverkning</t>
        </is>
      </c>
      <c r="D213" s="1" t="n">
        <v>45567</v>
      </c>
      <c r="E213" s="1" t="n">
        <v>46223</v>
      </c>
      <c r="F213" t="inlineStr">
        <is>
          <t>ÖSTERGÖTLANDS LÄN</t>
        </is>
      </c>
      <c r="G213" t="inlineStr">
        <is>
          <t>KINDA</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4331-2026</t>
        </is>
      </c>
      <c r="B214" t="inlineStr">
        <is>
          <t>avverkningsanmälan</t>
        </is>
      </c>
      <c r="C214" t="inlineStr">
        <is>
          <t>Föryngringsavverkning</t>
        </is>
      </c>
      <c r="D214" s="1" t="n">
        <v>46045</v>
      </c>
      <c r="E214" s="1" t="n">
        <v>46223</v>
      </c>
      <c r="F214" t="inlineStr">
        <is>
          <t>ÖSTERGÖTLANDS LÄN</t>
        </is>
      </c>
      <c r="G214" t="inlineStr">
        <is>
          <t>KINDA</t>
        </is>
      </c>
      <c r="H214" t="inlineStr">
        <is>
          <t>Övriga Aktiebolag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51836-2021</t>
        </is>
      </c>
      <c r="B215" t="inlineStr">
        <is>
          <t>avverkningsanmälan</t>
        </is>
      </c>
      <c r="C215" t="inlineStr">
        <is>
          <t>Föryngringsavverkning</t>
        </is>
      </c>
      <c r="D215" s="1" t="n">
        <v>44462</v>
      </c>
      <c r="E215" s="1" t="n">
        <v>46223</v>
      </c>
      <c r="F215" t="inlineStr">
        <is>
          <t>ÖSTERGÖTLANDS LÄN</t>
        </is>
      </c>
      <c r="G215" t="inlineStr">
        <is>
          <t>KINDA</t>
        </is>
      </c>
      <c r="H215" t="inlineStr">
        <is>
          <t>Övriga Aktiebolag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35104-2023</t>
        </is>
      </c>
      <c r="B216" t="inlineStr">
        <is>
          <t>avverkningsanmälan</t>
        </is>
      </c>
      <c r="C216" t="inlineStr">
        <is>
          <t>Avverkning för annat ändamål</t>
        </is>
      </c>
      <c r="D216" s="1" t="n">
        <v>45145</v>
      </c>
      <c r="E216" s="1" t="n">
        <v>46223</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15110-2022</t>
        </is>
      </c>
      <c r="B217" t="inlineStr">
        <is>
          <t>avverkningsanmälan</t>
        </is>
      </c>
      <c r="C217" t="inlineStr">
        <is>
          <t>Föryngringsavverkning</t>
        </is>
      </c>
      <c r="D217" s="1" t="n">
        <v>44657</v>
      </c>
      <c r="E217" s="1" t="n">
        <v>46223</v>
      </c>
      <c r="F217" t="inlineStr">
        <is>
          <t>ÖSTERGÖTLANDS LÄN</t>
        </is>
      </c>
      <c r="G217" t="inlineStr">
        <is>
          <t>KINDA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45450-2024</t>
        </is>
      </c>
      <c r="B218" t="inlineStr">
        <is>
          <t>avverkningsanmälan</t>
        </is>
      </c>
      <c r="C218" t="inlineStr">
        <is>
          <t>Föryngringsavverkning</t>
        </is>
      </c>
      <c r="D218" s="1" t="n">
        <v>45576</v>
      </c>
      <c r="E218" s="1" t="n">
        <v>46223</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21795-2024</t>
        </is>
      </c>
      <c r="B219" t="inlineStr">
        <is>
          <t>avverkningsanmälan</t>
        </is>
      </c>
      <c r="C219" t="inlineStr">
        <is>
          <t>Föryngringsavverkning</t>
        </is>
      </c>
      <c r="D219" s="1" t="n">
        <v>45442</v>
      </c>
      <c r="E219" s="1" t="n">
        <v>46223</v>
      </c>
      <c r="F219" t="inlineStr">
        <is>
          <t>ÖSTERGÖTLANDS LÄN</t>
        </is>
      </c>
      <c r="G219" t="inlineStr">
        <is>
          <t>KINDA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5197-2022</t>
        </is>
      </c>
      <c r="B220" t="inlineStr">
        <is>
          <t>avverkningsanmälan</t>
        </is>
      </c>
      <c r="C220" t="inlineStr">
        <is>
          <t>Föryngringsavverkning</t>
        </is>
      </c>
      <c r="D220" s="1" t="n">
        <v>44594</v>
      </c>
      <c r="E220" s="1" t="n">
        <v>46223</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41657-2024</t>
        </is>
      </c>
      <c r="B221" t="inlineStr">
        <is>
          <t>avverkningsanmälan</t>
        </is>
      </c>
      <c r="C221" t="inlineStr">
        <is>
          <t>Föryngringsavverkning</t>
        </is>
      </c>
      <c r="D221" s="1" t="n">
        <v>45560</v>
      </c>
      <c r="E221" s="1" t="n">
        <v>46223</v>
      </c>
      <c r="F221" t="inlineStr">
        <is>
          <t>ÖSTERGÖTLANDS LÄN</t>
        </is>
      </c>
      <c r="G221" t="inlineStr">
        <is>
          <t>KINDA</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8233-2023</t>
        </is>
      </c>
      <c r="B222" t="inlineStr">
        <is>
          <t>avverkningsanmälan</t>
        </is>
      </c>
      <c r="C222" t="inlineStr">
        <is>
          <t>Föryngringsavverkning</t>
        </is>
      </c>
      <c r="D222" s="1" t="n">
        <v>44974</v>
      </c>
      <c r="E222" s="1" t="n">
        <v>46223</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6098-2023</t>
        </is>
      </c>
      <c r="B223" t="inlineStr">
        <is>
          <t>avverkningsanmälan</t>
        </is>
      </c>
      <c r="C223" t="inlineStr">
        <is>
          <t>Föryngringsavverkning</t>
        </is>
      </c>
      <c r="D223" s="1" t="n">
        <v>44964</v>
      </c>
      <c r="E223" s="1" t="n">
        <v>46223</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53239-2024</t>
        </is>
      </c>
      <c r="B224" t="inlineStr">
        <is>
          <t>avverkningsanmälan</t>
        </is>
      </c>
      <c r="C224" t="inlineStr">
        <is>
          <t>Föryngringsavverkning</t>
        </is>
      </c>
      <c r="D224" s="1" t="n">
        <v>45613</v>
      </c>
      <c r="E224" s="1" t="n">
        <v>46223</v>
      </c>
      <c r="F224" t="inlineStr">
        <is>
          <t>ÖSTERGÖTLANDS LÄN</t>
        </is>
      </c>
      <c r="G224" t="inlineStr">
        <is>
          <t>KINDA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31048-2025</t>
        </is>
      </c>
      <c r="B225" t="inlineStr">
        <is>
          <t>avverkningsanmälan</t>
        </is>
      </c>
      <c r="C225" t="inlineStr">
        <is>
          <t>Föryngringsavverkning</t>
        </is>
      </c>
      <c r="D225" s="1" t="n">
        <v>45832</v>
      </c>
      <c r="E225" s="1" t="n">
        <v>46223</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53319-2023</t>
        </is>
      </c>
      <c r="B226" t="inlineStr">
        <is>
          <t>avverkningsanmälan</t>
        </is>
      </c>
      <c r="C226" t="inlineStr">
        <is>
          <t>Föryngringsavverkning</t>
        </is>
      </c>
      <c r="D226" s="1" t="n">
        <v>45229</v>
      </c>
      <c r="E226" s="1" t="n">
        <v>46223</v>
      </c>
      <c r="F226" t="inlineStr">
        <is>
          <t>ÖSTERGÖTLANDS LÄN</t>
        </is>
      </c>
      <c r="G226" t="inlineStr">
        <is>
          <t>KINDA</t>
        </is>
      </c>
      <c r="H226" t="inlineStr">
        <is>
          <t>Sveaskog</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47724-2024</t>
        </is>
      </c>
      <c r="B227" t="inlineStr">
        <is>
          <t>avverkningsanmälan</t>
        </is>
      </c>
      <c r="C227" t="inlineStr">
        <is>
          <t>Föryngringsavverkning</t>
        </is>
      </c>
      <c r="D227" s="1" t="n">
        <v>45588</v>
      </c>
      <c r="E227" s="1" t="n">
        <v>46223</v>
      </c>
      <c r="F227" t="inlineStr">
        <is>
          <t>ÖSTERGÖTLANDS LÄN</t>
        </is>
      </c>
      <c r="G227" t="inlineStr">
        <is>
          <t>KINDA</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29060-2025</t>
        </is>
      </c>
      <c r="B228" t="inlineStr">
        <is>
          <t>avverkningsanmälan</t>
        </is>
      </c>
      <c r="C228" t="inlineStr">
        <is>
          <t>Föryngringsavverkning</t>
        </is>
      </c>
      <c r="D228" s="1" t="n">
        <v>45821</v>
      </c>
      <c r="E228" s="1" t="n">
        <v>46223</v>
      </c>
      <c r="F228" t="inlineStr">
        <is>
          <t>ÖSTERGÖTLANDS LÄN</t>
        </is>
      </c>
      <c r="G228" t="inlineStr">
        <is>
          <t>KINDA</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34882-2023</t>
        </is>
      </c>
      <c r="B229" t="inlineStr">
        <is>
          <t>avverkningsanmälan</t>
        </is>
      </c>
      <c r="C229" t="inlineStr">
        <is>
          <t>Föryngringsavverkning</t>
        </is>
      </c>
      <c r="D229" s="1" t="n">
        <v>45141</v>
      </c>
      <c r="E229" s="1" t="n">
        <v>46223</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61960-2022</t>
        </is>
      </c>
      <c r="B230" t="inlineStr">
        <is>
          <t>avverkningsanmälan</t>
        </is>
      </c>
      <c r="C230" t="inlineStr">
        <is>
          <t>Föryngringsavverkning</t>
        </is>
      </c>
      <c r="D230" s="1" t="n">
        <v>44918</v>
      </c>
      <c r="E230" s="1" t="n">
        <v>46223</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50406-2024</t>
        </is>
      </c>
      <c r="B231" t="inlineStr">
        <is>
          <t>avverkningsanmälan</t>
        </is>
      </c>
      <c r="C231" t="inlineStr">
        <is>
          <t>Föryngringsavverkning</t>
        </is>
      </c>
      <c r="D231" s="1" t="n">
        <v>45601</v>
      </c>
      <c r="E231" s="1" t="n">
        <v>46223</v>
      </c>
      <c r="F231" t="inlineStr">
        <is>
          <t>ÖSTERGÖTLANDS LÄN</t>
        </is>
      </c>
      <c r="G231" t="inlineStr">
        <is>
          <t>KINDA</t>
        </is>
      </c>
      <c r="H231" t="inlineStr">
        <is>
          <t>Sveaskog</t>
        </is>
      </c>
      <c r="I231" t="n">
        <v>2.7</v>
      </c>
      <c r="J231" t="n">
        <v>0</v>
      </c>
      <c r="K231" t="n">
        <v>0</v>
      </c>
      <c r="L231" t="n">
        <v>0</v>
      </c>
      <c r="M231" t="n">
        <v>0</v>
      </c>
      <c r="N231" t="n">
        <v>0</v>
      </c>
      <c r="O231" t="n">
        <v>0</v>
      </c>
      <c r="P231" t="n">
        <v>0</v>
      </c>
      <c r="Q231" t="n">
        <v>0</v>
      </c>
      <c r="R231" t="n">
        <v>0</v>
      </c>
      <c r="S231" t="n">
        <v>0</v>
      </c>
      <c r="T231" t="n">
        <v>0</v>
      </c>
      <c r="U231" s="2" t="inlineStr"/>
    </row>
    <row r="232" ht="15" customHeight="1">
      <c r="A232" t="inlineStr">
        <is>
          <t>A 54671-2023</t>
        </is>
      </c>
      <c r="B232" t="inlineStr">
        <is>
          <t>avverkningsanmälan</t>
        </is>
      </c>
      <c r="C232" t="inlineStr">
        <is>
          <t>Föryngringsavverkning</t>
        </is>
      </c>
      <c r="D232" s="1" t="n">
        <v>45235</v>
      </c>
      <c r="E232" s="1" t="n">
        <v>46223</v>
      </c>
      <c r="F232" t="inlineStr">
        <is>
          <t>ÖSTERGÖTLANDS LÄN</t>
        </is>
      </c>
      <c r="G232" t="inlineStr">
        <is>
          <t>KINDA</t>
        </is>
      </c>
      <c r="I232" t="n">
        <v>10.8</v>
      </c>
      <c r="J232" t="n">
        <v>0</v>
      </c>
      <c r="K232" t="n">
        <v>0</v>
      </c>
      <c r="L232" t="n">
        <v>0</v>
      </c>
      <c r="M232" t="n">
        <v>0</v>
      </c>
      <c r="N232" t="n">
        <v>0</v>
      </c>
      <c r="O232" t="n">
        <v>0</v>
      </c>
      <c r="P232" t="n">
        <v>0</v>
      </c>
      <c r="Q232" t="n">
        <v>0</v>
      </c>
      <c r="R232" t="n">
        <v>0</v>
      </c>
      <c r="S232" t="n">
        <v>0</v>
      </c>
      <c r="T232" t="n">
        <v>0</v>
      </c>
      <c r="U232" s="2" t="inlineStr"/>
    </row>
    <row r="233" ht="15" customHeight="1">
      <c r="A233" t="inlineStr">
        <is>
          <t>A 37397-2024</t>
        </is>
      </c>
      <c r="B233" t="inlineStr">
        <is>
          <t>avverkningsanmälan</t>
        </is>
      </c>
      <c r="C233" t="inlineStr">
        <is>
          <t>Föryngringsavverkning</t>
        </is>
      </c>
      <c r="D233" s="1" t="n">
        <v>45540</v>
      </c>
      <c r="E233" s="1" t="n">
        <v>46223</v>
      </c>
      <c r="F233" t="inlineStr">
        <is>
          <t>ÖSTERGÖTLANDS LÄN</t>
        </is>
      </c>
      <c r="G233" t="inlineStr">
        <is>
          <t>KINDA</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13782-2023</t>
        </is>
      </c>
      <c r="B234" t="inlineStr">
        <is>
          <t>avverkningsanmälan</t>
        </is>
      </c>
      <c r="C234" t="inlineStr">
        <is>
          <t>Föryngringsavverkning</t>
        </is>
      </c>
      <c r="D234" s="1" t="n">
        <v>45007</v>
      </c>
      <c r="E234" s="1" t="n">
        <v>46223</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43760-2025</t>
        </is>
      </c>
      <c r="B235" t="inlineStr">
        <is>
          <t>avverkningsanmälan</t>
        </is>
      </c>
      <c r="C235" t="inlineStr">
        <is>
          <t>Föryngringsavverkning</t>
        </is>
      </c>
      <c r="D235" s="1" t="n">
        <v>45912</v>
      </c>
      <c r="E235" s="1" t="n">
        <v>46223</v>
      </c>
      <c r="F235" t="inlineStr">
        <is>
          <t>ÖSTERGÖTLANDS LÄN</t>
        </is>
      </c>
      <c r="G235" t="inlineStr">
        <is>
          <t>KINDA</t>
        </is>
      </c>
      <c r="H235" t="inlineStr">
        <is>
          <t>Sveaskog</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20829-2022</t>
        </is>
      </c>
      <c r="B236" t="inlineStr">
        <is>
          <t>avverkningsanmälan</t>
        </is>
      </c>
      <c r="C236" t="inlineStr">
        <is>
          <t>Föryngringsavverkning</t>
        </is>
      </c>
      <c r="D236" s="1" t="n">
        <v>44701</v>
      </c>
      <c r="E236" s="1" t="n">
        <v>46223</v>
      </c>
      <c r="F236" t="inlineStr">
        <is>
          <t>ÖSTERGÖTLANDS LÄN</t>
        </is>
      </c>
      <c r="G236" t="inlineStr">
        <is>
          <t>KINDA</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33493-2025</t>
        </is>
      </c>
      <c r="B237" t="inlineStr">
        <is>
          <t>avverkningsanmälan</t>
        </is>
      </c>
      <c r="C237" t="inlineStr">
        <is>
          <t>Föryngringsavverkning</t>
        </is>
      </c>
      <c r="D237" s="1" t="n">
        <v>45841</v>
      </c>
      <c r="E237" s="1" t="n">
        <v>46223</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33445-2025</t>
        </is>
      </c>
      <c r="B238" t="inlineStr">
        <is>
          <t>avverkningsanmälan</t>
        </is>
      </c>
      <c r="C238" t="inlineStr">
        <is>
          <t>Föryngringsavverkning</t>
        </is>
      </c>
      <c r="D238" s="1" t="n">
        <v>45841</v>
      </c>
      <c r="E238" s="1" t="n">
        <v>46223</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44633-2025</t>
        </is>
      </c>
      <c r="B239" t="inlineStr">
        <is>
          <t>avverkningsanmälan</t>
        </is>
      </c>
      <c r="C239" t="inlineStr">
        <is>
          <t>Avverkning för annat ändamål</t>
        </is>
      </c>
      <c r="D239" s="1" t="n">
        <v>45917</v>
      </c>
      <c r="E239" s="1" t="n">
        <v>46223</v>
      </c>
      <c r="F239" t="inlineStr">
        <is>
          <t>ÖSTERGÖTLANDS LÄN</t>
        </is>
      </c>
      <c r="G239" t="inlineStr">
        <is>
          <t>KINDA</t>
        </is>
      </c>
      <c r="I239" t="n">
        <v>5.1</v>
      </c>
      <c r="J239" t="n">
        <v>0</v>
      </c>
      <c r="K239" t="n">
        <v>0</v>
      </c>
      <c r="L239" t="n">
        <v>0</v>
      </c>
      <c r="M239" t="n">
        <v>0</v>
      </c>
      <c r="N239" t="n">
        <v>0</v>
      </c>
      <c r="O239" t="n">
        <v>0</v>
      </c>
      <c r="P239" t="n">
        <v>0</v>
      </c>
      <c r="Q239" t="n">
        <v>0</v>
      </c>
      <c r="R239" t="n">
        <v>0</v>
      </c>
      <c r="S239" t="n">
        <v>0</v>
      </c>
      <c r="T239" t="n">
        <v>0</v>
      </c>
      <c r="U239" s="2" t="inlineStr"/>
    </row>
    <row r="240" ht="15" customHeight="1">
      <c r="A240" t="inlineStr">
        <is>
          <t>A 5899-2026</t>
        </is>
      </c>
      <c r="B240" t="inlineStr">
        <is>
          <t>avverkningsanmälan</t>
        </is>
      </c>
      <c r="C240" t="inlineStr">
        <is>
          <t>Föryngringsavverkning</t>
        </is>
      </c>
      <c r="D240" s="1" t="n">
        <v>46052</v>
      </c>
      <c r="E240" s="1" t="n">
        <v>46223</v>
      </c>
      <c r="F240" t="inlineStr">
        <is>
          <t>ÖSTERGÖTLANDS LÄN</t>
        </is>
      </c>
      <c r="G240" t="inlineStr">
        <is>
          <t>KINDA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12856-2025</t>
        </is>
      </c>
      <c r="B241" t="inlineStr">
        <is>
          <t>avverkningsanmälan</t>
        </is>
      </c>
      <c r="C241" t="inlineStr">
        <is>
          <t>Föryngringsavverkning</t>
        </is>
      </c>
      <c r="D241" s="1" t="n">
        <v>45733</v>
      </c>
      <c r="E241" s="1" t="n">
        <v>46223</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29782-2025</t>
        </is>
      </c>
      <c r="B242" t="inlineStr">
        <is>
          <t>avverkningsanmälan</t>
        </is>
      </c>
      <c r="C242" t="inlineStr">
        <is>
          <t>Föryngringsavverkning</t>
        </is>
      </c>
      <c r="D242" s="1" t="n">
        <v>45825</v>
      </c>
      <c r="E242" s="1" t="n">
        <v>46223</v>
      </c>
      <c r="F242" t="inlineStr">
        <is>
          <t>ÖSTERGÖTLANDS LÄN</t>
        </is>
      </c>
      <c r="G242" t="inlineStr">
        <is>
          <t>KINDA</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56041-2024</t>
        </is>
      </c>
      <c r="B243" t="inlineStr">
        <is>
          <t>avverkningsanmälan</t>
        </is>
      </c>
      <c r="C243" t="inlineStr">
        <is>
          <t>Föryngringsavverkning</t>
        </is>
      </c>
      <c r="D243" s="1" t="n">
        <v>45624</v>
      </c>
      <c r="E243" s="1" t="n">
        <v>46223</v>
      </c>
      <c r="F243" t="inlineStr">
        <is>
          <t>ÖSTERGÖTLANDS LÄN</t>
        </is>
      </c>
      <c r="G243" t="inlineStr">
        <is>
          <t>KINDA</t>
        </is>
      </c>
      <c r="H243" t="inlineStr">
        <is>
          <t>Sveaskog</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17172-2022</t>
        </is>
      </c>
      <c r="B244" t="inlineStr">
        <is>
          <t>avverkningsanmälan</t>
        </is>
      </c>
      <c r="C244" t="inlineStr">
        <is>
          <t>Föryngringsavverkning</t>
        </is>
      </c>
      <c r="D244" s="1" t="n">
        <v>44677</v>
      </c>
      <c r="E244" s="1" t="n">
        <v>46223</v>
      </c>
      <c r="F244" t="inlineStr">
        <is>
          <t>ÖSTERGÖTLANDS LÄN</t>
        </is>
      </c>
      <c r="G244" t="inlineStr">
        <is>
          <t>KINDA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21700-2023</t>
        </is>
      </c>
      <c r="B245" t="inlineStr">
        <is>
          <t>avverkningsanmälan</t>
        </is>
      </c>
      <c r="C245" t="inlineStr">
        <is>
          <t>Föryngringsavverkning</t>
        </is>
      </c>
      <c r="D245" s="1" t="n">
        <v>45062</v>
      </c>
      <c r="E245" s="1" t="n">
        <v>46223</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5649-2023</t>
        </is>
      </c>
      <c r="B246" t="inlineStr">
        <is>
          <t>avverkningsanmälan</t>
        </is>
      </c>
      <c r="C246" t="inlineStr">
        <is>
          <t>Föryngringsavverkning</t>
        </is>
      </c>
      <c r="D246" s="1" t="n">
        <v>44960</v>
      </c>
      <c r="E246" s="1" t="n">
        <v>46223</v>
      </c>
      <c r="F246" t="inlineStr">
        <is>
          <t>ÖSTERGÖTLANDS LÄN</t>
        </is>
      </c>
      <c r="G246" t="inlineStr">
        <is>
          <t>KINDA</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46890-2025</t>
        </is>
      </c>
      <c r="B247" t="inlineStr">
        <is>
          <t>avverkningsanmälan</t>
        </is>
      </c>
      <c r="C247" t="inlineStr">
        <is>
          <t>Föryngringsavverkning</t>
        </is>
      </c>
      <c r="D247" s="1" t="n">
        <v>45929</v>
      </c>
      <c r="E247" s="1" t="n">
        <v>46223</v>
      </c>
      <c r="F247" t="inlineStr">
        <is>
          <t>ÖSTERGÖTLANDS LÄN</t>
        </is>
      </c>
      <c r="G247" t="inlineStr">
        <is>
          <t>KINDA</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9576-2024</t>
        </is>
      </c>
      <c r="B248" t="inlineStr">
        <is>
          <t>avverkningsanmälan</t>
        </is>
      </c>
      <c r="C248" t="inlineStr">
        <is>
          <t>Föryngringsavverkning</t>
        </is>
      </c>
      <c r="D248" s="1" t="n">
        <v>45360</v>
      </c>
      <c r="E248" s="1" t="n">
        <v>46223</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9600-2024</t>
        </is>
      </c>
      <c r="B249" t="inlineStr">
        <is>
          <t>avverkningsanmälan</t>
        </is>
      </c>
      <c r="C249" t="inlineStr">
        <is>
          <t>Föryngringsavverkning</t>
        </is>
      </c>
      <c r="D249" s="1" t="n">
        <v>45361</v>
      </c>
      <c r="E249" s="1" t="n">
        <v>46223</v>
      </c>
      <c r="F249" t="inlineStr">
        <is>
          <t>ÖSTERGÖTLANDS LÄN</t>
        </is>
      </c>
      <c r="G249" t="inlineStr">
        <is>
          <t>KINDA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6104-2022</t>
        </is>
      </c>
      <c r="B250" t="inlineStr">
        <is>
          <t>avverkningsanmälan</t>
        </is>
      </c>
      <c r="C250" t="inlineStr">
        <is>
          <t>Föryngringsavverkning</t>
        </is>
      </c>
      <c r="D250" s="1" t="n">
        <v>44599</v>
      </c>
      <c r="E250" s="1" t="n">
        <v>46223</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48811-2024</t>
        </is>
      </c>
      <c r="B251" t="inlineStr">
        <is>
          <t>avverkningsanmälan</t>
        </is>
      </c>
      <c r="C251" t="inlineStr">
        <is>
          <t>Föryngringsavverkning</t>
        </is>
      </c>
      <c r="D251" s="1" t="n">
        <v>45593</v>
      </c>
      <c r="E251" s="1" t="n">
        <v>46223</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61954-2022</t>
        </is>
      </c>
      <c r="B252" t="inlineStr">
        <is>
          <t>avverkningsanmälan</t>
        </is>
      </c>
      <c r="C252" t="inlineStr">
        <is>
          <t>Föryngringsavverkning</t>
        </is>
      </c>
      <c r="D252" s="1" t="n">
        <v>44918</v>
      </c>
      <c r="E252" s="1" t="n">
        <v>46223</v>
      </c>
      <c r="F252" t="inlineStr">
        <is>
          <t>ÖSTERGÖTLANDS LÄN</t>
        </is>
      </c>
      <c r="G252" t="inlineStr">
        <is>
          <t>KINDA</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5707-2024</t>
        </is>
      </c>
      <c r="B253" t="inlineStr">
        <is>
          <t>avverkningsanmälan</t>
        </is>
      </c>
      <c r="C253" t="inlineStr">
        <is>
          <t>Föryngringsavverkning</t>
        </is>
      </c>
      <c r="D253" s="1" t="n">
        <v>45334</v>
      </c>
      <c r="E253" s="1" t="n">
        <v>46223</v>
      </c>
      <c r="F253" t="inlineStr">
        <is>
          <t>ÖSTERGÖTLANDS LÄN</t>
        </is>
      </c>
      <c r="G253" t="inlineStr">
        <is>
          <t>KINDA</t>
        </is>
      </c>
      <c r="I253" t="n">
        <v>6.2</v>
      </c>
      <c r="J253" t="n">
        <v>0</v>
      </c>
      <c r="K253" t="n">
        <v>0</v>
      </c>
      <c r="L253" t="n">
        <v>0</v>
      </c>
      <c r="M253" t="n">
        <v>0</v>
      </c>
      <c r="N253" t="n">
        <v>0</v>
      </c>
      <c r="O253" t="n">
        <v>0</v>
      </c>
      <c r="P253" t="n">
        <v>0</v>
      </c>
      <c r="Q253" t="n">
        <v>0</v>
      </c>
      <c r="R253" t="n">
        <v>0</v>
      </c>
      <c r="S253" t="n">
        <v>0</v>
      </c>
      <c r="T253" t="n">
        <v>0</v>
      </c>
      <c r="U253" s="2" t="inlineStr"/>
    </row>
    <row r="254" ht="15" customHeight="1">
      <c r="A254" t="inlineStr">
        <is>
          <t>A 22443-2025</t>
        </is>
      </c>
      <c r="B254" t="inlineStr">
        <is>
          <t>avverkningsanmälan</t>
        </is>
      </c>
      <c r="C254" t="inlineStr">
        <is>
          <t>Föryngringsavverkning</t>
        </is>
      </c>
      <c r="D254" s="1" t="n">
        <v>45786</v>
      </c>
      <c r="E254" s="1" t="n">
        <v>46223</v>
      </c>
      <c r="F254" t="inlineStr">
        <is>
          <t>ÖSTERGÖTLANDS LÄN</t>
        </is>
      </c>
      <c r="G254" t="inlineStr">
        <is>
          <t>KINDA</t>
        </is>
      </c>
      <c r="I254" t="n">
        <v>8.300000000000001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48386-2024</t>
        </is>
      </c>
      <c r="B255" t="inlineStr">
        <is>
          <t>avverkningsanmälan</t>
        </is>
      </c>
      <c r="C255" t="inlineStr">
        <is>
          <t>Föryngringsavverkning</t>
        </is>
      </c>
      <c r="D255" s="1" t="n">
        <v>45590</v>
      </c>
      <c r="E255" s="1" t="n">
        <v>46223</v>
      </c>
      <c r="F255" t="inlineStr">
        <is>
          <t>ÖSTERGÖTLANDS LÄN</t>
        </is>
      </c>
      <c r="G255" t="inlineStr">
        <is>
          <t>KINDA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36172-2025</t>
        </is>
      </c>
      <c r="B256" t="inlineStr">
        <is>
          <t>avverkningsanmälan</t>
        </is>
      </c>
      <c r="C256" t="inlineStr">
        <is>
          <t>Föryngringsavverkning</t>
        </is>
      </c>
      <c r="D256" s="1" t="n">
        <v>45866</v>
      </c>
      <c r="E256" s="1" t="n">
        <v>46223</v>
      </c>
      <c r="F256" t="inlineStr">
        <is>
          <t>ÖSTERGÖTLANDS LÄN</t>
        </is>
      </c>
      <c r="G256" t="inlineStr">
        <is>
          <t>KINDA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62565-2021</t>
        </is>
      </c>
      <c r="B257" t="inlineStr">
        <is>
          <t>avverkningsanmälan</t>
        </is>
      </c>
      <c r="C257" t="inlineStr">
        <is>
          <t>Föryngringsavverkning</t>
        </is>
      </c>
      <c r="D257" s="1" t="n">
        <v>44502</v>
      </c>
      <c r="E257" s="1" t="n">
        <v>46223</v>
      </c>
      <c r="F257" t="inlineStr">
        <is>
          <t>ÖSTERGÖTLANDS LÄN</t>
        </is>
      </c>
      <c r="G257" t="inlineStr">
        <is>
          <t>KINDA</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24711-2023</t>
        </is>
      </c>
      <c r="B258" t="inlineStr">
        <is>
          <t>avverkningsanmälan</t>
        </is>
      </c>
      <c r="C258" t="inlineStr">
        <is>
          <t>Föryngringsavverkning</t>
        </is>
      </c>
      <c r="D258" s="1" t="n">
        <v>45078</v>
      </c>
      <c r="E258" s="1" t="n">
        <v>46223</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57449-2021</t>
        </is>
      </c>
      <c r="B259" t="inlineStr">
        <is>
          <t>avverkningsanmälan</t>
        </is>
      </c>
      <c r="C259" t="inlineStr">
        <is>
          <t>Föryngringsavverkning</t>
        </is>
      </c>
      <c r="D259" s="1" t="n">
        <v>44483</v>
      </c>
      <c r="E259" s="1" t="n">
        <v>46223</v>
      </c>
      <c r="F259" t="inlineStr">
        <is>
          <t>ÖSTERGÖTLANDS LÄN</t>
        </is>
      </c>
      <c r="G259" t="inlineStr">
        <is>
          <t>KINDA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2430-2025</t>
        </is>
      </c>
      <c r="B260" t="inlineStr">
        <is>
          <t>avverkningsanmälan</t>
        </is>
      </c>
      <c r="C260" t="inlineStr">
        <is>
          <t>Föryngringsavverkning</t>
        </is>
      </c>
      <c r="D260" s="1" t="n">
        <v>45674</v>
      </c>
      <c r="E260" s="1" t="n">
        <v>46223</v>
      </c>
      <c r="F260" t="inlineStr">
        <is>
          <t>ÖSTERGÖTLANDS LÄN</t>
        </is>
      </c>
      <c r="G260" t="inlineStr">
        <is>
          <t>KINDA</t>
        </is>
      </c>
      <c r="H260" t="inlineStr">
        <is>
          <t>Kommuner</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49834-2025</t>
        </is>
      </c>
      <c r="B261" t="inlineStr">
        <is>
          <t>avverkningsanmälan</t>
        </is>
      </c>
      <c r="C261" t="inlineStr">
        <is>
          <t>Föryngringsavverkning</t>
        </is>
      </c>
      <c r="D261" s="1" t="n">
        <v>45940</v>
      </c>
      <c r="E261" s="1" t="n">
        <v>46223</v>
      </c>
      <c r="F261" t="inlineStr">
        <is>
          <t>ÖSTERGÖTLANDS LÄN</t>
        </is>
      </c>
      <c r="G261" t="inlineStr">
        <is>
          <t>KINDA</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61544-2024</t>
        </is>
      </c>
      <c r="B262" t="inlineStr">
        <is>
          <t>avverkningsanmälan</t>
        </is>
      </c>
      <c r="C262" t="inlineStr">
        <is>
          <t>Föryngringsavverkning</t>
        </is>
      </c>
      <c r="D262" s="1" t="n">
        <v>45646</v>
      </c>
      <c r="E262" s="1" t="n">
        <v>46223</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50741-2025</t>
        </is>
      </c>
      <c r="B263" t="inlineStr">
        <is>
          <t>avverkningsanmälan</t>
        </is>
      </c>
      <c r="C263" t="inlineStr">
        <is>
          <t>Föryngringsavverkning</t>
        </is>
      </c>
      <c r="D263" s="1" t="n">
        <v>45946</v>
      </c>
      <c r="E263" s="1" t="n">
        <v>46223</v>
      </c>
      <c r="F263" t="inlineStr">
        <is>
          <t>ÖSTERGÖTLANDS LÄN</t>
        </is>
      </c>
      <c r="G263" t="inlineStr">
        <is>
          <t>KINDA</t>
        </is>
      </c>
      <c r="H263" t="inlineStr">
        <is>
          <t>Övriga Aktiebolag</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24075-2025</t>
        </is>
      </c>
      <c r="B264" t="inlineStr">
        <is>
          <t>avverkningsanmälan</t>
        </is>
      </c>
      <c r="C264" t="inlineStr">
        <is>
          <t>Föryngringsavverkning</t>
        </is>
      </c>
      <c r="D264" s="1" t="n">
        <v>45796</v>
      </c>
      <c r="E264" s="1" t="n">
        <v>46223</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26625-2022</t>
        </is>
      </c>
      <c r="B265" t="inlineStr">
        <is>
          <t>avverkningsanmälan</t>
        </is>
      </c>
      <c r="C265" t="inlineStr">
        <is>
          <t>Föryngringsavverkning</t>
        </is>
      </c>
      <c r="D265" s="1" t="n">
        <v>44739</v>
      </c>
      <c r="E265" s="1" t="n">
        <v>46223</v>
      </c>
      <c r="F265" t="inlineStr">
        <is>
          <t>ÖSTERGÖTLANDS LÄN</t>
        </is>
      </c>
      <c r="G265" t="inlineStr">
        <is>
          <t>KINDA</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23883-2023</t>
        </is>
      </c>
      <c r="B266" t="inlineStr">
        <is>
          <t>avverkningsanmälan</t>
        </is>
      </c>
      <c r="C266" t="inlineStr">
        <is>
          <t>Föryngringsavverkning</t>
        </is>
      </c>
      <c r="D266" s="1" t="n">
        <v>45078</v>
      </c>
      <c r="E266" s="1" t="n">
        <v>46223</v>
      </c>
      <c r="F266" t="inlineStr">
        <is>
          <t>ÖSTERGÖTLANDS LÄN</t>
        </is>
      </c>
      <c r="G266" t="inlineStr">
        <is>
          <t>KINDA</t>
        </is>
      </c>
      <c r="H266" t="inlineStr">
        <is>
          <t>Sveaskog</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47003-2025</t>
        </is>
      </c>
      <c r="B267" t="inlineStr">
        <is>
          <t>avverkningsanmälan</t>
        </is>
      </c>
      <c r="C267" t="inlineStr">
        <is>
          <t>Föryngringsavverkning</t>
        </is>
      </c>
      <c r="D267" s="1" t="n">
        <v>45929</v>
      </c>
      <c r="E267" s="1" t="n">
        <v>46223</v>
      </c>
      <c r="F267" t="inlineStr">
        <is>
          <t>ÖSTERGÖTLANDS LÄN</t>
        </is>
      </c>
      <c r="G267" t="inlineStr">
        <is>
          <t>KINDA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36942-2023</t>
        </is>
      </c>
      <c r="B268" t="inlineStr">
        <is>
          <t>avverkningsanmälan</t>
        </is>
      </c>
      <c r="C268" t="inlineStr">
        <is>
          <t>Föryngringsavverkning</t>
        </is>
      </c>
      <c r="D268" s="1" t="n">
        <v>45154</v>
      </c>
      <c r="E268" s="1" t="n">
        <v>46223</v>
      </c>
      <c r="F268" t="inlineStr">
        <is>
          <t>ÖSTERGÖTLANDS LÄN</t>
        </is>
      </c>
      <c r="G268" t="inlineStr">
        <is>
          <t>KINDA</t>
        </is>
      </c>
      <c r="H268" t="inlineStr">
        <is>
          <t>Allmännings- och besparingsskogar</t>
        </is>
      </c>
      <c r="I268" t="n">
        <v>14.8</v>
      </c>
      <c r="J268" t="n">
        <v>0</v>
      </c>
      <c r="K268" t="n">
        <v>0</v>
      </c>
      <c r="L268" t="n">
        <v>0</v>
      </c>
      <c r="M268" t="n">
        <v>0</v>
      </c>
      <c r="N268" t="n">
        <v>0</v>
      </c>
      <c r="O268" t="n">
        <v>0</v>
      </c>
      <c r="P268" t="n">
        <v>0</v>
      </c>
      <c r="Q268" t="n">
        <v>0</v>
      </c>
      <c r="R268" t="n">
        <v>0</v>
      </c>
      <c r="S268" t="n">
        <v>0</v>
      </c>
      <c r="T268" t="n">
        <v>0</v>
      </c>
      <c r="U268" s="2" t="inlineStr"/>
    </row>
    <row r="269" ht="15" customHeight="1">
      <c r="A269" t="inlineStr">
        <is>
          <t>A 57500-2024</t>
        </is>
      </c>
      <c r="B269" t="inlineStr">
        <is>
          <t>avverkningsanmälan</t>
        </is>
      </c>
      <c r="C269" t="inlineStr">
        <is>
          <t>Föryngringsavverkning</t>
        </is>
      </c>
      <c r="D269" s="1" t="n">
        <v>45629</v>
      </c>
      <c r="E269" s="1" t="n">
        <v>46223</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52766-2025</t>
        </is>
      </c>
      <c r="B270" t="inlineStr">
        <is>
          <t>avverkningsanmälan</t>
        </is>
      </c>
      <c r="C270" t="inlineStr">
        <is>
          <t>Föryngringsavverkning</t>
        </is>
      </c>
      <c r="D270" s="1" t="n">
        <v>45957</v>
      </c>
      <c r="E270" s="1" t="n">
        <v>46223</v>
      </c>
      <c r="F270" t="inlineStr">
        <is>
          <t>ÖSTERGÖTLANDS LÄN</t>
        </is>
      </c>
      <c r="G270" t="inlineStr">
        <is>
          <t>KINDA</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43432-2023</t>
        </is>
      </c>
      <c r="B271" t="inlineStr">
        <is>
          <t>avverkningsanmälan</t>
        </is>
      </c>
      <c r="C271" t="inlineStr">
        <is>
          <t>Föryngringsavverkning</t>
        </is>
      </c>
      <c r="D271" s="1" t="n">
        <v>45184</v>
      </c>
      <c r="E271" s="1" t="n">
        <v>46223</v>
      </c>
      <c r="F271" t="inlineStr">
        <is>
          <t>ÖSTERGÖTLANDS LÄN</t>
        </is>
      </c>
      <c r="G271" t="inlineStr">
        <is>
          <t>KINDA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9399-2023</t>
        </is>
      </c>
      <c r="B272" t="inlineStr">
        <is>
          <t>avverkningsanmälan</t>
        </is>
      </c>
      <c r="C272" t="inlineStr">
        <is>
          <t>Föryngringsavverkning</t>
        </is>
      </c>
      <c r="D272" s="1" t="n">
        <v>44981</v>
      </c>
      <c r="E272" s="1" t="n">
        <v>46223</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15568-2023</t>
        </is>
      </c>
      <c r="B273" t="inlineStr">
        <is>
          <t>avverkningsanmälan</t>
        </is>
      </c>
      <c r="C273" t="inlineStr">
        <is>
          <t>Föryngringsavverkning</t>
        </is>
      </c>
      <c r="D273" s="1" t="n">
        <v>45020</v>
      </c>
      <c r="E273" s="1" t="n">
        <v>46223</v>
      </c>
      <c r="F273" t="inlineStr">
        <is>
          <t>ÖSTERGÖTLANDS LÄN</t>
        </is>
      </c>
      <c r="G273" t="inlineStr">
        <is>
          <t>KINDA</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54484-2022</t>
        </is>
      </c>
      <c r="B274" t="inlineStr">
        <is>
          <t>avverkningsanmälan</t>
        </is>
      </c>
      <c r="C274" t="inlineStr">
        <is>
          <t>Avverkning för annat ändamål</t>
        </is>
      </c>
      <c r="D274" s="1" t="n">
        <v>44882</v>
      </c>
      <c r="E274" s="1" t="n">
        <v>46223</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35152-2024</t>
        </is>
      </c>
      <c r="B275" t="inlineStr">
        <is>
          <t>avverkningsanmälan</t>
        </is>
      </c>
      <c r="C275" t="inlineStr">
        <is>
          <t>Föryngringsavverkning</t>
        </is>
      </c>
      <c r="D275" s="1" t="n">
        <v>45530</v>
      </c>
      <c r="E275" s="1" t="n">
        <v>46223</v>
      </c>
      <c r="F275" t="inlineStr">
        <is>
          <t>ÖSTERGÖTLANDS LÄN</t>
        </is>
      </c>
      <c r="G275" t="inlineStr">
        <is>
          <t>KINDA</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16610-2023</t>
        </is>
      </c>
      <c r="B276" t="inlineStr">
        <is>
          <t>avverkningsanmälan</t>
        </is>
      </c>
      <c r="C276" t="inlineStr">
        <is>
          <t>Föryngringsavverkning</t>
        </is>
      </c>
      <c r="D276" s="1" t="n">
        <v>45030</v>
      </c>
      <c r="E276" s="1" t="n">
        <v>46223</v>
      </c>
      <c r="F276" t="inlineStr">
        <is>
          <t>ÖSTERGÖTLANDS LÄN</t>
        </is>
      </c>
      <c r="G276" t="inlineStr">
        <is>
          <t>KINDA</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24748-2023</t>
        </is>
      </c>
      <c r="B277" t="inlineStr">
        <is>
          <t>avverkningsanmälan</t>
        </is>
      </c>
      <c r="C277" t="inlineStr">
        <is>
          <t>Föryngringsavverkning</t>
        </is>
      </c>
      <c r="D277" s="1" t="n">
        <v>45078</v>
      </c>
      <c r="E277" s="1" t="n">
        <v>46223</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767-2025</t>
        </is>
      </c>
      <c r="B278" t="inlineStr">
        <is>
          <t>avverkningsanmälan</t>
        </is>
      </c>
      <c r="C278" t="inlineStr">
        <is>
          <t>Föryngringsavverkning</t>
        </is>
      </c>
      <c r="D278" s="1" t="n">
        <v>45665</v>
      </c>
      <c r="E278" s="1" t="n">
        <v>46223</v>
      </c>
      <c r="F278" t="inlineStr">
        <is>
          <t>ÖSTERGÖTLANDS LÄN</t>
        </is>
      </c>
      <c r="G278" t="inlineStr">
        <is>
          <t>KINDA</t>
        </is>
      </c>
      <c r="I278" t="n">
        <v>5</v>
      </c>
      <c r="J278" t="n">
        <v>0</v>
      </c>
      <c r="K278" t="n">
        <v>0</v>
      </c>
      <c r="L278" t="n">
        <v>0</v>
      </c>
      <c r="M278" t="n">
        <v>0</v>
      </c>
      <c r="N278" t="n">
        <v>0</v>
      </c>
      <c r="O278" t="n">
        <v>0</v>
      </c>
      <c r="P278" t="n">
        <v>0</v>
      </c>
      <c r="Q278" t="n">
        <v>0</v>
      </c>
      <c r="R278" t="n">
        <v>0</v>
      </c>
      <c r="S278" t="n">
        <v>0</v>
      </c>
      <c r="T278" t="n">
        <v>0</v>
      </c>
      <c r="U278" s="2" t="inlineStr"/>
    </row>
    <row r="279" ht="15" customHeight="1">
      <c r="A279" t="inlineStr">
        <is>
          <t>A 10517-2026</t>
        </is>
      </c>
      <c r="B279" t="inlineStr">
        <is>
          <t>avverkningsanmälan</t>
        </is>
      </c>
      <c r="C279" t="inlineStr">
        <is>
          <t>Föryngringsavverkning</t>
        </is>
      </c>
      <c r="D279" s="1" t="n">
        <v>46077</v>
      </c>
      <c r="E279" s="1" t="n">
        <v>46223</v>
      </c>
      <c r="F279" t="inlineStr">
        <is>
          <t>ÖSTERGÖTLANDS LÄN</t>
        </is>
      </c>
      <c r="G279" t="inlineStr">
        <is>
          <t>KINDA</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55000-2025</t>
        </is>
      </c>
      <c r="B280" t="inlineStr">
        <is>
          <t>avverkningsanmälan</t>
        </is>
      </c>
      <c r="C280" t="inlineStr">
        <is>
          <t>Föryngringsavverkning</t>
        </is>
      </c>
      <c r="D280" s="1" t="n">
        <v>45967</v>
      </c>
      <c r="E280" s="1" t="n">
        <v>46223</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s="2" t="inlineStr"/>
    </row>
    <row r="281" ht="15" customHeight="1">
      <c r="A281" t="inlineStr">
        <is>
          <t>A 41450-2022</t>
        </is>
      </c>
      <c r="B281" t="inlineStr">
        <is>
          <t>avverkningsanmälan</t>
        </is>
      </c>
      <c r="C281" t="inlineStr">
        <is>
          <t>Föryngringsavverkning</t>
        </is>
      </c>
      <c r="D281" s="1" t="n">
        <v>44826</v>
      </c>
      <c r="E281" s="1" t="n">
        <v>46223</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1876-2025</t>
        </is>
      </c>
      <c r="B282" t="inlineStr">
        <is>
          <t>avverkningsanmälan</t>
        </is>
      </c>
      <c r="C282" t="inlineStr">
        <is>
          <t>Föryngringsavverkning</t>
        </is>
      </c>
      <c r="D282" s="1" t="n">
        <v>45671</v>
      </c>
      <c r="E282" s="1" t="n">
        <v>46223</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54345-2022</t>
        </is>
      </c>
      <c r="B283" t="inlineStr">
        <is>
          <t>avverkningsanmälan</t>
        </is>
      </c>
      <c r="C283" t="inlineStr">
        <is>
          <t>Avverkning för annat ändamål</t>
        </is>
      </c>
      <c r="D283" s="1" t="n">
        <v>44882</v>
      </c>
      <c r="E283" s="1" t="n">
        <v>46223</v>
      </c>
      <c r="F283" t="inlineStr">
        <is>
          <t>ÖSTERGÖTLANDS LÄN</t>
        </is>
      </c>
      <c r="G283" t="inlineStr">
        <is>
          <t>KINDA</t>
        </is>
      </c>
      <c r="I283" t="n">
        <v>0.1</v>
      </c>
      <c r="J283" t="n">
        <v>0</v>
      </c>
      <c r="K283" t="n">
        <v>0</v>
      </c>
      <c r="L283" t="n">
        <v>0</v>
      </c>
      <c r="M283" t="n">
        <v>0</v>
      </c>
      <c r="N283" t="n">
        <v>0</v>
      </c>
      <c r="O283" t="n">
        <v>0</v>
      </c>
      <c r="P283" t="n">
        <v>0</v>
      </c>
      <c r="Q283" t="n">
        <v>0</v>
      </c>
      <c r="R283" t="n">
        <v>0</v>
      </c>
      <c r="S283" t="n">
        <v>0</v>
      </c>
      <c r="T283" t="n">
        <v>0</v>
      </c>
      <c r="U283" s="2" t="inlineStr"/>
    </row>
    <row r="284" ht="15" customHeight="1">
      <c r="A284" t="inlineStr">
        <is>
          <t>A 1503-2023</t>
        </is>
      </c>
      <c r="B284" t="inlineStr">
        <is>
          <t>avverkningsanmälan</t>
        </is>
      </c>
      <c r="C284" t="inlineStr">
        <is>
          <t>Avverkning för annat ändamål</t>
        </is>
      </c>
      <c r="D284" s="1" t="n">
        <v>44935</v>
      </c>
      <c r="E284" s="1" t="n">
        <v>46223</v>
      </c>
      <c r="F284" t="inlineStr">
        <is>
          <t>ÖSTERGÖTLANDS LÄN</t>
        </is>
      </c>
      <c r="G284" t="inlineStr">
        <is>
          <t>KINDA</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9702-2022</t>
        </is>
      </c>
      <c r="B285" t="inlineStr">
        <is>
          <t>avverkningsanmälan</t>
        </is>
      </c>
      <c r="C285" t="inlineStr">
        <is>
          <t>Föryngringsavverkning</t>
        </is>
      </c>
      <c r="D285" s="1" t="n">
        <v>44617</v>
      </c>
      <c r="E285" s="1" t="n">
        <v>46223</v>
      </c>
      <c r="F285" t="inlineStr">
        <is>
          <t>ÖSTERGÖTLANDS LÄN</t>
        </is>
      </c>
      <c r="G285" t="inlineStr">
        <is>
          <t>KINDA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18410-2023</t>
        </is>
      </c>
      <c r="B286" t="inlineStr">
        <is>
          <t>avverkningsanmälan</t>
        </is>
      </c>
      <c r="C286" t="inlineStr">
        <is>
          <t>Föryngringsavverkning</t>
        </is>
      </c>
      <c r="D286" s="1" t="n">
        <v>45042</v>
      </c>
      <c r="E286" s="1" t="n">
        <v>46223</v>
      </c>
      <c r="F286" t="inlineStr">
        <is>
          <t>ÖSTERGÖTLANDS LÄN</t>
        </is>
      </c>
      <c r="G286" t="inlineStr">
        <is>
          <t>KINDA</t>
        </is>
      </c>
      <c r="I286" t="n">
        <v>5.6</v>
      </c>
      <c r="J286" t="n">
        <v>0</v>
      </c>
      <c r="K286" t="n">
        <v>0</v>
      </c>
      <c r="L286" t="n">
        <v>0</v>
      </c>
      <c r="M286" t="n">
        <v>0</v>
      </c>
      <c r="N286" t="n">
        <v>0</v>
      </c>
      <c r="O286" t="n">
        <v>0</v>
      </c>
      <c r="P286" t="n">
        <v>0</v>
      </c>
      <c r="Q286" t="n">
        <v>0</v>
      </c>
      <c r="R286" t="n">
        <v>0</v>
      </c>
      <c r="S286" t="n">
        <v>0</v>
      </c>
      <c r="T286" t="n">
        <v>0</v>
      </c>
      <c r="U286" s="2" t="inlineStr"/>
    </row>
    <row r="287" ht="15" customHeight="1">
      <c r="A287" t="inlineStr">
        <is>
          <t>A 4659-2023</t>
        </is>
      </c>
      <c r="B287" t="inlineStr">
        <is>
          <t>avverkningsanmälan</t>
        </is>
      </c>
      <c r="C287" t="inlineStr">
        <is>
          <t>Föryngringsavverkning</t>
        </is>
      </c>
      <c r="D287" s="1" t="n">
        <v>44952</v>
      </c>
      <c r="E287" s="1" t="n">
        <v>46223</v>
      </c>
      <c r="F287" t="inlineStr">
        <is>
          <t>ÖSTERGÖTLANDS LÄN</t>
        </is>
      </c>
      <c r="G287" t="inlineStr">
        <is>
          <t>KINDA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11231-2026</t>
        </is>
      </c>
      <c r="B288" t="inlineStr">
        <is>
          <t>avverkningsanmälan</t>
        </is>
      </c>
      <c r="C288" t="inlineStr">
        <is>
          <t>Föryngringsavverkning</t>
        </is>
      </c>
      <c r="D288" s="1" t="n">
        <v>46080</v>
      </c>
      <c r="E288" s="1" t="n">
        <v>46223</v>
      </c>
      <c r="F288" t="inlineStr">
        <is>
          <t>ÖSTERGÖTLANDS LÄN</t>
        </is>
      </c>
      <c r="G288" t="inlineStr">
        <is>
          <t>KINDA</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46918-2022</t>
        </is>
      </c>
      <c r="B289" t="inlineStr">
        <is>
          <t>avverkningsanmälan</t>
        </is>
      </c>
      <c r="C289" t="inlineStr">
        <is>
          <t>Föryngringsavverkning</t>
        </is>
      </c>
      <c r="D289" s="1" t="n">
        <v>44851</v>
      </c>
      <c r="E289" s="1" t="n">
        <v>46223</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56007-2025</t>
        </is>
      </c>
      <c r="B290" t="inlineStr">
        <is>
          <t>avverkningsanmälan</t>
        </is>
      </c>
      <c r="C290" t="inlineStr">
        <is>
          <t>Föryngringsavverkning</t>
        </is>
      </c>
      <c r="D290" s="1" t="n">
        <v>45973</v>
      </c>
      <c r="E290" s="1" t="n">
        <v>46223</v>
      </c>
      <c r="F290" t="inlineStr">
        <is>
          <t>ÖSTERGÖTLANDS LÄN</t>
        </is>
      </c>
      <c r="G290" t="inlineStr">
        <is>
          <t>KINDA</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11183-2026</t>
        </is>
      </c>
      <c r="B291" t="inlineStr">
        <is>
          <t>avverkningsanmälan</t>
        </is>
      </c>
      <c r="C291" t="inlineStr">
        <is>
          <t>Föryngringsavverkning</t>
        </is>
      </c>
      <c r="D291" s="1" t="n">
        <v>46080</v>
      </c>
      <c r="E291" s="1" t="n">
        <v>46223</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650-2023</t>
        </is>
      </c>
      <c r="B292" t="inlineStr">
        <is>
          <t>avverkningsanmälan</t>
        </is>
      </c>
      <c r="C292" t="inlineStr">
        <is>
          <t>Föryngringsavverkning</t>
        </is>
      </c>
      <c r="D292" s="1" t="n">
        <v>44930</v>
      </c>
      <c r="E292" s="1" t="n">
        <v>46223</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11184-2026</t>
        </is>
      </c>
      <c r="B293" t="inlineStr">
        <is>
          <t>avverkningsanmälan</t>
        </is>
      </c>
      <c r="C293" t="inlineStr">
        <is>
          <t>Föryngringsavverkning</t>
        </is>
      </c>
      <c r="D293" s="1" t="n">
        <v>46080</v>
      </c>
      <c r="E293" s="1" t="n">
        <v>46223</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8318-2025</t>
        </is>
      </c>
      <c r="B294" t="inlineStr">
        <is>
          <t>avverkningsanmälan</t>
        </is>
      </c>
      <c r="C294" t="inlineStr">
        <is>
          <t>Föryngringsavverkning</t>
        </is>
      </c>
      <c r="D294" s="1" t="n">
        <v>45708</v>
      </c>
      <c r="E294" s="1" t="n">
        <v>46223</v>
      </c>
      <c r="F294" t="inlineStr">
        <is>
          <t>ÖSTERGÖTLANDS LÄN</t>
        </is>
      </c>
      <c r="G294" t="inlineStr">
        <is>
          <t>KINDA</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11922-2026</t>
        </is>
      </c>
      <c r="B295" t="inlineStr">
        <is>
          <t>avverkningsanmälan</t>
        </is>
      </c>
      <c r="C295" t="inlineStr">
        <is>
          <t>Avverkning för annat ändamål</t>
        </is>
      </c>
      <c r="D295" s="1" t="n">
        <v>46085</v>
      </c>
      <c r="E295" s="1" t="n">
        <v>46223</v>
      </c>
      <c r="F295" t="inlineStr">
        <is>
          <t>ÖSTERGÖTLANDS LÄN</t>
        </is>
      </c>
      <c r="G295" t="inlineStr">
        <is>
          <t>KINDA</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59573-2022</t>
        </is>
      </c>
      <c r="B296" t="inlineStr">
        <is>
          <t>avverkningsanmälan</t>
        </is>
      </c>
      <c r="C296" t="inlineStr">
        <is>
          <t>Föryngringsavverkning</t>
        </is>
      </c>
      <c r="D296" s="1" t="n">
        <v>44907</v>
      </c>
      <c r="E296" s="1" t="n">
        <v>46223</v>
      </c>
      <c r="F296" t="inlineStr">
        <is>
          <t>ÖSTERGÖTLANDS LÄN</t>
        </is>
      </c>
      <c r="G296" t="inlineStr">
        <is>
          <t>KINDA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59079-2025</t>
        </is>
      </c>
      <c r="B297" t="inlineStr">
        <is>
          <t>avverkningsanmälan</t>
        </is>
      </c>
      <c r="C297" t="inlineStr">
        <is>
          <t>Föryngringsavverkning</t>
        </is>
      </c>
      <c r="D297" s="1" t="n">
        <v>45988</v>
      </c>
      <c r="E297" s="1" t="n">
        <v>46223</v>
      </c>
      <c r="F297" t="inlineStr">
        <is>
          <t>ÖSTERGÖTLANDS LÄN</t>
        </is>
      </c>
      <c r="G297" t="inlineStr">
        <is>
          <t>KINDA</t>
        </is>
      </c>
      <c r="H297" t="inlineStr">
        <is>
          <t>Sveaskog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59081-2025</t>
        </is>
      </c>
      <c r="B298" t="inlineStr">
        <is>
          <t>avverkningsanmälan</t>
        </is>
      </c>
      <c r="C298" t="inlineStr">
        <is>
          <t>Föryngringsavverkning</t>
        </is>
      </c>
      <c r="D298" s="1" t="n">
        <v>45988</v>
      </c>
      <c r="E298" s="1" t="n">
        <v>46223</v>
      </c>
      <c r="F298" t="inlineStr">
        <is>
          <t>ÖSTERGÖTLANDS LÄN</t>
        </is>
      </c>
      <c r="G298" t="inlineStr">
        <is>
          <t>KINDA</t>
        </is>
      </c>
      <c r="H298" t="inlineStr">
        <is>
          <t>Sveaskog</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59101-2025</t>
        </is>
      </c>
      <c r="B299" t="inlineStr">
        <is>
          <t>avverkningsanmälan</t>
        </is>
      </c>
      <c r="C299" t="inlineStr">
        <is>
          <t>Föryngringsavverkning</t>
        </is>
      </c>
      <c r="D299" s="1" t="n">
        <v>45988</v>
      </c>
      <c r="E299" s="1" t="n">
        <v>46223</v>
      </c>
      <c r="F299" t="inlineStr">
        <is>
          <t>ÖSTERGÖTLANDS LÄN</t>
        </is>
      </c>
      <c r="G299" t="inlineStr">
        <is>
          <t>KINDA</t>
        </is>
      </c>
      <c r="H299" t="inlineStr">
        <is>
          <t>Sveaskog</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24367-2023</t>
        </is>
      </c>
      <c r="B300" t="inlineStr">
        <is>
          <t>avverkningsanmälan</t>
        </is>
      </c>
      <c r="C300" t="inlineStr">
        <is>
          <t>Föryngringsavverkning</t>
        </is>
      </c>
      <c r="D300" s="1" t="n">
        <v>45082</v>
      </c>
      <c r="E300" s="1" t="n">
        <v>46223</v>
      </c>
      <c r="F300" t="inlineStr">
        <is>
          <t>ÖSTERGÖTLANDS LÄN</t>
        </is>
      </c>
      <c r="G300" t="inlineStr">
        <is>
          <t>KINDA</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12506-2026</t>
        </is>
      </c>
      <c r="B301" t="inlineStr">
        <is>
          <t>avverkningsanmälan</t>
        </is>
      </c>
      <c r="C301" t="inlineStr">
        <is>
          <t>Föryngringsavverkning</t>
        </is>
      </c>
      <c r="D301" s="1" t="n">
        <v>46090</v>
      </c>
      <c r="E301" s="1" t="n">
        <v>46223</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12605-2026</t>
        </is>
      </c>
      <c r="B302" t="inlineStr">
        <is>
          <t>avverkningsanmälan</t>
        </is>
      </c>
      <c r="C302" t="inlineStr">
        <is>
          <t>Föryngringsavverkning</t>
        </is>
      </c>
      <c r="D302" s="1" t="n">
        <v>46090</v>
      </c>
      <c r="E302" s="1" t="n">
        <v>46223</v>
      </c>
      <c r="F302" t="inlineStr">
        <is>
          <t>ÖSTERGÖTLANDS LÄN</t>
        </is>
      </c>
      <c r="G302" t="inlineStr">
        <is>
          <t>KINDA</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60314-2025</t>
        </is>
      </c>
      <c r="B303" t="inlineStr">
        <is>
          <t>avverkningsanmälan</t>
        </is>
      </c>
      <c r="C303" t="inlineStr">
        <is>
          <t>Föryngringsavverkning</t>
        </is>
      </c>
      <c r="D303" s="1" t="n">
        <v>45994</v>
      </c>
      <c r="E303" s="1" t="n">
        <v>46223</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46262-2021</t>
        </is>
      </c>
      <c r="B304" t="inlineStr">
        <is>
          <t>avverkningsanmälan</t>
        </is>
      </c>
      <c r="C304" t="inlineStr">
        <is>
          <t>Föryngringsavverkning</t>
        </is>
      </c>
      <c r="D304" s="1" t="n">
        <v>44442</v>
      </c>
      <c r="E304" s="1" t="n">
        <v>46223</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13291-2026</t>
        </is>
      </c>
      <c r="B305" t="inlineStr">
        <is>
          <t>avverkningsanmälan</t>
        </is>
      </c>
      <c r="C305" t="inlineStr">
        <is>
          <t>Föryngringsavverkning</t>
        </is>
      </c>
      <c r="D305" s="1" t="n">
        <v>46094</v>
      </c>
      <c r="E305" s="1" t="n">
        <v>46223</v>
      </c>
      <c r="F305" t="inlineStr">
        <is>
          <t>ÖSTERGÖTLANDS LÄN</t>
        </is>
      </c>
      <c r="G305" t="inlineStr">
        <is>
          <t>KINDA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13297-2026</t>
        </is>
      </c>
      <c r="B306" t="inlineStr">
        <is>
          <t>avverkningsanmälan</t>
        </is>
      </c>
      <c r="C306" t="inlineStr">
        <is>
          <t>Föryngringsavverkning</t>
        </is>
      </c>
      <c r="D306" s="1" t="n">
        <v>46094</v>
      </c>
      <c r="E306" s="1" t="n">
        <v>46223</v>
      </c>
      <c r="F306" t="inlineStr">
        <is>
          <t>ÖSTERGÖTLANDS LÄN</t>
        </is>
      </c>
      <c r="G306" t="inlineStr">
        <is>
          <t>KINDA</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13455-2026</t>
        </is>
      </c>
      <c r="B307" t="inlineStr">
        <is>
          <t>avverkningsanmälan</t>
        </is>
      </c>
      <c r="C307" t="inlineStr">
        <is>
          <t>Avverkning för att bevara och utveckla /försöksver</t>
        </is>
      </c>
      <c r="D307" s="1" t="n">
        <v>46094</v>
      </c>
      <c r="E307" s="1" t="n">
        <v>46223</v>
      </c>
      <c r="F307" t="inlineStr">
        <is>
          <t>ÖSTERGÖTLANDS LÄN</t>
        </is>
      </c>
      <c r="G307" t="inlineStr">
        <is>
          <t>KINDA</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35947-2023</t>
        </is>
      </c>
      <c r="B308" t="inlineStr">
        <is>
          <t>avverkningsanmälan</t>
        </is>
      </c>
      <c r="C308" t="inlineStr">
        <is>
          <t>Föryngringsavverkning</t>
        </is>
      </c>
      <c r="D308" s="1" t="n">
        <v>45148</v>
      </c>
      <c r="E308" s="1" t="n">
        <v>46223</v>
      </c>
      <c r="F308" t="inlineStr">
        <is>
          <t>ÖSTERGÖTLANDS LÄN</t>
        </is>
      </c>
      <c r="G308" t="inlineStr">
        <is>
          <t>KINDA</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59462-2025</t>
        </is>
      </c>
      <c r="B309" t="inlineStr">
        <is>
          <t>avverkningsanmälan</t>
        </is>
      </c>
      <c r="C309" t="inlineStr">
        <is>
          <t>Avverkning för annat ändamål</t>
        </is>
      </c>
      <c r="D309" s="1" t="n">
        <v>45989</v>
      </c>
      <c r="E309" s="1" t="n">
        <v>46223</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15349-2024</t>
        </is>
      </c>
      <c r="B310" t="inlineStr">
        <is>
          <t>avverkningsanmälan</t>
        </is>
      </c>
      <c r="C310" t="inlineStr">
        <is>
          <t>Föryngringsavverkning</t>
        </is>
      </c>
      <c r="D310" s="1" t="n">
        <v>45400</v>
      </c>
      <c r="E310" s="1" t="n">
        <v>46223</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61571-2025</t>
        </is>
      </c>
      <c r="B311" t="inlineStr">
        <is>
          <t>avverkningsanmälan</t>
        </is>
      </c>
      <c r="C311" t="inlineStr">
        <is>
          <t>Föryngringsavverkning</t>
        </is>
      </c>
      <c r="D311" s="1" t="n">
        <v>46002</v>
      </c>
      <c r="E311" s="1" t="n">
        <v>46223</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13845-2025</t>
        </is>
      </c>
      <c r="B312" t="inlineStr">
        <is>
          <t>avverkningsanmälan</t>
        </is>
      </c>
      <c r="C312" t="inlineStr">
        <is>
          <t>Föryngringsavverkning</t>
        </is>
      </c>
      <c r="D312" s="1" t="n">
        <v>45737</v>
      </c>
      <c r="E312" s="1" t="n">
        <v>46223</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61776-2025</t>
        </is>
      </c>
      <c r="B313" t="inlineStr">
        <is>
          <t>avverkningsanmälan</t>
        </is>
      </c>
      <c r="C313" t="inlineStr">
        <is>
          <t>Föryngringsavverkning</t>
        </is>
      </c>
      <c r="D313" s="1" t="n">
        <v>46002</v>
      </c>
      <c r="E313" s="1" t="n">
        <v>46223</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17480-2025</t>
        </is>
      </c>
      <c r="B314" t="inlineStr">
        <is>
          <t>avverkningsanmälan</t>
        </is>
      </c>
      <c r="C314" t="inlineStr">
        <is>
          <t>Föryngringsavverkning</t>
        </is>
      </c>
      <c r="D314" s="1" t="n">
        <v>45757</v>
      </c>
      <c r="E314" s="1" t="n">
        <v>46223</v>
      </c>
      <c r="F314" t="inlineStr">
        <is>
          <t>ÖSTERGÖTLANDS LÄN</t>
        </is>
      </c>
      <c r="G314" t="inlineStr">
        <is>
          <t>KINDA</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61774-2025</t>
        </is>
      </c>
      <c r="B315" t="inlineStr">
        <is>
          <t>avverkningsanmälan</t>
        </is>
      </c>
      <c r="C315" t="inlineStr">
        <is>
          <t>Föryngringsavverkning</t>
        </is>
      </c>
      <c r="D315" s="1" t="n">
        <v>46002</v>
      </c>
      <c r="E315" s="1" t="n">
        <v>46223</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2969-2024</t>
        </is>
      </c>
      <c r="B316" t="inlineStr">
        <is>
          <t>avverkningsanmälan</t>
        </is>
      </c>
      <c r="C316" t="inlineStr">
        <is>
          <t>Föryngringsavverkning</t>
        </is>
      </c>
      <c r="D316" s="1" t="n">
        <v>45315</v>
      </c>
      <c r="E316" s="1" t="n">
        <v>46223</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23886-2023</t>
        </is>
      </c>
      <c r="B317" t="inlineStr">
        <is>
          <t>avverkningsanmälan</t>
        </is>
      </c>
      <c r="C317" t="inlineStr">
        <is>
          <t>Föryngringsavverkning</t>
        </is>
      </c>
      <c r="D317" s="1" t="n">
        <v>45078</v>
      </c>
      <c r="E317" s="1" t="n">
        <v>46223</v>
      </c>
      <c r="F317" t="inlineStr">
        <is>
          <t>ÖSTERGÖTLANDS LÄN</t>
        </is>
      </c>
      <c r="G317" t="inlineStr">
        <is>
          <t>KINDA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61908-2025</t>
        </is>
      </c>
      <c r="B318" t="inlineStr">
        <is>
          <t>avverkningsanmälan</t>
        </is>
      </c>
      <c r="C318" t="inlineStr">
        <is>
          <t>Föryngringsavverkning</t>
        </is>
      </c>
      <c r="D318" s="1" t="n">
        <v>46003</v>
      </c>
      <c r="E318" s="1" t="n">
        <v>46223</v>
      </c>
      <c r="F318" t="inlineStr">
        <is>
          <t>ÖSTERGÖTLANDS LÄN</t>
        </is>
      </c>
      <c r="G318" t="inlineStr">
        <is>
          <t>KINDA</t>
        </is>
      </c>
      <c r="I318" t="n">
        <v>6.7</v>
      </c>
      <c r="J318" t="n">
        <v>0</v>
      </c>
      <c r="K318" t="n">
        <v>0</v>
      </c>
      <c r="L318" t="n">
        <v>0</v>
      </c>
      <c r="M318" t="n">
        <v>0</v>
      </c>
      <c r="N318" t="n">
        <v>0</v>
      </c>
      <c r="O318" t="n">
        <v>0</v>
      </c>
      <c r="P318" t="n">
        <v>0</v>
      </c>
      <c r="Q318" t="n">
        <v>0</v>
      </c>
      <c r="R318" t="n">
        <v>0</v>
      </c>
      <c r="S318" t="n">
        <v>0</v>
      </c>
      <c r="T318" t="n">
        <v>0</v>
      </c>
      <c r="U318" s="2" t="inlineStr"/>
    </row>
    <row r="319" ht="15" customHeight="1">
      <c r="A319" t="inlineStr">
        <is>
          <t>A 62697-2025</t>
        </is>
      </c>
      <c r="B319" t="inlineStr">
        <is>
          <t>avverkningsanmälan</t>
        </is>
      </c>
      <c r="C319" t="inlineStr">
        <is>
          <t>Föryngringsavverkning</t>
        </is>
      </c>
      <c r="D319" s="1" t="n">
        <v>46008</v>
      </c>
      <c r="E319" s="1" t="n">
        <v>46223</v>
      </c>
      <c r="F319" t="inlineStr">
        <is>
          <t>ÖSTERGÖTLANDS LÄN</t>
        </is>
      </c>
      <c r="G319" t="inlineStr">
        <is>
          <t>KINDA</t>
        </is>
      </c>
      <c r="I319" t="n">
        <v>2.9</v>
      </c>
      <c r="J319" t="n">
        <v>0</v>
      </c>
      <c r="K319" t="n">
        <v>0</v>
      </c>
      <c r="L319" t="n">
        <v>0</v>
      </c>
      <c r="M319" t="n">
        <v>0</v>
      </c>
      <c r="N319" t="n">
        <v>0</v>
      </c>
      <c r="O319" t="n">
        <v>0</v>
      </c>
      <c r="P319" t="n">
        <v>0</v>
      </c>
      <c r="Q319" t="n">
        <v>0</v>
      </c>
      <c r="R319" t="n">
        <v>0</v>
      </c>
      <c r="S319" t="n">
        <v>0</v>
      </c>
      <c r="T319" t="n">
        <v>0</v>
      </c>
      <c r="U319" s="2" t="inlineStr"/>
    </row>
    <row r="320" ht="15" customHeight="1">
      <c r="A320" t="inlineStr">
        <is>
          <t>A 62443-2025</t>
        </is>
      </c>
      <c r="B320" t="inlineStr">
        <is>
          <t>avverkningsanmälan</t>
        </is>
      </c>
      <c r="C320" t="inlineStr">
        <is>
          <t>Föryngringsavverkning</t>
        </is>
      </c>
      <c r="D320" s="1" t="n">
        <v>46007</v>
      </c>
      <c r="E320" s="1" t="n">
        <v>46223</v>
      </c>
      <c r="F320" t="inlineStr">
        <is>
          <t>ÖSTERGÖTLANDS LÄN</t>
        </is>
      </c>
      <c r="G320" t="inlineStr">
        <is>
          <t>KINDA</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62703-2025</t>
        </is>
      </c>
      <c r="B321" t="inlineStr">
        <is>
          <t>avverkningsanmälan</t>
        </is>
      </c>
      <c r="C321" t="inlineStr">
        <is>
          <t>Föryngringsavverkning</t>
        </is>
      </c>
      <c r="D321" s="1" t="n">
        <v>46008</v>
      </c>
      <c r="E321" s="1" t="n">
        <v>46223</v>
      </c>
      <c r="F321" t="inlineStr">
        <is>
          <t>ÖSTERGÖTLANDS LÄN</t>
        </is>
      </c>
      <c r="G321" t="inlineStr">
        <is>
          <t>KINDA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62707-2025</t>
        </is>
      </c>
      <c r="B322" t="inlineStr">
        <is>
          <t>avverkningsanmälan</t>
        </is>
      </c>
      <c r="C322" t="inlineStr">
        <is>
          <t>Föryngringsavverkning</t>
        </is>
      </c>
      <c r="D322" s="1" t="n">
        <v>46008</v>
      </c>
      <c r="E322" s="1" t="n">
        <v>46223</v>
      </c>
      <c r="F322" t="inlineStr">
        <is>
          <t>ÖSTERGÖTLANDS LÄN</t>
        </is>
      </c>
      <c r="G322" t="inlineStr">
        <is>
          <t>KINDA</t>
        </is>
      </c>
      <c r="H322" t="inlineStr">
        <is>
          <t>Kommuner</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62415-2025</t>
        </is>
      </c>
      <c r="B323" t="inlineStr">
        <is>
          <t>avverkningsanmälan</t>
        </is>
      </c>
      <c r="C323" t="inlineStr">
        <is>
          <t>Föryngringsavverkning</t>
        </is>
      </c>
      <c r="D323" s="1" t="n">
        <v>46007</v>
      </c>
      <c r="E323" s="1" t="n">
        <v>46223</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62694-2025</t>
        </is>
      </c>
      <c r="B324" t="inlineStr">
        <is>
          <t>avverkningsanmälan</t>
        </is>
      </c>
      <c r="C324" t="inlineStr">
        <is>
          <t>Föryngringsavverkning</t>
        </is>
      </c>
      <c r="D324" s="1" t="n">
        <v>46008</v>
      </c>
      <c r="E324" s="1" t="n">
        <v>46223</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s="2" t="inlineStr"/>
    </row>
    <row r="325" ht="15" customHeight="1">
      <c r="A325" t="inlineStr">
        <is>
          <t>A 63139-2025</t>
        </is>
      </c>
      <c r="B325" t="inlineStr">
        <is>
          <t>avverkningsanmälan</t>
        </is>
      </c>
      <c r="C325" t="inlineStr">
        <is>
          <t>Föryngringsavverkning</t>
        </is>
      </c>
      <c r="D325" s="1" t="n">
        <v>46010</v>
      </c>
      <c r="E325" s="1" t="n">
        <v>46223</v>
      </c>
      <c r="F325" t="inlineStr">
        <is>
          <t>ÖSTERGÖTLANDS LÄN</t>
        </is>
      </c>
      <c r="G325" t="inlineStr">
        <is>
          <t>KINDA</t>
        </is>
      </c>
      <c r="H325" t="inlineStr">
        <is>
          <t>Kommuner</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57455-2021</t>
        </is>
      </c>
      <c r="B326" t="inlineStr">
        <is>
          <t>avverkningsanmälan</t>
        </is>
      </c>
      <c r="C326" t="inlineStr">
        <is>
          <t>Föryngringsavverkning</t>
        </is>
      </c>
      <c r="D326" s="1" t="n">
        <v>44483</v>
      </c>
      <c r="E326" s="1" t="n">
        <v>46223</v>
      </c>
      <c r="F326" t="inlineStr">
        <is>
          <t>ÖSTERGÖTLANDS LÄN</t>
        </is>
      </c>
      <c r="G326" t="inlineStr">
        <is>
          <t>KINDA</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5184-2023</t>
        </is>
      </c>
      <c r="B327" t="inlineStr">
        <is>
          <t>avverkningsanmälan</t>
        </is>
      </c>
      <c r="C327" t="inlineStr">
        <is>
          <t>Föryngringsavverkning</t>
        </is>
      </c>
      <c r="D327" s="1" t="n">
        <v>44959</v>
      </c>
      <c r="E327" s="1" t="n">
        <v>46223</v>
      </c>
      <c r="F327" t="inlineStr">
        <is>
          <t>ÖSTERGÖTLANDS LÄN</t>
        </is>
      </c>
      <c r="G327" t="inlineStr">
        <is>
          <t>KINDA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19296-2023</t>
        </is>
      </c>
      <c r="B328" t="inlineStr">
        <is>
          <t>avverkningsanmälan</t>
        </is>
      </c>
      <c r="C328" t="inlineStr">
        <is>
          <t>Föryngringsavverkning</t>
        </is>
      </c>
      <c r="D328" s="1" t="n">
        <v>45048</v>
      </c>
      <c r="E328" s="1" t="n">
        <v>46223</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15281-2026</t>
        </is>
      </c>
      <c r="B329" t="inlineStr">
        <is>
          <t>avverkningsanmälan</t>
        </is>
      </c>
      <c r="C329" t="inlineStr">
        <is>
          <t>Föryngringsavverkning</t>
        </is>
      </c>
      <c r="D329" s="1" t="n">
        <v>46105</v>
      </c>
      <c r="E329" s="1" t="n">
        <v>46223</v>
      </c>
      <c r="F329" t="inlineStr">
        <is>
          <t>ÖSTERGÖTLANDS LÄN</t>
        </is>
      </c>
      <c r="G329" t="inlineStr">
        <is>
          <t>KINDA</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12948-2023</t>
        </is>
      </c>
      <c r="B330" t="inlineStr">
        <is>
          <t>avverkningsanmälan</t>
        </is>
      </c>
      <c r="C330" t="inlineStr">
        <is>
          <t>Föryngringsavverkning</t>
        </is>
      </c>
      <c r="D330" s="1" t="n">
        <v>45001</v>
      </c>
      <c r="E330" s="1" t="n">
        <v>46223</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6404-2023</t>
        </is>
      </c>
      <c r="B331" t="inlineStr">
        <is>
          <t>avverkningsanmälan</t>
        </is>
      </c>
      <c r="C331" t="inlineStr">
        <is>
          <t>Föryngringsavverkning</t>
        </is>
      </c>
      <c r="D331" s="1" t="n">
        <v>44965</v>
      </c>
      <c r="E331" s="1" t="n">
        <v>46223</v>
      </c>
      <c r="F331" t="inlineStr">
        <is>
          <t>ÖSTERGÖTLANDS LÄN</t>
        </is>
      </c>
      <c r="G331" t="inlineStr">
        <is>
          <t>KINDA</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25268-2023</t>
        </is>
      </c>
      <c r="B332" t="inlineStr">
        <is>
          <t>avverkningsanmälan</t>
        </is>
      </c>
      <c r="C332" t="inlineStr">
        <is>
          <t>Föryngringsavverkning</t>
        </is>
      </c>
      <c r="D332" s="1" t="n">
        <v>45086</v>
      </c>
      <c r="E332" s="1" t="n">
        <v>46223</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656-2026</t>
        </is>
      </c>
      <c r="B333" t="inlineStr">
        <is>
          <t>avverkningsanmälan</t>
        </is>
      </c>
      <c r="C333" t="inlineStr">
        <is>
          <t>Föryngringsavverkning</t>
        </is>
      </c>
      <c r="D333" s="1" t="n">
        <v>46029</v>
      </c>
      <c r="E333" s="1" t="n">
        <v>46223</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654-2026</t>
        </is>
      </c>
      <c r="B334" t="inlineStr">
        <is>
          <t>avverkningsanmälan</t>
        </is>
      </c>
      <c r="C334" t="inlineStr">
        <is>
          <t>Föryngringsavverkning</t>
        </is>
      </c>
      <c r="D334" s="1" t="n">
        <v>46029</v>
      </c>
      <c r="E334" s="1" t="n">
        <v>46223</v>
      </c>
      <c r="F334" t="inlineStr">
        <is>
          <t>ÖSTERGÖTLANDS LÄN</t>
        </is>
      </c>
      <c r="G334" t="inlineStr">
        <is>
          <t>KINDA</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14244-2024</t>
        </is>
      </c>
      <c r="B335" t="inlineStr">
        <is>
          <t>avverkningsanmälan</t>
        </is>
      </c>
      <c r="C335" t="inlineStr">
        <is>
          <t>Avverkning för annat ändamål</t>
        </is>
      </c>
      <c r="D335" s="1" t="n">
        <v>45393</v>
      </c>
      <c r="E335" s="1" t="n">
        <v>46223</v>
      </c>
      <c r="F335" t="inlineStr">
        <is>
          <t>ÖSTERGÖTLANDS LÄN</t>
        </is>
      </c>
      <c r="G335" t="inlineStr">
        <is>
          <t>KINDA</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19654-2025</t>
        </is>
      </c>
      <c r="B336" t="inlineStr">
        <is>
          <t>avverkningsanmälan</t>
        </is>
      </c>
      <c r="C336" t="inlineStr">
        <is>
          <t>Föryngringsavverkning</t>
        </is>
      </c>
      <c r="D336" s="1" t="n">
        <v>45770</v>
      </c>
      <c r="E336" s="1" t="n">
        <v>46223</v>
      </c>
      <c r="F336" t="inlineStr">
        <is>
          <t>ÖSTERGÖTLANDS LÄN</t>
        </is>
      </c>
      <c r="G336" t="inlineStr">
        <is>
          <t>KINDA</t>
        </is>
      </c>
      <c r="H336" t="inlineStr">
        <is>
          <t>Allmännings- och besparingsskogar</t>
        </is>
      </c>
      <c r="I336" t="n">
        <v>10.7</v>
      </c>
      <c r="J336" t="n">
        <v>0</v>
      </c>
      <c r="K336" t="n">
        <v>0</v>
      </c>
      <c r="L336" t="n">
        <v>0</v>
      </c>
      <c r="M336" t="n">
        <v>0</v>
      </c>
      <c r="N336" t="n">
        <v>0</v>
      </c>
      <c r="O336" t="n">
        <v>0</v>
      </c>
      <c r="P336" t="n">
        <v>0</v>
      </c>
      <c r="Q336" t="n">
        <v>0</v>
      </c>
      <c r="R336" t="n">
        <v>0</v>
      </c>
      <c r="S336" t="n">
        <v>0</v>
      </c>
      <c r="T336" t="n">
        <v>0</v>
      </c>
      <c r="U336" s="2" t="inlineStr"/>
    </row>
    <row r="337" ht="15" customHeight="1">
      <c r="A337" t="inlineStr">
        <is>
          <t>A 1491-2026</t>
        </is>
      </c>
      <c r="B337" t="inlineStr">
        <is>
          <t>avverkningsanmälan</t>
        </is>
      </c>
      <c r="C337" t="inlineStr">
        <is>
          <t>Föryngringsavverkning</t>
        </is>
      </c>
      <c r="D337" s="1" t="n">
        <v>46034</v>
      </c>
      <c r="E337" s="1" t="n">
        <v>46223</v>
      </c>
      <c r="F337" t="inlineStr">
        <is>
          <t>ÖSTERGÖTLANDS LÄN</t>
        </is>
      </c>
      <c r="G337" t="inlineStr">
        <is>
          <t>KINDA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6561-2024</t>
        </is>
      </c>
      <c r="B338" t="inlineStr">
        <is>
          <t>avverkningsanmälan</t>
        </is>
      </c>
      <c r="C338" t="inlineStr">
        <is>
          <t>Föryngringsavverkning</t>
        </is>
      </c>
      <c r="D338" s="1" t="n">
        <v>45341</v>
      </c>
      <c r="E338" s="1" t="n">
        <v>46223</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2168-2026</t>
        </is>
      </c>
      <c r="B339" t="inlineStr">
        <is>
          <t>avverkningsanmälan</t>
        </is>
      </c>
      <c r="C339" t="inlineStr">
        <is>
          <t>Föryngringsavverkning</t>
        </is>
      </c>
      <c r="D339" s="1" t="n">
        <v>46036</v>
      </c>
      <c r="E339" s="1" t="n">
        <v>46223</v>
      </c>
      <c r="F339" t="inlineStr">
        <is>
          <t>ÖSTERGÖTLANDS LÄN</t>
        </is>
      </c>
      <c r="G339" t="inlineStr">
        <is>
          <t>KINDA</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35203-2023</t>
        </is>
      </c>
      <c r="B340" t="inlineStr">
        <is>
          <t>avverkningsanmälan</t>
        </is>
      </c>
      <c r="C340" t="inlineStr">
        <is>
          <t>Föryngringsavverkning</t>
        </is>
      </c>
      <c r="D340" s="1" t="n">
        <v>45145</v>
      </c>
      <c r="E340" s="1" t="n">
        <v>46223</v>
      </c>
      <c r="F340" t="inlineStr">
        <is>
          <t>ÖSTERGÖTLANDS LÄN</t>
        </is>
      </c>
      <c r="G340" t="inlineStr">
        <is>
          <t>KINDA</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41379-2024</t>
        </is>
      </c>
      <c r="B341" t="inlineStr">
        <is>
          <t>avverkningsanmälan</t>
        </is>
      </c>
      <c r="C341" t="inlineStr">
        <is>
          <t>Föryngringsavverkning</t>
        </is>
      </c>
      <c r="D341" s="1" t="n">
        <v>45560</v>
      </c>
      <c r="E341" s="1" t="n">
        <v>46223</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1885-2022</t>
        </is>
      </c>
      <c r="B342" t="inlineStr">
        <is>
          <t>avverkningsanmälan</t>
        </is>
      </c>
      <c r="C342" t="inlineStr">
        <is>
          <t>Föryngringsavverkning</t>
        </is>
      </c>
      <c r="D342" s="1" t="n">
        <v>44575</v>
      </c>
      <c r="E342" s="1" t="n">
        <v>46223</v>
      </c>
      <c r="F342" t="inlineStr">
        <is>
          <t>ÖSTERGÖTLANDS LÄN</t>
        </is>
      </c>
      <c r="G342" t="inlineStr">
        <is>
          <t>KINDA</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27809-2024</t>
        </is>
      </c>
      <c r="B343" t="inlineStr">
        <is>
          <t>avverkningsanmälan</t>
        </is>
      </c>
      <c r="C343" t="inlineStr">
        <is>
          <t>Föryngringsavverkning</t>
        </is>
      </c>
      <c r="D343" s="1" t="n">
        <v>45475</v>
      </c>
      <c r="E343" s="1" t="n">
        <v>46223</v>
      </c>
      <c r="F343" t="inlineStr">
        <is>
          <t>ÖSTERGÖTLANDS LÄN</t>
        </is>
      </c>
      <c r="G343" t="inlineStr">
        <is>
          <t>KINDA</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7631-2024</t>
        </is>
      </c>
      <c r="B344" t="inlineStr">
        <is>
          <t>avverkningsanmälan</t>
        </is>
      </c>
      <c r="C344" t="inlineStr">
        <is>
          <t>Föryngringsavverkning</t>
        </is>
      </c>
      <c r="D344" s="1" t="n">
        <v>45348</v>
      </c>
      <c r="E344" s="1" t="n">
        <v>46223</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35588-2024</t>
        </is>
      </c>
      <c r="B345" t="inlineStr">
        <is>
          <t>avverkningsanmälan</t>
        </is>
      </c>
      <c r="C345" t="inlineStr">
        <is>
          <t>Föryngringsavverkning</t>
        </is>
      </c>
      <c r="D345" s="1" t="n">
        <v>45531</v>
      </c>
      <c r="E345" s="1" t="n">
        <v>46223</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17554-2026</t>
        </is>
      </c>
      <c r="B346" t="inlineStr">
        <is>
          <t>avverkningsanmälan</t>
        </is>
      </c>
      <c r="C346" t="inlineStr">
        <is>
          <t>Föryngringsavverkning</t>
        </is>
      </c>
      <c r="D346" s="1" t="n">
        <v>46120</v>
      </c>
      <c r="E346" s="1" t="n">
        <v>46223</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62254-2023</t>
        </is>
      </c>
      <c r="B347" t="inlineStr">
        <is>
          <t>avverkningsanmälan</t>
        </is>
      </c>
      <c r="C347" t="inlineStr">
        <is>
          <t>Föryngringsavverkning</t>
        </is>
      </c>
      <c r="D347" s="1" t="n">
        <v>45267</v>
      </c>
      <c r="E347" s="1" t="n">
        <v>46223</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58875-2023</t>
        </is>
      </c>
      <c r="B348" t="inlineStr">
        <is>
          <t>avverkningsanmälan</t>
        </is>
      </c>
      <c r="C348" t="inlineStr">
        <is>
          <t>Föryngringsavverkning</t>
        </is>
      </c>
      <c r="D348" s="1" t="n">
        <v>45250</v>
      </c>
      <c r="E348" s="1" t="n">
        <v>46223</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15599-2023</t>
        </is>
      </c>
      <c r="B349" t="inlineStr">
        <is>
          <t>avverkningsanmälan</t>
        </is>
      </c>
      <c r="C349" t="inlineStr">
        <is>
          <t>Föryngringsavverkning</t>
        </is>
      </c>
      <c r="D349" s="1" t="n">
        <v>45020</v>
      </c>
      <c r="E349" s="1" t="n">
        <v>46223</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1157-2024</t>
        </is>
      </c>
      <c r="B350" t="inlineStr">
        <is>
          <t>avverkningsanmälan</t>
        </is>
      </c>
      <c r="C350" t="inlineStr">
        <is>
          <t>Föryngringsavverkning</t>
        </is>
      </c>
      <c r="D350" s="1" t="n">
        <v>45302</v>
      </c>
      <c r="E350" s="1" t="n">
        <v>46223</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32764-2023</t>
        </is>
      </c>
      <c r="B351" t="inlineStr">
        <is>
          <t>avverkningsanmälan</t>
        </is>
      </c>
      <c r="C351" t="inlineStr">
        <is>
          <t>Föryngringsavverkning</t>
        </is>
      </c>
      <c r="D351" s="1" t="n">
        <v>45123</v>
      </c>
      <c r="E351" s="1" t="n">
        <v>46223</v>
      </c>
      <c r="F351" t="inlineStr">
        <is>
          <t>ÖSTERGÖTLANDS LÄN</t>
        </is>
      </c>
      <c r="G351" t="inlineStr">
        <is>
          <t>KINDA</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12623-2024</t>
        </is>
      </c>
      <c r="B352" t="inlineStr">
        <is>
          <t>avverkningsanmälan</t>
        </is>
      </c>
      <c r="C352" t="inlineStr">
        <is>
          <t>Föryngringsavverkning</t>
        </is>
      </c>
      <c r="D352" s="1" t="n">
        <v>45383</v>
      </c>
      <c r="E352" s="1" t="n">
        <v>46223</v>
      </c>
      <c r="F352" t="inlineStr">
        <is>
          <t>ÖSTERGÖTLANDS LÄN</t>
        </is>
      </c>
      <c r="G352" t="inlineStr">
        <is>
          <t>KINDA</t>
        </is>
      </c>
      <c r="I352" t="n">
        <v>2.4</v>
      </c>
      <c r="J352" t="n">
        <v>0</v>
      </c>
      <c r="K352" t="n">
        <v>0</v>
      </c>
      <c r="L352" t="n">
        <v>0</v>
      </c>
      <c r="M352" t="n">
        <v>0</v>
      </c>
      <c r="N352" t="n">
        <v>0</v>
      </c>
      <c r="O352" t="n">
        <v>0</v>
      </c>
      <c r="P352" t="n">
        <v>0</v>
      </c>
      <c r="Q352" t="n">
        <v>0</v>
      </c>
      <c r="R352" t="n">
        <v>0</v>
      </c>
      <c r="S352" t="n">
        <v>0</v>
      </c>
      <c r="T352" t="n">
        <v>0</v>
      </c>
      <c r="U352" s="2" t="inlineStr"/>
    </row>
    <row r="353" ht="15" customHeight="1">
      <c r="A353" t="inlineStr">
        <is>
          <t>A 36005-2024</t>
        </is>
      </c>
      <c r="B353" t="inlineStr">
        <is>
          <t>avverkningsanmälan</t>
        </is>
      </c>
      <c r="C353" t="inlineStr">
        <is>
          <t>Föryngringsavverkning</t>
        </is>
      </c>
      <c r="D353" s="1" t="n">
        <v>45533</v>
      </c>
      <c r="E353" s="1" t="n">
        <v>46223</v>
      </c>
      <c r="F353" t="inlineStr">
        <is>
          <t>ÖSTERGÖTLANDS LÄN</t>
        </is>
      </c>
      <c r="G353" t="inlineStr">
        <is>
          <t>KINDA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26917-2024</t>
        </is>
      </c>
      <c r="B354" t="inlineStr">
        <is>
          <t>avverkningsanmälan</t>
        </is>
      </c>
      <c r="C354" t="inlineStr">
        <is>
          <t>Föryngringsavverkning</t>
        </is>
      </c>
      <c r="D354" s="1" t="n">
        <v>45470</v>
      </c>
      <c r="E354" s="1" t="n">
        <v>46223</v>
      </c>
      <c r="F354" t="inlineStr">
        <is>
          <t>ÖSTERGÖTLANDS LÄN</t>
        </is>
      </c>
      <c r="G354" t="inlineStr">
        <is>
          <t>KINDA</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5479-2024</t>
        </is>
      </c>
      <c r="B355" t="inlineStr">
        <is>
          <t>avverkningsanmälan</t>
        </is>
      </c>
      <c r="C355" t="inlineStr">
        <is>
          <t>Föryngringsavverkning</t>
        </is>
      </c>
      <c r="D355" s="1" t="n">
        <v>45333</v>
      </c>
      <c r="E355" s="1" t="n">
        <v>46223</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8088-2024</t>
        </is>
      </c>
      <c r="B356" t="inlineStr">
        <is>
          <t>avverkningsanmälan</t>
        </is>
      </c>
      <c r="C356" t="inlineStr">
        <is>
          <t>Föryngringsavverkning</t>
        </is>
      </c>
      <c r="D356" s="1" t="n">
        <v>45351</v>
      </c>
      <c r="E356" s="1" t="n">
        <v>46223</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5903-2025</t>
        </is>
      </c>
      <c r="B357" t="inlineStr">
        <is>
          <t>avverkningsanmälan</t>
        </is>
      </c>
      <c r="C357" t="inlineStr">
        <is>
          <t>Föryngringsavverkning</t>
        </is>
      </c>
      <c r="D357" s="1" t="n">
        <v>45695</v>
      </c>
      <c r="E357" s="1" t="n">
        <v>46223</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50179-2025</t>
        </is>
      </c>
      <c r="B358" t="inlineStr">
        <is>
          <t>avverkningsanmälan</t>
        </is>
      </c>
      <c r="C358" t="inlineStr">
        <is>
          <t>Föryngringsavverkning</t>
        </is>
      </c>
      <c r="D358" s="1" t="n">
        <v>45943</v>
      </c>
      <c r="E358" s="1" t="n">
        <v>46223</v>
      </c>
      <c r="F358" t="inlineStr">
        <is>
          <t>ÖSTERGÖTLANDS LÄN</t>
        </is>
      </c>
      <c r="G358" t="inlineStr">
        <is>
          <t>KINDA</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28258-2025</t>
        </is>
      </c>
      <c r="B359" t="inlineStr">
        <is>
          <t>avverkningsanmälan</t>
        </is>
      </c>
      <c r="C359" t="inlineStr">
        <is>
          <t>Föryngringsavverkning</t>
        </is>
      </c>
      <c r="D359" s="1" t="n">
        <v>45818</v>
      </c>
      <c r="E359" s="1" t="n">
        <v>46223</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48194-2025</t>
        </is>
      </c>
      <c r="B360" t="inlineStr">
        <is>
          <t>avverkningsanmälan</t>
        </is>
      </c>
      <c r="C360" t="inlineStr">
        <is>
          <t>Föryngringsavverkning</t>
        </is>
      </c>
      <c r="D360" s="1" t="n">
        <v>45933</v>
      </c>
      <c r="E360" s="1" t="n">
        <v>46223</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50403-2024</t>
        </is>
      </c>
      <c r="B361" t="inlineStr">
        <is>
          <t>avverkningsanmälan</t>
        </is>
      </c>
      <c r="C361" t="inlineStr">
        <is>
          <t>Föryngringsavverkning</t>
        </is>
      </c>
      <c r="D361" s="1" t="n">
        <v>45601</v>
      </c>
      <c r="E361" s="1" t="n">
        <v>46223</v>
      </c>
      <c r="F361" t="inlineStr">
        <is>
          <t>ÖSTERGÖTLANDS LÄN</t>
        </is>
      </c>
      <c r="G361" t="inlineStr">
        <is>
          <t>KINDA</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44329-2023</t>
        </is>
      </c>
      <c r="B362" t="inlineStr">
        <is>
          <t>avverkningsanmälan</t>
        </is>
      </c>
      <c r="C362" t="inlineStr">
        <is>
          <t>Föryngringsavverkning</t>
        </is>
      </c>
      <c r="D362" s="1" t="n">
        <v>45188</v>
      </c>
      <c r="E362" s="1" t="n">
        <v>46223</v>
      </c>
      <c r="F362" t="inlineStr">
        <is>
          <t>ÖSTERGÖTLANDS LÄN</t>
        </is>
      </c>
      <c r="G362" t="inlineStr">
        <is>
          <t>KINDA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12706-2023</t>
        </is>
      </c>
      <c r="B363" t="inlineStr">
        <is>
          <t>avverkningsanmälan</t>
        </is>
      </c>
      <c r="C363" t="inlineStr">
        <is>
          <t>Föryngringsavverkning</t>
        </is>
      </c>
      <c r="D363" s="1" t="n">
        <v>45000</v>
      </c>
      <c r="E363" s="1" t="n">
        <v>46223</v>
      </c>
      <c r="F363" t="inlineStr">
        <is>
          <t>ÖSTERGÖTLANDS LÄN</t>
        </is>
      </c>
      <c r="G363" t="inlineStr">
        <is>
          <t>KINDA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38131-2025</t>
        </is>
      </c>
      <c r="B364" t="inlineStr">
        <is>
          <t>avverkningsanmälan</t>
        </is>
      </c>
      <c r="C364" t="inlineStr">
        <is>
          <t>Föryngringsavverkning</t>
        </is>
      </c>
      <c r="D364" s="1" t="n">
        <v>45882</v>
      </c>
      <c r="E364" s="1" t="n">
        <v>46223</v>
      </c>
      <c r="F364" t="inlineStr">
        <is>
          <t>ÖSTERGÖTLANDS LÄN</t>
        </is>
      </c>
      <c r="G364" t="inlineStr">
        <is>
          <t>KINDA</t>
        </is>
      </c>
      <c r="I364" t="n">
        <v>3.9</v>
      </c>
      <c r="J364" t="n">
        <v>0</v>
      </c>
      <c r="K364" t="n">
        <v>0</v>
      </c>
      <c r="L364" t="n">
        <v>0</v>
      </c>
      <c r="M364" t="n">
        <v>0</v>
      </c>
      <c r="N364" t="n">
        <v>0</v>
      </c>
      <c r="O364" t="n">
        <v>0</v>
      </c>
      <c r="P364" t="n">
        <v>0</v>
      </c>
      <c r="Q364" t="n">
        <v>0</v>
      </c>
      <c r="R364" t="n">
        <v>0</v>
      </c>
      <c r="S364" t="n">
        <v>0</v>
      </c>
      <c r="T364" t="n">
        <v>0</v>
      </c>
      <c r="U364" s="2" t="inlineStr"/>
    </row>
    <row r="365" ht="15" customHeight="1">
      <c r="A365" t="inlineStr">
        <is>
          <t>A 22694-2023</t>
        </is>
      </c>
      <c r="B365" t="inlineStr">
        <is>
          <t>avverkningsanmälan</t>
        </is>
      </c>
      <c r="C365" t="inlineStr">
        <is>
          <t>Föryngringsavverkning</t>
        </is>
      </c>
      <c r="D365" s="1" t="n">
        <v>45071</v>
      </c>
      <c r="E365" s="1" t="n">
        <v>46223</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49798-2024</t>
        </is>
      </c>
      <c r="B366" t="inlineStr">
        <is>
          <t>avverkningsanmälan</t>
        </is>
      </c>
      <c r="C366" t="inlineStr">
        <is>
          <t>Föryngringsavverkning</t>
        </is>
      </c>
      <c r="D366" s="1" t="n">
        <v>45597</v>
      </c>
      <c r="E366" s="1" t="n">
        <v>46223</v>
      </c>
      <c r="F366" t="inlineStr">
        <is>
          <t>ÖSTERGÖTLANDS LÄN</t>
        </is>
      </c>
      <c r="G366" t="inlineStr">
        <is>
          <t>KINDA</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36173-2025</t>
        </is>
      </c>
      <c r="B367" t="inlineStr">
        <is>
          <t>avverkningsanmälan</t>
        </is>
      </c>
      <c r="C367" t="inlineStr">
        <is>
          <t>Föryngringsavverkning</t>
        </is>
      </c>
      <c r="D367" s="1" t="n">
        <v>45866</v>
      </c>
      <c r="E367" s="1" t="n">
        <v>46223</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s="2" t="inlineStr"/>
    </row>
    <row r="368" ht="15" customHeight="1">
      <c r="A368" t="inlineStr">
        <is>
          <t>A 19360-2023</t>
        </is>
      </c>
      <c r="B368" t="inlineStr">
        <is>
          <t>avverkningsanmälan</t>
        </is>
      </c>
      <c r="C368" t="inlineStr">
        <is>
          <t>Avverkning för annat ändamål</t>
        </is>
      </c>
      <c r="D368" s="1" t="n">
        <v>45049</v>
      </c>
      <c r="E368" s="1" t="n">
        <v>46223</v>
      </c>
      <c r="F368" t="inlineStr">
        <is>
          <t>ÖSTERGÖTLANDS LÄN</t>
        </is>
      </c>
      <c r="G368" t="inlineStr">
        <is>
          <t>KINDA</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58737-2024</t>
        </is>
      </c>
      <c r="B369" t="inlineStr">
        <is>
          <t>avverkningsanmälan</t>
        </is>
      </c>
      <c r="C369" t="inlineStr">
        <is>
          <t>Föryngringsavverkning</t>
        </is>
      </c>
      <c r="D369" s="1" t="n">
        <v>45635</v>
      </c>
      <c r="E369" s="1" t="n">
        <v>46223</v>
      </c>
      <c r="F369" t="inlineStr">
        <is>
          <t>ÖSTERGÖTLANDS LÄN</t>
        </is>
      </c>
      <c r="G369" t="inlineStr">
        <is>
          <t>KINDA</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45108-2023</t>
        </is>
      </c>
      <c r="B370" t="inlineStr">
        <is>
          <t>avverkningsanmälan</t>
        </is>
      </c>
      <c r="C370" t="inlineStr">
        <is>
          <t>Föryngringsavverkning</t>
        </is>
      </c>
      <c r="D370" s="1" t="n">
        <v>45187</v>
      </c>
      <c r="E370" s="1" t="n">
        <v>46223</v>
      </c>
      <c r="F370" t="inlineStr">
        <is>
          <t>ÖSTERGÖTLANDS LÄN</t>
        </is>
      </c>
      <c r="G370" t="inlineStr">
        <is>
          <t>KINDA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49337-2024</t>
        </is>
      </c>
      <c r="B371" t="inlineStr">
        <is>
          <t>avverkningsanmälan</t>
        </is>
      </c>
      <c r="C371" t="inlineStr">
        <is>
          <t>Föryngringsavverkning</t>
        </is>
      </c>
      <c r="D371" s="1" t="n">
        <v>45595</v>
      </c>
      <c r="E371" s="1" t="n">
        <v>46223</v>
      </c>
      <c r="F371" t="inlineStr">
        <is>
          <t>ÖSTERGÖTLANDS LÄN</t>
        </is>
      </c>
      <c r="G371" t="inlineStr">
        <is>
          <t>KINDA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46926-2025</t>
        </is>
      </c>
      <c r="B372" t="inlineStr">
        <is>
          <t>avverkningsanmälan</t>
        </is>
      </c>
      <c r="C372" t="inlineStr">
        <is>
          <t>Föryngringsavverkning</t>
        </is>
      </c>
      <c r="D372" s="1" t="n">
        <v>45929</v>
      </c>
      <c r="E372" s="1" t="n">
        <v>46223</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42977-2025</t>
        </is>
      </c>
      <c r="B373" t="inlineStr">
        <is>
          <t>avverkningsanmälan</t>
        </is>
      </c>
      <c r="C373" t="inlineStr">
        <is>
          <t>Föryngringsavverkning</t>
        </is>
      </c>
      <c r="D373" s="1" t="n">
        <v>45909</v>
      </c>
      <c r="E373" s="1" t="n">
        <v>46223</v>
      </c>
      <c r="F373" t="inlineStr">
        <is>
          <t>ÖSTERGÖTLANDS LÄN</t>
        </is>
      </c>
      <c r="G373" t="inlineStr">
        <is>
          <t>KINDA</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20550-2026</t>
        </is>
      </c>
      <c r="B374" t="inlineStr">
        <is>
          <t>avverkningsanmälan</t>
        </is>
      </c>
      <c r="C374" t="inlineStr">
        <is>
          <t>Föryngringsavverkning</t>
        </is>
      </c>
      <c r="D374" s="1" t="n">
        <v>46140</v>
      </c>
      <c r="E374" s="1" t="n">
        <v>46223</v>
      </c>
      <c r="F374" t="inlineStr">
        <is>
          <t>ÖSTERGÖTLANDS LÄN</t>
        </is>
      </c>
      <c r="G374" t="inlineStr">
        <is>
          <t>KINDA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23887-2023</t>
        </is>
      </c>
      <c r="B375" t="inlineStr">
        <is>
          <t>avverkningsanmälan</t>
        </is>
      </c>
      <c r="C375" t="inlineStr">
        <is>
          <t>Föryngringsavverkning</t>
        </is>
      </c>
      <c r="D375" s="1" t="n">
        <v>45078</v>
      </c>
      <c r="E375" s="1" t="n">
        <v>46223</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20997-2025</t>
        </is>
      </c>
      <c r="B376" t="inlineStr">
        <is>
          <t>avverkningsanmälan</t>
        </is>
      </c>
      <c r="C376" t="inlineStr">
        <is>
          <t>Föryngringsavverkning</t>
        </is>
      </c>
      <c r="D376" s="1" t="n">
        <v>45777</v>
      </c>
      <c r="E376" s="1" t="n">
        <v>46223</v>
      </c>
      <c r="F376" t="inlineStr">
        <is>
          <t>ÖSTERGÖTLANDS LÄN</t>
        </is>
      </c>
      <c r="G376" t="inlineStr">
        <is>
          <t>KINDA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37830-2023</t>
        </is>
      </c>
      <c r="B377" t="inlineStr">
        <is>
          <t>avverkningsanmälan</t>
        </is>
      </c>
      <c r="C377" t="inlineStr">
        <is>
          <t>Föryngringsavverkning</t>
        </is>
      </c>
      <c r="D377" s="1" t="n">
        <v>45160</v>
      </c>
      <c r="E377" s="1" t="n">
        <v>46223</v>
      </c>
      <c r="F377" t="inlineStr">
        <is>
          <t>ÖSTERGÖTLANDS LÄN</t>
        </is>
      </c>
      <c r="G377" t="inlineStr">
        <is>
          <t>KINDA</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42509-2025</t>
        </is>
      </c>
      <c r="B378" t="inlineStr">
        <is>
          <t>avverkningsanmälan</t>
        </is>
      </c>
      <c r="C378" t="inlineStr">
        <is>
          <t>Föryngringsavverkning</t>
        </is>
      </c>
      <c r="D378" s="1" t="n">
        <v>45904</v>
      </c>
      <c r="E378" s="1" t="n">
        <v>46223</v>
      </c>
      <c r="F378" t="inlineStr">
        <is>
          <t>ÖSTERGÖTLANDS LÄN</t>
        </is>
      </c>
      <c r="G378" t="inlineStr">
        <is>
          <t>KINDA</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3953-2025</t>
        </is>
      </c>
      <c r="B379" t="inlineStr">
        <is>
          <t>avverkningsanmälan</t>
        </is>
      </c>
      <c r="C379" t="inlineStr">
        <is>
          <t>Föryngringsavverkning</t>
        </is>
      </c>
      <c r="D379" s="1" t="n">
        <v>45684</v>
      </c>
      <c r="E379" s="1" t="n">
        <v>46223</v>
      </c>
      <c r="F379" t="inlineStr">
        <is>
          <t>ÖSTERGÖTLANDS LÄN</t>
        </is>
      </c>
      <c r="G379" t="inlineStr">
        <is>
          <t>KINDA</t>
        </is>
      </c>
      <c r="I379" t="n">
        <v>4</v>
      </c>
      <c r="J379" t="n">
        <v>0</v>
      </c>
      <c r="K379" t="n">
        <v>0</v>
      </c>
      <c r="L379" t="n">
        <v>0</v>
      </c>
      <c r="M379" t="n">
        <v>0</v>
      </c>
      <c r="N379" t="n">
        <v>0</v>
      </c>
      <c r="O379" t="n">
        <v>0</v>
      </c>
      <c r="P379" t="n">
        <v>0</v>
      </c>
      <c r="Q379" t="n">
        <v>0</v>
      </c>
      <c r="R379" t="n">
        <v>0</v>
      </c>
      <c r="S379" t="n">
        <v>0</v>
      </c>
      <c r="T379" t="n">
        <v>0</v>
      </c>
      <c r="U379" s="2" t="inlineStr"/>
    </row>
    <row r="380" ht="15" customHeight="1">
      <c r="A380" t="inlineStr">
        <is>
          <t>A 34730-2022</t>
        </is>
      </c>
      <c r="B380" t="inlineStr">
        <is>
          <t>avverkningsanmälan</t>
        </is>
      </c>
      <c r="C380" t="inlineStr">
        <is>
          <t>Avverkning för annat ändamål</t>
        </is>
      </c>
      <c r="D380" s="1" t="n">
        <v>44795</v>
      </c>
      <c r="E380" s="1" t="n">
        <v>46223</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12997-2024</t>
        </is>
      </c>
      <c r="B381" t="inlineStr">
        <is>
          <t>avverkningsanmälan</t>
        </is>
      </c>
      <c r="C381" t="inlineStr">
        <is>
          <t>Föryngringsavverkning</t>
        </is>
      </c>
      <c r="D381" s="1" t="n">
        <v>45385</v>
      </c>
      <c r="E381" s="1" t="n">
        <v>46223</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7792-2022</t>
        </is>
      </c>
      <c r="B382" t="inlineStr">
        <is>
          <t>avverkningsanmälan</t>
        </is>
      </c>
      <c r="C382" t="inlineStr">
        <is>
          <t>Föryngringsavverkning</t>
        </is>
      </c>
      <c r="D382" s="1" t="n">
        <v>44608</v>
      </c>
      <c r="E382" s="1" t="n">
        <v>46223</v>
      </c>
      <c r="F382" t="inlineStr">
        <is>
          <t>ÖSTERGÖTLANDS LÄN</t>
        </is>
      </c>
      <c r="G382" t="inlineStr">
        <is>
          <t>KINDA</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4236-2024</t>
        </is>
      </c>
      <c r="B383" t="inlineStr">
        <is>
          <t>avverkningsanmälan</t>
        </is>
      </c>
      <c r="C383" t="inlineStr">
        <is>
          <t>Föryngringsavverkning</t>
        </is>
      </c>
      <c r="D383" s="1" t="n">
        <v>45324</v>
      </c>
      <c r="E383" s="1" t="n">
        <v>46223</v>
      </c>
      <c r="F383" t="inlineStr">
        <is>
          <t>ÖSTERGÖTLANDS LÄN</t>
        </is>
      </c>
      <c r="G383" t="inlineStr">
        <is>
          <t>KINDA</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21244-2023</t>
        </is>
      </c>
      <c r="B384" t="inlineStr">
        <is>
          <t>avverkningsanmälan</t>
        </is>
      </c>
      <c r="C384" t="inlineStr">
        <is>
          <t>Föryngringsavverkning</t>
        </is>
      </c>
      <c r="D384" s="1" t="n">
        <v>45062</v>
      </c>
      <c r="E384" s="1" t="n">
        <v>46223</v>
      </c>
      <c r="F384" t="inlineStr">
        <is>
          <t>ÖSTERGÖTLANDS LÄN</t>
        </is>
      </c>
      <c r="G384" t="inlineStr">
        <is>
          <t>KINDA</t>
        </is>
      </c>
      <c r="I384" t="n">
        <v>5.5</v>
      </c>
      <c r="J384" t="n">
        <v>0</v>
      </c>
      <c r="K384" t="n">
        <v>0</v>
      </c>
      <c r="L384" t="n">
        <v>0</v>
      </c>
      <c r="M384" t="n">
        <v>0</v>
      </c>
      <c r="N384" t="n">
        <v>0</v>
      </c>
      <c r="O384" t="n">
        <v>0</v>
      </c>
      <c r="P384" t="n">
        <v>0</v>
      </c>
      <c r="Q384" t="n">
        <v>0</v>
      </c>
      <c r="R384" t="n">
        <v>0</v>
      </c>
      <c r="S384" t="n">
        <v>0</v>
      </c>
      <c r="T384" t="n">
        <v>0</v>
      </c>
      <c r="U384" s="2" t="inlineStr"/>
    </row>
    <row r="385" ht="15" customHeight="1">
      <c r="A385" t="inlineStr">
        <is>
          <t>A 29210-2025</t>
        </is>
      </c>
      <c r="B385" t="inlineStr">
        <is>
          <t>avverkningsanmälan</t>
        </is>
      </c>
      <c r="C385" t="inlineStr">
        <is>
          <t>Föryngringsavverkning</t>
        </is>
      </c>
      <c r="D385" s="1" t="n">
        <v>45823</v>
      </c>
      <c r="E385" s="1" t="n">
        <v>46223</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26061-2026</t>
        </is>
      </c>
      <c r="B386" t="inlineStr">
        <is>
          <t>avverkningsanmälan</t>
        </is>
      </c>
      <c r="C386" t="inlineStr">
        <is>
          <t>Avverkning för annat ändamål</t>
        </is>
      </c>
      <c r="D386" s="1" t="n">
        <v>46181</v>
      </c>
      <c r="E386" s="1" t="n">
        <v>46223</v>
      </c>
      <c r="F386" t="inlineStr">
        <is>
          <t>ÖSTERGÖTLANDS LÄN</t>
        </is>
      </c>
      <c r="G386" t="inlineStr">
        <is>
          <t>KINDA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41396-2025</t>
        </is>
      </c>
      <c r="B387" t="inlineStr">
        <is>
          <t>avverkningsanmälan</t>
        </is>
      </c>
      <c r="C387" t="inlineStr">
        <is>
          <t>Föryngringsavverkning</t>
        </is>
      </c>
      <c r="D387" s="1" t="n">
        <v>45901</v>
      </c>
      <c r="E387" s="1" t="n">
        <v>46223</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61572-2025</t>
        </is>
      </c>
      <c r="B388" t="inlineStr">
        <is>
          <t>avverkningsanmälan</t>
        </is>
      </c>
      <c r="C388" t="inlineStr">
        <is>
          <t>Avverkning för att bevara och utveckla /försöksver</t>
        </is>
      </c>
      <c r="D388" s="1" t="n">
        <v>46002</v>
      </c>
      <c r="E388" s="1" t="n">
        <v>46223</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10477-2022</t>
        </is>
      </c>
      <c r="B389" t="inlineStr">
        <is>
          <t>avverkningsanmälan</t>
        </is>
      </c>
      <c r="C389" t="inlineStr">
        <is>
          <t>Föryngringsavverkning</t>
        </is>
      </c>
      <c r="D389" s="1" t="n">
        <v>44623</v>
      </c>
      <c r="E389" s="1" t="n">
        <v>46223</v>
      </c>
      <c r="F389" t="inlineStr">
        <is>
          <t>ÖSTERGÖTLANDS LÄN</t>
        </is>
      </c>
      <c r="G389" t="inlineStr">
        <is>
          <t>KINDA</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12622-2024</t>
        </is>
      </c>
      <c r="B390" t="inlineStr">
        <is>
          <t>avverkningsanmälan</t>
        </is>
      </c>
      <c r="C390" t="inlineStr">
        <is>
          <t>Föryngringsavverkning</t>
        </is>
      </c>
      <c r="D390" s="1" t="n">
        <v>45383</v>
      </c>
      <c r="E390" s="1" t="n">
        <v>46223</v>
      </c>
      <c r="F390" t="inlineStr">
        <is>
          <t>ÖSTERGÖTLANDS LÄN</t>
        </is>
      </c>
      <c r="G390" t="inlineStr">
        <is>
          <t>KINDA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8092-2024</t>
        </is>
      </c>
      <c r="B391" t="inlineStr">
        <is>
          <t>avverkningsanmälan</t>
        </is>
      </c>
      <c r="C391" t="inlineStr">
        <is>
          <t>Föryngringsavverkning</t>
        </is>
      </c>
      <c r="D391" s="1" t="n">
        <v>45351</v>
      </c>
      <c r="E391" s="1" t="n">
        <v>46223</v>
      </c>
      <c r="F391" t="inlineStr">
        <is>
          <t>ÖSTERGÖTLANDS LÄN</t>
        </is>
      </c>
      <c r="G391" t="inlineStr">
        <is>
          <t>KINDA</t>
        </is>
      </c>
      <c r="I391" t="n">
        <v>0</v>
      </c>
      <c r="J391" t="n">
        <v>0</v>
      </c>
      <c r="K391" t="n">
        <v>0</v>
      </c>
      <c r="L391" t="n">
        <v>0</v>
      </c>
      <c r="M391" t="n">
        <v>0</v>
      </c>
      <c r="N391" t="n">
        <v>0</v>
      </c>
      <c r="O391" t="n">
        <v>0</v>
      </c>
      <c r="P391" t="n">
        <v>0</v>
      </c>
      <c r="Q391" t="n">
        <v>0</v>
      </c>
      <c r="R391" t="n">
        <v>0</v>
      </c>
      <c r="S391" t="n">
        <v>0</v>
      </c>
      <c r="T391" t="n">
        <v>0</v>
      </c>
      <c r="U391" s="2" t="inlineStr"/>
    </row>
    <row r="392" ht="15" customHeight="1">
      <c r="A392" t="inlineStr">
        <is>
          <t>A 15159-2022</t>
        </is>
      </c>
      <c r="B392" t="inlineStr">
        <is>
          <t>avverkningsanmälan</t>
        </is>
      </c>
      <c r="C392" t="inlineStr">
        <is>
          <t>Föryngringsavverkning</t>
        </is>
      </c>
      <c r="D392" s="1" t="n">
        <v>44658</v>
      </c>
      <c r="E392" s="1" t="n">
        <v>46223</v>
      </c>
      <c r="F392" t="inlineStr">
        <is>
          <t>ÖSTERGÖTLANDS LÄN</t>
        </is>
      </c>
      <c r="G392" t="inlineStr">
        <is>
          <t>KINDA</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26100-2026</t>
        </is>
      </c>
      <c r="B393" t="inlineStr">
        <is>
          <t>avverkningsanmälan</t>
        </is>
      </c>
      <c r="C393" t="inlineStr">
        <is>
          <t>Föryngringsavverkning</t>
        </is>
      </c>
      <c r="D393" s="1" t="n">
        <v>46181</v>
      </c>
      <c r="E393" s="1" t="n">
        <v>46223</v>
      </c>
      <c r="F393" t="inlineStr">
        <is>
          <t>ÖSTERGÖTLANDS LÄN</t>
        </is>
      </c>
      <c r="G393" t="inlineStr">
        <is>
          <t>KINDA</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39774-2023</t>
        </is>
      </c>
      <c r="B394" t="inlineStr">
        <is>
          <t>avverkningsanmälan</t>
        </is>
      </c>
      <c r="C394" t="inlineStr">
        <is>
          <t>Föryngringsavverkning</t>
        </is>
      </c>
      <c r="D394" s="1" t="n">
        <v>45167</v>
      </c>
      <c r="E394" s="1" t="n">
        <v>46223</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23613-2022</t>
        </is>
      </c>
      <c r="B395" t="inlineStr">
        <is>
          <t>avverkningsanmälan</t>
        </is>
      </c>
      <c r="C395" t="inlineStr">
        <is>
          <t>Föryngringsavverkning</t>
        </is>
      </c>
      <c r="D395" s="1" t="n">
        <v>44721</v>
      </c>
      <c r="E395" s="1" t="n">
        <v>46223</v>
      </c>
      <c r="F395" t="inlineStr">
        <is>
          <t>ÖSTERGÖTLANDS LÄN</t>
        </is>
      </c>
      <c r="G395" t="inlineStr">
        <is>
          <t>KINDA</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46947-2025</t>
        </is>
      </c>
      <c r="B396" t="inlineStr">
        <is>
          <t>avverkningsanmälan</t>
        </is>
      </c>
      <c r="C396" t="inlineStr">
        <is>
          <t>Föryngringsavverkning</t>
        </is>
      </c>
      <c r="D396" s="1" t="n">
        <v>45929</v>
      </c>
      <c r="E396" s="1" t="n">
        <v>46223</v>
      </c>
      <c r="F396" t="inlineStr">
        <is>
          <t>ÖSTERGÖTLANDS LÄN</t>
        </is>
      </c>
      <c r="G396" t="inlineStr">
        <is>
          <t>KINDA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29092-2025</t>
        </is>
      </c>
      <c r="B397" t="inlineStr">
        <is>
          <t>avverkningsanmälan</t>
        </is>
      </c>
      <c r="C397" t="inlineStr">
        <is>
          <t>Föryngringsavverkning</t>
        </is>
      </c>
      <c r="D397" s="1" t="n">
        <v>45821</v>
      </c>
      <c r="E397" s="1" t="n">
        <v>46223</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24903-2022</t>
        </is>
      </c>
      <c r="B398" t="inlineStr">
        <is>
          <t>avverkningsanmälan</t>
        </is>
      </c>
      <c r="C398" t="inlineStr">
        <is>
          <t>Föryngringsavverkning</t>
        </is>
      </c>
      <c r="D398" s="1" t="n">
        <v>44728</v>
      </c>
      <c r="E398" s="1" t="n">
        <v>46223</v>
      </c>
      <c r="F398" t="inlineStr">
        <is>
          <t>ÖSTERGÖTLANDS LÄN</t>
        </is>
      </c>
      <c r="G398" t="inlineStr">
        <is>
          <t>KINDA</t>
        </is>
      </c>
      <c r="I398" t="n">
        <v>6.3</v>
      </c>
      <c r="J398" t="n">
        <v>0</v>
      </c>
      <c r="K398" t="n">
        <v>0</v>
      </c>
      <c r="L398" t="n">
        <v>0</v>
      </c>
      <c r="M398" t="n">
        <v>0</v>
      </c>
      <c r="N398" t="n">
        <v>0</v>
      </c>
      <c r="O398" t="n">
        <v>0</v>
      </c>
      <c r="P398" t="n">
        <v>0</v>
      </c>
      <c r="Q398" t="n">
        <v>0</v>
      </c>
      <c r="R398" t="n">
        <v>0</v>
      </c>
      <c r="S398" t="n">
        <v>0</v>
      </c>
      <c r="T398" t="n">
        <v>0</v>
      </c>
      <c r="U398" s="2" t="inlineStr"/>
    </row>
    <row r="399" ht="15" customHeight="1">
      <c r="A399" t="inlineStr">
        <is>
          <t>A 17174-2022</t>
        </is>
      </c>
      <c r="B399" t="inlineStr">
        <is>
          <t>avverkningsanmälan</t>
        </is>
      </c>
      <c r="C399" t="inlineStr">
        <is>
          <t>Föryngringsavverkning</t>
        </is>
      </c>
      <c r="D399" s="1" t="n">
        <v>44677</v>
      </c>
      <c r="E399" s="1" t="n">
        <v>46223</v>
      </c>
      <c r="F399" t="inlineStr">
        <is>
          <t>ÖSTERGÖTLANDS LÄN</t>
        </is>
      </c>
      <c r="G399" t="inlineStr">
        <is>
          <t>KINDA</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22806-2025</t>
        </is>
      </c>
      <c r="B400" t="inlineStr">
        <is>
          <t>avverkningsanmälan</t>
        </is>
      </c>
      <c r="C400" t="inlineStr">
        <is>
          <t>Föryngringsavverkning</t>
        </is>
      </c>
      <c r="D400" s="1" t="n">
        <v>45789</v>
      </c>
      <c r="E400" s="1" t="n">
        <v>46223</v>
      </c>
      <c r="F400" t="inlineStr">
        <is>
          <t>ÖSTERGÖTLANDS LÄN</t>
        </is>
      </c>
      <c r="G400" t="inlineStr">
        <is>
          <t>KINDA</t>
        </is>
      </c>
      <c r="I400" t="n">
        <v>6.8</v>
      </c>
      <c r="J400" t="n">
        <v>0</v>
      </c>
      <c r="K400" t="n">
        <v>0</v>
      </c>
      <c r="L400" t="n">
        <v>0</v>
      </c>
      <c r="M400" t="n">
        <v>0</v>
      </c>
      <c r="N400" t="n">
        <v>0</v>
      </c>
      <c r="O400" t="n">
        <v>0</v>
      </c>
      <c r="P400" t="n">
        <v>0</v>
      </c>
      <c r="Q400" t="n">
        <v>0</v>
      </c>
      <c r="R400" t="n">
        <v>0</v>
      </c>
      <c r="S400" t="n">
        <v>0</v>
      </c>
      <c r="T400" t="n">
        <v>0</v>
      </c>
      <c r="U400" s="2" t="inlineStr"/>
    </row>
    <row r="401" ht="15" customHeight="1">
      <c r="A401" t="inlineStr">
        <is>
          <t>A 60597-2023</t>
        </is>
      </c>
      <c r="B401" t="inlineStr">
        <is>
          <t>avverkningsanmälan</t>
        </is>
      </c>
      <c r="C401" t="inlineStr">
        <is>
          <t>Föryngringsavverkning</t>
        </is>
      </c>
      <c r="D401" s="1" t="n">
        <v>45260</v>
      </c>
      <c r="E401" s="1" t="n">
        <v>46223</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8413-2025</t>
        </is>
      </c>
      <c r="B402" t="inlineStr">
        <is>
          <t>avverkningsanmälan</t>
        </is>
      </c>
      <c r="C402" t="inlineStr">
        <is>
          <t>Föryngringsavverkning</t>
        </is>
      </c>
      <c r="D402" s="1" t="n">
        <v>45709</v>
      </c>
      <c r="E402" s="1" t="n">
        <v>46223</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43475-2023</t>
        </is>
      </c>
      <c r="B403" t="inlineStr">
        <is>
          <t>avverkningsanmälan</t>
        </is>
      </c>
      <c r="C403" t="inlineStr">
        <is>
          <t>Föryngringsavverkning</t>
        </is>
      </c>
      <c r="D403" s="1" t="n">
        <v>45184</v>
      </c>
      <c r="E403" s="1" t="n">
        <v>46223</v>
      </c>
      <c r="F403" t="inlineStr">
        <is>
          <t>ÖSTERGÖTLANDS LÄN</t>
        </is>
      </c>
      <c r="G403" t="inlineStr">
        <is>
          <t>KINDA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39099-2025</t>
        </is>
      </c>
      <c r="B404" t="inlineStr">
        <is>
          <t>avverkningsanmälan</t>
        </is>
      </c>
      <c r="C404" t="inlineStr">
        <is>
          <t>Föryngringsavverkning</t>
        </is>
      </c>
      <c r="D404" s="1" t="n">
        <v>45888</v>
      </c>
      <c r="E404" s="1" t="n">
        <v>46223</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43007-2025</t>
        </is>
      </c>
      <c r="B405" t="inlineStr">
        <is>
          <t>avverkningsanmälan</t>
        </is>
      </c>
      <c r="C405" t="inlineStr">
        <is>
          <t>Föryngringsavverkning</t>
        </is>
      </c>
      <c r="D405" s="1" t="n">
        <v>45909</v>
      </c>
      <c r="E405" s="1" t="n">
        <v>46223</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36126-2023</t>
        </is>
      </c>
      <c r="B406" t="inlineStr">
        <is>
          <t>avverkningsanmälan</t>
        </is>
      </c>
      <c r="C406" t="inlineStr">
        <is>
          <t>Föryngringsavverkning</t>
        </is>
      </c>
      <c r="D406" s="1" t="n">
        <v>45149</v>
      </c>
      <c r="E406" s="1" t="n">
        <v>46223</v>
      </c>
      <c r="F406" t="inlineStr">
        <is>
          <t>ÖSTERGÖTLANDS LÄN</t>
        </is>
      </c>
      <c r="G406" t="inlineStr">
        <is>
          <t>KINDA</t>
        </is>
      </c>
      <c r="I406" t="n">
        <v>3.8</v>
      </c>
      <c r="J406" t="n">
        <v>0</v>
      </c>
      <c r="K406" t="n">
        <v>0</v>
      </c>
      <c r="L406" t="n">
        <v>0</v>
      </c>
      <c r="M406" t="n">
        <v>0</v>
      </c>
      <c r="N406" t="n">
        <v>0</v>
      </c>
      <c r="O406" t="n">
        <v>0</v>
      </c>
      <c r="P406" t="n">
        <v>0</v>
      </c>
      <c r="Q406" t="n">
        <v>0</v>
      </c>
      <c r="R406" t="n">
        <v>0</v>
      </c>
      <c r="S406" t="n">
        <v>0</v>
      </c>
      <c r="T406" t="n">
        <v>0</v>
      </c>
      <c r="U406" s="2" t="inlineStr"/>
    </row>
    <row r="407" ht="15" customHeight="1">
      <c r="A407" t="inlineStr">
        <is>
          <t>A 55511-2025</t>
        </is>
      </c>
      <c r="B407" t="inlineStr">
        <is>
          <t>avverkningsanmälan</t>
        </is>
      </c>
      <c r="C407" t="inlineStr">
        <is>
          <t>Föryngringsavverkning</t>
        </is>
      </c>
      <c r="D407" s="1" t="n">
        <v>45971</v>
      </c>
      <c r="E407" s="1" t="n">
        <v>46223</v>
      </c>
      <c r="F407" t="inlineStr">
        <is>
          <t>ÖSTERGÖTLANDS LÄN</t>
        </is>
      </c>
      <c r="G407" t="inlineStr">
        <is>
          <t>KINDA</t>
        </is>
      </c>
      <c r="H407" t="inlineStr">
        <is>
          <t>Övriga Aktiebolag</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57336-2023</t>
        </is>
      </c>
      <c r="B408" t="inlineStr">
        <is>
          <t>avverkningsanmälan</t>
        </is>
      </c>
      <c r="C408" t="inlineStr">
        <is>
          <t>Föryngringsavverkning</t>
        </is>
      </c>
      <c r="D408" s="1" t="n">
        <v>45245</v>
      </c>
      <c r="E408" s="1" t="n">
        <v>46223</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46639-2023</t>
        </is>
      </c>
      <c r="B409" t="inlineStr">
        <is>
          <t>avverkningsanmälan</t>
        </is>
      </c>
      <c r="C409" t="inlineStr">
        <is>
          <t>Föryngringsavverkning</t>
        </is>
      </c>
      <c r="D409" s="1" t="n">
        <v>45198</v>
      </c>
      <c r="E409" s="1" t="n">
        <v>46223</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35672-2022</t>
        </is>
      </c>
      <c r="B410" t="inlineStr">
        <is>
          <t>avverkningsanmälan</t>
        </is>
      </c>
      <c r="C410" t="inlineStr">
        <is>
          <t>Föryngringsavverkning</t>
        </is>
      </c>
      <c r="D410" s="1" t="n">
        <v>44799</v>
      </c>
      <c r="E410" s="1" t="n">
        <v>46223</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5508-2025</t>
        </is>
      </c>
      <c r="B411" t="inlineStr">
        <is>
          <t>avverkningsanmälan</t>
        </is>
      </c>
      <c r="C411" t="inlineStr">
        <is>
          <t>Föryngringsavverkning</t>
        </is>
      </c>
      <c r="D411" s="1" t="n">
        <v>45693</v>
      </c>
      <c r="E411" s="1" t="n">
        <v>46223</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47187-2023</t>
        </is>
      </c>
      <c r="B412" t="inlineStr">
        <is>
          <t>avverkningsanmälan</t>
        </is>
      </c>
      <c r="C412" t="inlineStr">
        <is>
          <t>Föryngringsavverkning</t>
        </is>
      </c>
      <c r="D412" s="1" t="n">
        <v>45202</v>
      </c>
      <c r="E412" s="1" t="n">
        <v>46223</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41331-2023</t>
        </is>
      </c>
      <c r="B413" t="inlineStr">
        <is>
          <t>avverkningsanmälan</t>
        </is>
      </c>
      <c r="C413" t="inlineStr">
        <is>
          <t>Föryngringsavverkning</t>
        </is>
      </c>
      <c r="D413" s="1" t="n">
        <v>45174</v>
      </c>
      <c r="E413" s="1" t="n">
        <v>46223</v>
      </c>
      <c r="F413" t="inlineStr">
        <is>
          <t>ÖSTERGÖTLANDS LÄN</t>
        </is>
      </c>
      <c r="G413" t="inlineStr">
        <is>
          <t>KINDA</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33997-2023</t>
        </is>
      </c>
      <c r="B414" t="inlineStr">
        <is>
          <t>avverkningsanmälan</t>
        </is>
      </c>
      <c r="C414" t="inlineStr">
        <is>
          <t>Avverkning för annat ändamål</t>
        </is>
      </c>
      <c r="D414" s="1" t="n">
        <v>45134</v>
      </c>
      <c r="E414" s="1" t="n">
        <v>46223</v>
      </c>
      <c r="F414" t="inlineStr">
        <is>
          <t>ÖSTERGÖTLANDS LÄN</t>
        </is>
      </c>
      <c r="G414" t="inlineStr">
        <is>
          <t>KINDA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54507-2022</t>
        </is>
      </c>
      <c r="B415" t="inlineStr">
        <is>
          <t>avverkningsanmälan</t>
        </is>
      </c>
      <c r="C415" t="inlineStr">
        <is>
          <t>Avverkning för annat ändamål</t>
        </is>
      </c>
      <c r="D415" s="1" t="n">
        <v>44882</v>
      </c>
      <c r="E415" s="1" t="n">
        <v>46223</v>
      </c>
      <c r="F415" t="inlineStr">
        <is>
          <t>ÖSTERGÖTLANDS LÄN</t>
        </is>
      </c>
      <c r="G415" t="inlineStr">
        <is>
          <t>KINDA</t>
        </is>
      </c>
      <c r="I415" t="n">
        <v>0.1</v>
      </c>
      <c r="J415" t="n">
        <v>0</v>
      </c>
      <c r="K415" t="n">
        <v>0</v>
      </c>
      <c r="L415" t="n">
        <v>0</v>
      </c>
      <c r="M415" t="n">
        <v>0</v>
      </c>
      <c r="N415" t="n">
        <v>0</v>
      </c>
      <c r="O415" t="n">
        <v>0</v>
      </c>
      <c r="P415" t="n">
        <v>0</v>
      </c>
      <c r="Q415" t="n">
        <v>0</v>
      </c>
      <c r="R415" t="n">
        <v>0</v>
      </c>
      <c r="S415" t="n">
        <v>0</v>
      </c>
      <c r="T415" t="n">
        <v>0</v>
      </c>
      <c r="U415" s="2" t="inlineStr"/>
    </row>
    <row r="416" ht="15" customHeight="1">
      <c r="A416" t="inlineStr">
        <is>
          <t>A 57342-2023</t>
        </is>
      </c>
      <c r="B416" t="inlineStr">
        <is>
          <t>avverkningsanmälan</t>
        </is>
      </c>
      <c r="C416" t="inlineStr">
        <is>
          <t>Föryngringsavverkning</t>
        </is>
      </c>
      <c r="D416" s="1" t="n">
        <v>45245</v>
      </c>
      <c r="E416" s="1" t="n">
        <v>46223</v>
      </c>
      <c r="F416" t="inlineStr">
        <is>
          <t>ÖSTERGÖTLANDS LÄN</t>
        </is>
      </c>
      <c r="G416" t="inlineStr">
        <is>
          <t>KINDA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35662-2022</t>
        </is>
      </c>
      <c r="B417" t="inlineStr">
        <is>
          <t>avverkningsanmälan</t>
        </is>
      </c>
      <c r="C417" t="inlineStr">
        <is>
          <t>Föryngringsavverkning</t>
        </is>
      </c>
      <c r="D417" s="1" t="n">
        <v>44799</v>
      </c>
      <c r="E417" s="1" t="n">
        <v>46223</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47056-2022</t>
        </is>
      </c>
      <c r="B418" t="inlineStr">
        <is>
          <t>avverkningsanmälan</t>
        </is>
      </c>
      <c r="C418" t="inlineStr">
        <is>
          <t>Föryngringsavverkning</t>
        </is>
      </c>
      <c r="D418" s="1" t="n">
        <v>44852</v>
      </c>
      <c r="E418" s="1" t="n">
        <v>46223</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14943-2024</t>
        </is>
      </c>
      <c r="B419" t="inlineStr">
        <is>
          <t>avverkningsanmälan</t>
        </is>
      </c>
      <c r="C419" t="inlineStr">
        <is>
          <t>Föryngringsavverkning</t>
        </is>
      </c>
      <c r="D419" s="1" t="n">
        <v>45398</v>
      </c>
      <c r="E419" s="1" t="n">
        <v>46223</v>
      </c>
      <c r="F419" t="inlineStr">
        <is>
          <t>ÖSTERGÖTLANDS LÄN</t>
        </is>
      </c>
      <c r="G419" t="inlineStr">
        <is>
          <t>KINDA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21463-2026</t>
        </is>
      </c>
      <c r="B420" t="inlineStr">
        <is>
          <t>avverkningsanmälan</t>
        </is>
      </c>
      <c r="C420" t="inlineStr">
        <is>
          <t>Föryngringsavverkning</t>
        </is>
      </c>
      <c r="D420" s="1" t="n">
        <v>46148</v>
      </c>
      <c r="E420" s="1" t="n">
        <v>46223</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36824-2022</t>
        </is>
      </c>
      <c r="B421" t="inlineStr">
        <is>
          <t>avverkningsanmälan</t>
        </is>
      </c>
      <c r="C421" t="inlineStr">
        <is>
          <t>Föryngringsavverkning</t>
        </is>
      </c>
      <c r="D421" s="1" t="n">
        <v>44805</v>
      </c>
      <c r="E421" s="1" t="n">
        <v>46223</v>
      </c>
      <c r="F421" t="inlineStr">
        <is>
          <t>ÖSTERGÖTLANDS LÄN</t>
        </is>
      </c>
      <c r="G421" t="inlineStr">
        <is>
          <t>KINDA</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15029-2024</t>
        </is>
      </c>
      <c r="B422" t="inlineStr">
        <is>
          <t>avverkningsanmälan</t>
        </is>
      </c>
      <c r="C422" t="inlineStr">
        <is>
          <t>Föryngringsavverkning</t>
        </is>
      </c>
      <c r="D422" s="1" t="n">
        <v>45399</v>
      </c>
      <c r="E422" s="1" t="n">
        <v>46223</v>
      </c>
      <c r="F422" t="inlineStr">
        <is>
          <t>ÖSTERGÖTLANDS LÄN</t>
        </is>
      </c>
      <c r="G422" t="inlineStr">
        <is>
          <t>KINDA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35572-2024</t>
        </is>
      </c>
      <c r="B423" t="inlineStr">
        <is>
          <t>avverkningsanmälan</t>
        </is>
      </c>
      <c r="C423" t="inlineStr">
        <is>
          <t>Föryngringsavverkning</t>
        </is>
      </c>
      <c r="D423" s="1" t="n">
        <v>45531</v>
      </c>
      <c r="E423" s="1" t="n">
        <v>46223</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8590-2024</t>
        </is>
      </c>
      <c r="B424" t="inlineStr">
        <is>
          <t>avverkningsanmälan</t>
        </is>
      </c>
      <c r="C424" t="inlineStr">
        <is>
          <t>Föryngringsavverkning</t>
        </is>
      </c>
      <c r="D424" s="1" t="n">
        <v>45352</v>
      </c>
      <c r="E424" s="1" t="n">
        <v>46223</v>
      </c>
      <c r="F424" t="inlineStr">
        <is>
          <t>ÖSTERGÖTLANDS LÄN</t>
        </is>
      </c>
      <c r="G424" t="inlineStr">
        <is>
          <t>KINDA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8064-2024</t>
        </is>
      </c>
      <c r="B425" t="inlineStr">
        <is>
          <t>avverkningsanmälan</t>
        </is>
      </c>
      <c r="C425" t="inlineStr">
        <is>
          <t>Föryngringsavverkning</t>
        </is>
      </c>
      <c r="D425" s="1" t="n">
        <v>45351</v>
      </c>
      <c r="E425" s="1" t="n">
        <v>46223</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145-2024</t>
        </is>
      </c>
      <c r="B426" t="inlineStr">
        <is>
          <t>avverkningsanmälan</t>
        </is>
      </c>
      <c r="C426" t="inlineStr">
        <is>
          <t>Föryngringsavverkning</t>
        </is>
      </c>
      <c r="D426" s="1" t="n">
        <v>45294</v>
      </c>
      <c r="E426" s="1" t="n">
        <v>46223</v>
      </c>
      <c r="F426" t="inlineStr">
        <is>
          <t>ÖSTERGÖTLANDS LÄN</t>
        </is>
      </c>
      <c r="G426" t="inlineStr">
        <is>
          <t>KINDA</t>
        </is>
      </c>
      <c r="I426" t="n">
        <v>4.9</v>
      </c>
      <c r="J426" t="n">
        <v>0</v>
      </c>
      <c r="K426" t="n">
        <v>0</v>
      </c>
      <c r="L426" t="n">
        <v>0</v>
      </c>
      <c r="M426" t="n">
        <v>0</v>
      </c>
      <c r="N426" t="n">
        <v>0</v>
      </c>
      <c r="O426" t="n">
        <v>0</v>
      </c>
      <c r="P426" t="n">
        <v>0</v>
      </c>
      <c r="Q426" t="n">
        <v>0</v>
      </c>
      <c r="R426" t="n">
        <v>0</v>
      </c>
      <c r="S426" t="n">
        <v>0</v>
      </c>
      <c r="T426" t="n">
        <v>0</v>
      </c>
      <c r="U426" s="2" t="inlineStr"/>
    </row>
    <row r="427" ht="15" customHeight="1">
      <c r="A427" t="inlineStr">
        <is>
          <t>A 3486-2023</t>
        </is>
      </c>
      <c r="B427" t="inlineStr">
        <is>
          <t>avverkningsanmälan</t>
        </is>
      </c>
      <c r="C427" t="inlineStr">
        <is>
          <t>Föryngringsavverkning</t>
        </is>
      </c>
      <c r="D427" s="1" t="n">
        <v>44949</v>
      </c>
      <c r="E427" s="1" t="n">
        <v>46223</v>
      </c>
      <c r="F427" t="inlineStr">
        <is>
          <t>ÖSTERGÖTLANDS LÄN</t>
        </is>
      </c>
      <c r="G427" t="inlineStr">
        <is>
          <t>KINDA</t>
        </is>
      </c>
      <c r="H427" t="inlineStr">
        <is>
          <t>Kyrkan</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937-2024</t>
        </is>
      </c>
      <c r="B428" t="inlineStr">
        <is>
          <t>avverkningsanmälan</t>
        </is>
      </c>
      <c r="C428" t="inlineStr">
        <is>
          <t>Föryngringsavverkning</t>
        </is>
      </c>
      <c r="D428" s="1" t="n">
        <v>45301</v>
      </c>
      <c r="E428" s="1" t="n">
        <v>46223</v>
      </c>
      <c r="F428" t="inlineStr">
        <is>
          <t>ÖSTERGÖTLANDS LÄN</t>
        </is>
      </c>
      <c r="G428" t="inlineStr">
        <is>
          <t>KINDA</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44543-2021</t>
        </is>
      </c>
      <c r="B429" t="inlineStr">
        <is>
          <t>avverkningsanmälan</t>
        </is>
      </c>
      <c r="C429" t="inlineStr">
        <is>
          <t>Föryngringsavverkning</t>
        </is>
      </c>
      <c r="D429" s="1" t="n">
        <v>44435</v>
      </c>
      <c r="E429" s="1" t="n">
        <v>46223</v>
      </c>
      <c r="F429" t="inlineStr">
        <is>
          <t>ÖSTERGÖTLANDS LÄN</t>
        </is>
      </c>
      <c r="G429" t="inlineStr">
        <is>
          <t>KINDA</t>
        </is>
      </c>
      <c r="I429" t="n">
        <v>10.2</v>
      </c>
      <c r="J429" t="n">
        <v>0</v>
      </c>
      <c r="K429" t="n">
        <v>0</v>
      </c>
      <c r="L429" t="n">
        <v>0</v>
      </c>
      <c r="M429" t="n">
        <v>0</v>
      </c>
      <c r="N429" t="n">
        <v>0</v>
      </c>
      <c r="O429" t="n">
        <v>0</v>
      </c>
      <c r="P429" t="n">
        <v>0</v>
      </c>
      <c r="Q429" t="n">
        <v>0</v>
      </c>
      <c r="R429" t="n">
        <v>0</v>
      </c>
      <c r="S429" t="n">
        <v>0</v>
      </c>
      <c r="T429" t="n">
        <v>0</v>
      </c>
      <c r="U429" s="2" t="inlineStr"/>
    </row>
    <row r="430" ht="15" customHeight="1">
      <c r="A430" t="inlineStr">
        <is>
          <t>A 52861-2023</t>
        </is>
      </c>
      <c r="B430" t="inlineStr">
        <is>
          <t>avverkningsanmälan</t>
        </is>
      </c>
      <c r="C430" t="inlineStr">
        <is>
          <t>Föryngringsavverkning</t>
        </is>
      </c>
      <c r="D430" s="1" t="n">
        <v>45219</v>
      </c>
      <c r="E430" s="1" t="n">
        <v>46223</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18198-2025</t>
        </is>
      </c>
      <c r="B431" t="inlineStr">
        <is>
          <t>avverkningsanmälan</t>
        </is>
      </c>
      <c r="C431" t="inlineStr">
        <is>
          <t>Föryngringsavverkning</t>
        </is>
      </c>
      <c r="D431" s="1" t="n">
        <v>45761</v>
      </c>
      <c r="E431" s="1" t="n">
        <v>46223</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46908-2022</t>
        </is>
      </c>
      <c r="B432" t="inlineStr">
        <is>
          <t>avverkningsanmälan</t>
        </is>
      </c>
      <c r="C432" t="inlineStr">
        <is>
          <t>Avverkning för annat ändamål</t>
        </is>
      </c>
      <c r="D432" s="1" t="n">
        <v>44851</v>
      </c>
      <c r="E432" s="1" t="n">
        <v>46223</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41718-2023</t>
        </is>
      </c>
      <c r="B433" t="inlineStr">
        <is>
          <t>avverkningsanmälan</t>
        </is>
      </c>
      <c r="C433" t="inlineStr">
        <is>
          <t>Föryngringsavverkning</t>
        </is>
      </c>
      <c r="D433" s="1" t="n">
        <v>45176</v>
      </c>
      <c r="E433" s="1" t="n">
        <v>46223</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28316-2023</t>
        </is>
      </c>
      <c r="B434" t="inlineStr">
        <is>
          <t>avverkningsanmälan</t>
        </is>
      </c>
      <c r="C434" t="inlineStr">
        <is>
          <t>Föryngringsavverkning</t>
        </is>
      </c>
      <c r="D434" s="1" t="n">
        <v>45098</v>
      </c>
      <c r="E434" s="1" t="n">
        <v>46223</v>
      </c>
      <c r="F434" t="inlineStr">
        <is>
          <t>ÖSTERGÖTLANDS LÄN</t>
        </is>
      </c>
      <c r="G434" t="inlineStr">
        <is>
          <t>KINDA</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10758-2022</t>
        </is>
      </c>
      <c r="B435" t="inlineStr">
        <is>
          <t>avverkningsanmälan</t>
        </is>
      </c>
      <c r="C435" t="inlineStr">
        <is>
          <t>Föryngringsavverkning</t>
        </is>
      </c>
      <c r="D435" s="1" t="n">
        <v>44627</v>
      </c>
      <c r="E435" s="1" t="n">
        <v>46223</v>
      </c>
      <c r="F435" t="inlineStr">
        <is>
          <t>ÖSTERGÖTLANDS LÄN</t>
        </is>
      </c>
      <c r="G435" t="inlineStr">
        <is>
          <t>KINDA</t>
        </is>
      </c>
      <c r="I435" t="n">
        <v>0.1</v>
      </c>
      <c r="J435" t="n">
        <v>0</v>
      </c>
      <c r="K435" t="n">
        <v>0</v>
      </c>
      <c r="L435" t="n">
        <v>0</v>
      </c>
      <c r="M435" t="n">
        <v>0</v>
      </c>
      <c r="N435" t="n">
        <v>0</v>
      </c>
      <c r="O435" t="n">
        <v>0</v>
      </c>
      <c r="P435" t="n">
        <v>0</v>
      </c>
      <c r="Q435" t="n">
        <v>0</v>
      </c>
      <c r="R435" t="n">
        <v>0</v>
      </c>
      <c r="S435" t="n">
        <v>0</v>
      </c>
      <c r="T435" t="n">
        <v>0</v>
      </c>
      <c r="U435" s="2" t="inlineStr"/>
    </row>
    <row r="436" ht="15" customHeight="1">
      <c r="A436" t="inlineStr">
        <is>
          <t>A 41580-2023</t>
        </is>
      </c>
      <c r="B436" t="inlineStr">
        <is>
          <t>avverkningsanmälan</t>
        </is>
      </c>
      <c r="C436" t="inlineStr">
        <is>
          <t>Föryngringsavverkning</t>
        </is>
      </c>
      <c r="D436" s="1" t="n">
        <v>45175</v>
      </c>
      <c r="E436" s="1" t="n">
        <v>46223</v>
      </c>
      <c r="F436" t="inlineStr">
        <is>
          <t>ÖSTERGÖTLANDS LÄN</t>
        </is>
      </c>
      <c r="G436" t="inlineStr">
        <is>
          <t>KINDA</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21237-2026</t>
        </is>
      </c>
      <c r="B437" t="inlineStr">
        <is>
          <t>avverkningsanmälan</t>
        </is>
      </c>
      <c r="C437" t="inlineStr">
        <is>
          <t>Föryngringsavverkning</t>
        </is>
      </c>
      <c r="D437" s="1" t="n">
        <v>46147</v>
      </c>
      <c r="E437" s="1" t="n">
        <v>46223</v>
      </c>
      <c r="F437" t="inlineStr">
        <is>
          <t>ÖSTERGÖTLANDS LÄN</t>
        </is>
      </c>
      <c r="G437" t="inlineStr">
        <is>
          <t>KINDA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22230-2026</t>
        </is>
      </c>
      <c r="B438" t="inlineStr">
        <is>
          <t>avverkningsanmälan</t>
        </is>
      </c>
      <c r="C438" t="inlineStr">
        <is>
          <t>Föryngringsavverkning</t>
        </is>
      </c>
      <c r="D438" s="1" t="n">
        <v>46153</v>
      </c>
      <c r="E438" s="1" t="n">
        <v>46223</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56317-2021</t>
        </is>
      </c>
      <c r="B439" t="inlineStr">
        <is>
          <t>avverkningsanmälan</t>
        </is>
      </c>
      <c r="C439" t="inlineStr">
        <is>
          <t>Föryngringsavverkning</t>
        </is>
      </c>
      <c r="D439" s="1" t="n">
        <v>44480</v>
      </c>
      <c r="E439" s="1" t="n">
        <v>46223</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31839-2023</t>
        </is>
      </c>
      <c r="B440" t="inlineStr">
        <is>
          <t>avverkningsanmälan</t>
        </is>
      </c>
      <c r="C440" t="inlineStr">
        <is>
          <t>Föryngringsavverkning</t>
        </is>
      </c>
      <c r="D440" s="1" t="n">
        <v>45118</v>
      </c>
      <c r="E440" s="1" t="n">
        <v>46223</v>
      </c>
      <c r="F440" t="inlineStr">
        <is>
          <t>ÖSTERGÖTLANDS LÄN</t>
        </is>
      </c>
      <c r="G440" t="inlineStr">
        <is>
          <t>KINDA</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22017-2026</t>
        </is>
      </c>
      <c r="B441" t="inlineStr">
        <is>
          <t>avverkningsanmälan</t>
        </is>
      </c>
      <c r="C441" t="inlineStr">
        <is>
          <t>Föryngringsavverkning</t>
        </is>
      </c>
      <c r="D441" s="1" t="n">
        <v>46153</v>
      </c>
      <c r="E441" s="1" t="n">
        <v>46223</v>
      </c>
      <c r="F441" t="inlineStr">
        <is>
          <t>ÖSTERGÖTLANDS LÄN</t>
        </is>
      </c>
      <c r="G441" t="inlineStr">
        <is>
          <t>KINDA</t>
        </is>
      </c>
      <c r="I441" t="n">
        <v>6.1</v>
      </c>
      <c r="J441" t="n">
        <v>0</v>
      </c>
      <c r="K441" t="n">
        <v>0</v>
      </c>
      <c r="L441" t="n">
        <v>0</v>
      </c>
      <c r="M441" t="n">
        <v>0</v>
      </c>
      <c r="N441" t="n">
        <v>0</v>
      </c>
      <c r="O441" t="n">
        <v>0</v>
      </c>
      <c r="P441" t="n">
        <v>0</v>
      </c>
      <c r="Q441" t="n">
        <v>0</v>
      </c>
      <c r="R441" t="n">
        <v>0</v>
      </c>
      <c r="S441" t="n">
        <v>0</v>
      </c>
      <c r="T441" t="n">
        <v>0</v>
      </c>
      <c r="U441" s="2" t="inlineStr"/>
    </row>
    <row r="442" ht="15" customHeight="1">
      <c r="A442" t="inlineStr">
        <is>
          <t>A 47000-2021</t>
        </is>
      </c>
      <c r="B442" t="inlineStr">
        <is>
          <t>avverkningsanmälan</t>
        </is>
      </c>
      <c r="C442" t="inlineStr">
        <is>
          <t>Föryngringsavverkning</t>
        </is>
      </c>
      <c r="D442" s="1" t="n">
        <v>44446</v>
      </c>
      <c r="E442" s="1" t="n">
        <v>46223</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1896-2024</t>
        </is>
      </c>
      <c r="B443" t="inlineStr">
        <is>
          <t>avverkningsanmälan</t>
        </is>
      </c>
      <c r="C443" t="inlineStr">
        <is>
          <t>Föryngringsavverkning</t>
        </is>
      </c>
      <c r="D443" s="1" t="n">
        <v>45308</v>
      </c>
      <c r="E443" s="1" t="n">
        <v>46223</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24839-2024</t>
        </is>
      </c>
      <c r="B444" t="inlineStr">
        <is>
          <t>avverkningsanmälan</t>
        </is>
      </c>
      <c r="C444" t="inlineStr">
        <is>
          <t>Föryngringsavverkning</t>
        </is>
      </c>
      <c r="D444" s="1" t="n">
        <v>45461</v>
      </c>
      <c r="E444" s="1" t="n">
        <v>46223</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7645-2024</t>
        </is>
      </c>
      <c r="B445" t="inlineStr">
        <is>
          <t>avverkningsanmälan</t>
        </is>
      </c>
      <c r="C445" t="inlineStr">
        <is>
          <t>Föryngringsavverkning</t>
        </is>
      </c>
      <c r="D445" s="1" t="n">
        <v>45348</v>
      </c>
      <c r="E445" s="1" t="n">
        <v>46223</v>
      </c>
      <c r="F445" t="inlineStr">
        <is>
          <t>ÖSTERGÖTLANDS LÄN</t>
        </is>
      </c>
      <c r="G445" t="inlineStr">
        <is>
          <t>KINDA</t>
        </is>
      </c>
      <c r="I445" t="n">
        <v>6.3</v>
      </c>
      <c r="J445" t="n">
        <v>0</v>
      </c>
      <c r="K445" t="n">
        <v>0</v>
      </c>
      <c r="L445" t="n">
        <v>0</v>
      </c>
      <c r="M445" t="n">
        <v>0</v>
      </c>
      <c r="N445" t="n">
        <v>0</v>
      </c>
      <c r="O445" t="n">
        <v>0</v>
      </c>
      <c r="P445" t="n">
        <v>0</v>
      </c>
      <c r="Q445" t="n">
        <v>0</v>
      </c>
      <c r="R445" t="n">
        <v>0</v>
      </c>
      <c r="S445" t="n">
        <v>0</v>
      </c>
      <c r="T445" t="n">
        <v>0</v>
      </c>
      <c r="U445" s="2" t="inlineStr"/>
    </row>
    <row r="446" ht="15" customHeight="1">
      <c r="A446" t="inlineStr">
        <is>
          <t>A 44203-2021</t>
        </is>
      </c>
      <c r="B446" t="inlineStr">
        <is>
          <t>avverkningsanmälan</t>
        </is>
      </c>
      <c r="C446" t="inlineStr">
        <is>
          <t>Föryngringsavverkning</t>
        </is>
      </c>
      <c r="D446" s="1" t="n">
        <v>44434</v>
      </c>
      <c r="E446" s="1" t="n">
        <v>46223</v>
      </c>
      <c r="F446" t="inlineStr">
        <is>
          <t>ÖSTERGÖTLANDS LÄN</t>
        </is>
      </c>
      <c r="G446" t="inlineStr">
        <is>
          <t>KINDA</t>
        </is>
      </c>
      <c r="H446" t="inlineStr">
        <is>
          <t>Allmännings- och besparingsskogar</t>
        </is>
      </c>
      <c r="I446" t="n">
        <v>12.7</v>
      </c>
      <c r="J446" t="n">
        <v>0</v>
      </c>
      <c r="K446" t="n">
        <v>0</v>
      </c>
      <c r="L446" t="n">
        <v>0</v>
      </c>
      <c r="M446" t="n">
        <v>0</v>
      </c>
      <c r="N446" t="n">
        <v>0</v>
      </c>
      <c r="O446" t="n">
        <v>0</v>
      </c>
      <c r="P446" t="n">
        <v>0</v>
      </c>
      <c r="Q446" t="n">
        <v>0</v>
      </c>
      <c r="R446" t="n">
        <v>0</v>
      </c>
      <c r="S446" t="n">
        <v>0</v>
      </c>
      <c r="T446" t="n">
        <v>0</v>
      </c>
      <c r="U446" s="2" t="inlineStr"/>
    </row>
    <row r="447" ht="15" customHeight="1">
      <c r="A447" t="inlineStr">
        <is>
          <t>A 4288-2023</t>
        </is>
      </c>
      <c r="B447" t="inlineStr">
        <is>
          <t>avverkningsanmälan</t>
        </is>
      </c>
      <c r="C447" t="inlineStr">
        <is>
          <t>Föryngringsavverkning</t>
        </is>
      </c>
      <c r="D447" s="1" t="n">
        <v>44953</v>
      </c>
      <c r="E447" s="1" t="n">
        <v>46223</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28468-2026</t>
        </is>
      </c>
      <c r="B448" t="inlineStr">
        <is>
          <t>avverkningsanmälan</t>
        </is>
      </c>
      <c r="C448" t="inlineStr">
        <is>
          <t>Föryngringsavverkning</t>
        </is>
      </c>
      <c r="D448" s="1" t="n">
        <v>46197</v>
      </c>
      <c r="E448" s="1" t="n">
        <v>46223</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24150-2024</t>
        </is>
      </c>
      <c r="B449" t="inlineStr">
        <is>
          <t>avverkningsanmälan</t>
        </is>
      </c>
      <c r="C449" t="inlineStr">
        <is>
          <t>Föryngringsavverkning</t>
        </is>
      </c>
      <c r="D449" s="1" t="n">
        <v>45456</v>
      </c>
      <c r="E449" s="1" t="n">
        <v>46223</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5203-2022</t>
        </is>
      </c>
      <c r="B450" t="inlineStr">
        <is>
          <t>avverkningsanmälan</t>
        </is>
      </c>
      <c r="C450" t="inlineStr">
        <is>
          <t>Föryngringsavverkning</t>
        </is>
      </c>
      <c r="D450" s="1" t="n">
        <v>44594</v>
      </c>
      <c r="E450" s="1" t="n">
        <v>46223</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43688-2023</t>
        </is>
      </c>
      <c r="B451" t="inlineStr">
        <is>
          <t>avverkningsanmälan</t>
        </is>
      </c>
      <c r="C451" t="inlineStr">
        <is>
          <t>Föryngringsavverkning</t>
        </is>
      </c>
      <c r="D451" s="1" t="n">
        <v>45187</v>
      </c>
      <c r="E451" s="1" t="n">
        <v>46223</v>
      </c>
      <c r="F451" t="inlineStr">
        <is>
          <t>ÖSTERGÖTLANDS LÄN</t>
        </is>
      </c>
      <c r="G451" t="inlineStr">
        <is>
          <t>KINDA</t>
        </is>
      </c>
      <c r="H451" t="inlineStr">
        <is>
          <t>Övriga Aktiebolag</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49881-2021</t>
        </is>
      </c>
      <c r="B452" t="inlineStr">
        <is>
          <t>avverkningsanmälan</t>
        </is>
      </c>
      <c r="C452" t="inlineStr">
        <is>
          <t>Föryngringsavverkning</t>
        </is>
      </c>
      <c r="D452" s="1" t="n">
        <v>44455</v>
      </c>
      <c r="E452" s="1" t="n">
        <v>46223</v>
      </c>
      <c r="F452" t="inlineStr">
        <is>
          <t>ÖSTERGÖTLANDS LÄN</t>
        </is>
      </c>
      <c r="G452" t="inlineStr">
        <is>
          <t>KINDA</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38827-2021</t>
        </is>
      </c>
      <c r="B453" t="inlineStr">
        <is>
          <t>avverkningsanmälan</t>
        </is>
      </c>
      <c r="C453" t="inlineStr">
        <is>
          <t>Föryngringsavverkning</t>
        </is>
      </c>
      <c r="D453" s="1" t="n">
        <v>44411</v>
      </c>
      <c r="E453" s="1" t="n">
        <v>46223</v>
      </c>
      <c r="F453" t="inlineStr">
        <is>
          <t>ÖSTERGÖTLANDS LÄN</t>
        </is>
      </c>
      <c r="G453" t="inlineStr">
        <is>
          <t>KINDA</t>
        </is>
      </c>
      <c r="H453" t="inlineStr">
        <is>
          <t>Övriga Aktiebolag</t>
        </is>
      </c>
      <c r="I453" t="n">
        <v>13.6</v>
      </c>
      <c r="J453" t="n">
        <v>0</v>
      </c>
      <c r="K453" t="n">
        <v>0</v>
      </c>
      <c r="L453" t="n">
        <v>0</v>
      </c>
      <c r="M453" t="n">
        <v>0</v>
      </c>
      <c r="N453" t="n">
        <v>0</v>
      </c>
      <c r="O453" t="n">
        <v>0</v>
      </c>
      <c r="P453" t="n">
        <v>0</v>
      </c>
      <c r="Q453" t="n">
        <v>0</v>
      </c>
      <c r="R453" t="n">
        <v>0</v>
      </c>
      <c r="S453" t="n">
        <v>0</v>
      </c>
      <c r="T453" t="n">
        <v>0</v>
      </c>
      <c r="U453" s="2" t="inlineStr"/>
    </row>
    <row r="454" ht="15" customHeight="1">
      <c r="A454" t="inlineStr">
        <is>
          <t>A 28291-2023</t>
        </is>
      </c>
      <c r="B454" t="inlineStr">
        <is>
          <t>avverkningsanmälan</t>
        </is>
      </c>
      <c r="C454" t="inlineStr">
        <is>
          <t>Föryngringsavverkning</t>
        </is>
      </c>
      <c r="D454" s="1" t="n">
        <v>45098</v>
      </c>
      <c r="E454" s="1" t="n">
        <v>46223</v>
      </c>
      <c r="F454" t="inlineStr">
        <is>
          <t>ÖSTERGÖTLANDS LÄN</t>
        </is>
      </c>
      <c r="G454" t="inlineStr">
        <is>
          <t>KINDA</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28470-2026</t>
        </is>
      </c>
      <c r="B455" t="inlineStr">
        <is>
          <t>avverkningsanmälan</t>
        </is>
      </c>
      <c r="C455" t="inlineStr">
        <is>
          <t>Föryngringsavverkning</t>
        </is>
      </c>
      <c r="D455" s="1" t="n">
        <v>46197</v>
      </c>
      <c r="E455" s="1" t="n">
        <v>46223</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6837-2023</t>
        </is>
      </c>
      <c r="B456" t="inlineStr">
        <is>
          <t>avverkningsanmälan</t>
        </is>
      </c>
      <c r="C456" t="inlineStr">
        <is>
          <t>Föryngringsavverkning</t>
        </is>
      </c>
      <c r="D456" s="1" t="n">
        <v>44967</v>
      </c>
      <c r="E456" s="1" t="n">
        <v>46223</v>
      </c>
      <c r="F456" t="inlineStr">
        <is>
          <t>ÖSTERGÖTLANDS LÄN</t>
        </is>
      </c>
      <c r="G456" t="inlineStr">
        <is>
          <t>KINDA</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8813-2023</t>
        </is>
      </c>
      <c r="B457" t="inlineStr">
        <is>
          <t>avverkningsanmälan</t>
        </is>
      </c>
      <c r="C457" t="inlineStr">
        <is>
          <t>Föryngringsavverkning</t>
        </is>
      </c>
      <c r="D457" s="1" t="n">
        <v>44978</v>
      </c>
      <c r="E457" s="1" t="n">
        <v>46223</v>
      </c>
      <c r="F457" t="inlineStr">
        <is>
          <t>ÖSTERGÖTLANDS LÄN</t>
        </is>
      </c>
      <c r="G457" t="inlineStr">
        <is>
          <t>KINDA</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13352-2022</t>
        </is>
      </c>
      <c r="B458" t="inlineStr">
        <is>
          <t>avverkningsanmälan</t>
        </is>
      </c>
      <c r="C458" t="inlineStr">
        <is>
          <t>Föryngringsavverkning</t>
        </is>
      </c>
      <c r="D458" s="1" t="n">
        <v>44645</v>
      </c>
      <c r="E458" s="1" t="n">
        <v>46223</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28864-2026</t>
        </is>
      </c>
      <c r="B459" t="inlineStr">
        <is>
          <t>avverkningsanmälan</t>
        </is>
      </c>
      <c r="C459" t="inlineStr">
        <is>
          <t>Föryngringsavverkning</t>
        </is>
      </c>
      <c r="D459" s="1" t="n">
        <v>46199</v>
      </c>
      <c r="E459" s="1" t="n">
        <v>46223</v>
      </c>
      <c r="F459" t="inlineStr">
        <is>
          <t>ÖSTERGÖTLANDS LÄN</t>
        </is>
      </c>
      <c r="G459" t="inlineStr">
        <is>
          <t>KINDA</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31831-2023</t>
        </is>
      </c>
      <c r="B460" t="inlineStr">
        <is>
          <t>avverkningsanmälan</t>
        </is>
      </c>
      <c r="C460" t="inlineStr">
        <is>
          <t>Föryngringsavverkning</t>
        </is>
      </c>
      <c r="D460" s="1" t="n">
        <v>45118</v>
      </c>
      <c r="E460" s="1" t="n">
        <v>46223</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21246-2023</t>
        </is>
      </c>
      <c r="B461" t="inlineStr">
        <is>
          <t>avverkningsanmälan</t>
        </is>
      </c>
      <c r="C461" t="inlineStr">
        <is>
          <t>Föryngringsavverkning</t>
        </is>
      </c>
      <c r="D461" s="1" t="n">
        <v>45062</v>
      </c>
      <c r="E461" s="1" t="n">
        <v>46223</v>
      </c>
      <c r="F461" t="inlineStr">
        <is>
          <t>ÖSTERGÖTLANDS LÄN</t>
        </is>
      </c>
      <c r="G461" t="inlineStr">
        <is>
          <t>KINDA</t>
        </is>
      </c>
      <c r="I461" t="n">
        <v>5.5</v>
      </c>
      <c r="J461" t="n">
        <v>0</v>
      </c>
      <c r="K461" t="n">
        <v>0</v>
      </c>
      <c r="L461" t="n">
        <v>0</v>
      </c>
      <c r="M461" t="n">
        <v>0</v>
      </c>
      <c r="N461" t="n">
        <v>0</v>
      </c>
      <c r="O461" t="n">
        <v>0</v>
      </c>
      <c r="P461" t="n">
        <v>0</v>
      </c>
      <c r="Q461" t="n">
        <v>0</v>
      </c>
      <c r="R461" t="n">
        <v>0</v>
      </c>
      <c r="S461" t="n">
        <v>0</v>
      </c>
      <c r="T461" t="n">
        <v>0</v>
      </c>
      <c r="U461" s="2" t="inlineStr"/>
    </row>
    <row r="462" ht="15" customHeight="1">
      <c r="A462" t="inlineStr">
        <is>
          <t>A 29213-2026</t>
        </is>
      </c>
      <c r="B462" t="inlineStr">
        <is>
          <t>avverkningsanmälan</t>
        </is>
      </c>
      <c r="C462" t="inlineStr">
        <is>
          <t>Avverkning för annat ändamål</t>
        </is>
      </c>
      <c r="D462" s="1" t="n">
        <v>46202</v>
      </c>
      <c r="E462" s="1" t="n">
        <v>46223</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37489-2024</t>
        </is>
      </c>
      <c r="B463" t="inlineStr">
        <is>
          <t>avverkningsanmälan</t>
        </is>
      </c>
      <c r="C463" t="inlineStr">
        <is>
          <t>Föryngringsavverkning</t>
        </is>
      </c>
      <c r="D463" s="1" t="n">
        <v>45541</v>
      </c>
      <c r="E463" s="1" t="n">
        <v>46223</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49096-2022</t>
        </is>
      </c>
      <c r="B464" t="inlineStr">
        <is>
          <t>avverkningsanmälan</t>
        </is>
      </c>
      <c r="C464" t="inlineStr">
        <is>
          <t>Föryngringsavverkning</t>
        </is>
      </c>
      <c r="D464" s="1" t="n">
        <v>44860</v>
      </c>
      <c r="E464" s="1" t="n">
        <v>46223</v>
      </c>
      <c r="F464" t="inlineStr">
        <is>
          <t>ÖSTERGÖTLANDS LÄN</t>
        </is>
      </c>
      <c r="G464" t="inlineStr">
        <is>
          <t>KINDA</t>
        </is>
      </c>
      <c r="I464" t="n">
        <v>5.1</v>
      </c>
      <c r="J464" t="n">
        <v>0</v>
      </c>
      <c r="K464" t="n">
        <v>0</v>
      </c>
      <c r="L464" t="n">
        <v>0</v>
      </c>
      <c r="M464" t="n">
        <v>0</v>
      </c>
      <c r="N464" t="n">
        <v>0</v>
      </c>
      <c r="O464" t="n">
        <v>0</v>
      </c>
      <c r="P464" t="n">
        <v>0</v>
      </c>
      <c r="Q464" t="n">
        <v>0</v>
      </c>
      <c r="R464" t="n">
        <v>0</v>
      </c>
      <c r="S464" t="n">
        <v>0</v>
      </c>
      <c r="T464" t="n">
        <v>0</v>
      </c>
      <c r="U464" s="2" t="inlineStr"/>
    </row>
    <row r="465" ht="15" customHeight="1">
      <c r="A465" t="inlineStr">
        <is>
          <t>A 43857-2023</t>
        </is>
      </c>
      <c r="B465" t="inlineStr">
        <is>
          <t>avverkningsanmälan</t>
        </is>
      </c>
      <c r="C465" t="inlineStr">
        <is>
          <t>Föryngringsavverkning</t>
        </is>
      </c>
      <c r="D465" s="1" t="n">
        <v>45187</v>
      </c>
      <c r="E465" s="1" t="n">
        <v>46223</v>
      </c>
      <c r="F465" t="inlineStr">
        <is>
          <t>ÖSTERGÖTLANDS LÄN</t>
        </is>
      </c>
      <c r="G465" t="inlineStr">
        <is>
          <t>KINDA</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29717-2023</t>
        </is>
      </c>
      <c r="B466" t="inlineStr">
        <is>
          <t>avverkningsanmälan</t>
        </is>
      </c>
      <c r="C466" t="inlineStr">
        <is>
          <t>Föryngringsavverkning</t>
        </is>
      </c>
      <c r="D466" s="1" t="n">
        <v>45107</v>
      </c>
      <c r="E466" s="1" t="n">
        <v>46223</v>
      </c>
      <c r="F466" t="inlineStr">
        <is>
          <t>ÖSTERGÖTLANDS LÄN</t>
        </is>
      </c>
      <c r="G466" t="inlineStr">
        <is>
          <t>KINDA</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28043-2024</t>
        </is>
      </c>
      <c r="B467" t="inlineStr">
        <is>
          <t>avverkningsanmälan</t>
        </is>
      </c>
      <c r="C467" t="inlineStr">
        <is>
          <t>Föryngringsavverkning</t>
        </is>
      </c>
      <c r="D467" s="1" t="n">
        <v>45476</v>
      </c>
      <c r="E467" s="1" t="n">
        <v>46223</v>
      </c>
      <c r="F467" t="inlineStr">
        <is>
          <t>ÖSTERGÖTLANDS LÄN</t>
        </is>
      </c>
      <c r="G467" t="inlineStr">
        <is>
          <t>KINDA</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29480-2026</t>
        </is>
      </c>
      <c r="B468" t="inlineStr">
        <is>
          <t>avverkningsanmälan</t>
        </is>
      </c>
      <c r="C468" t="inlineStr">
        <is>
          <t>Avverkning för annat ändamål</t>
        </is>
      </c>
      <c r="D468" s="1" t="n">
        <v>46203</v>
      </c>
      <c r="E468" s="1" t="n">
        <v>46223</v>
      </c>
      <c r="F468" t="inlineStr">
        <is>
          <t>ÖSTERGÖTLANDS LÄN</t>
        </is>
      </c>
      <c r="G468" t="inlineStr">
        <is>
          <t>KINDA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62260-2023</t>
        </is>
      </c>
      <c r="B469" t="inlineStr">
        <is>
          <t>avverkningsanmälan</t>
        </is>
      </c>
      <c r="C469" t="inlineStr">
        <is>
          <t>Föryngringsavverkning</t>
        </is>
      </c>
      <c r="D469" s="1" t="n">
        <v>45267</v>
      </c>
      <c r="E469" s="1" t="n">
        <v>46223</v>
      </c>
      <c r="F469" t="inlineStr">
        <is>
          <t>ÖSTERGÖTLANDS LÄN</t>
        </is>
      </c>
      <c r="G469" t="inlineStr">
        <is>
          <t>KINDA</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5665-2023</t>
        </is>
      </c>
      <c r="B470" t="inlineStr">
        <is>
          <t>avverkningsanmälan</t>
        </is>
      </c>
      <c r="C470" t="inlineStr">
        <is>
          <t>Föryngringsavverkning</t>
        </is>
      </c>
      <c r="D470" s="1" t="n">
        <v>44960</v>
      </c>
      <c r="E470" s="1" t="n">
        <v>46223</v>
      </c>
      <c r="F470" t="inlineStr">
        <is>
          <t>ÖSTERGÖTLANDS LÄN</t>
        </is>
      </c>
      <c r="G470" t="inlineStr">
        <is>
          <t>KINDA</t>
        </is>
      </c>
      <c r="I470" t="n">
        <v>6.7</v>
      </c>
      <c r="J470" t="n">
        <v>0</v>
      </c>
      <c r="K470" t="n">
        <v>0</v>
      </c>
      <c r="L470" t="n">
        <v>0</v>
      </c>
      <c r="M470" t="n">
        <v>0</v>
      </c>
      <c r="N470" t="n">
        <v>0</v>
      </c>
      <c r="O470" t="n">
        <v>0</v>
      </c>
      <c r="P470" t="n">
        <v>0</v>
      </c>
      <c r="Q470" t="n">
        <v>0</v>
      </c>
      <c r="R470" t="n">
        <v>0</v>
      </c>
      <c r="S470" t="n">
        <v>0</v>
      </c>
      <c r="T470" t="n">
        <v>0</v>
      </c>
      <c r="U470" s="2" t="inlineStr"/>
    </row>
    <row r="471" ht="15" customHeight="1">
      <c r="A471" t="inlineStr">
        <is>
          <t>A 21071-2024</t>
        </is>
      </c>
      <c r="B471" t="inlineStr">
        <is>
          <t>avverkningsanmälan</t>
        </is>
      </c>
      <c r="C471" t="inlineStr">
        <is>
          <t>Föryngringsavverkning</t>
        </is>
      </c>
      <c r="D471" s="1" t="n">
        <v>45439</v>
      </c>
      <c r="E471" s="1" t="n">
        <v>46223</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57194-2023</t>
        </is>
      </c>
      <c r="B472" t="inlineStr">
        <is>
          <t>avverkningsanmälan</t>
        </is>
      </c>
      <c r="C472" t="inlineStr">
        <is>
          <t>Föryngringsavverkning</t>
        </is>
      </c>
      <c r="D472" s="1" t="n">
        <v>45245</v>
      </c>
      <c r="E472" s="1" t="n">
        <v>46223</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61961-2022</t>
        </is>
      </c>
      <c r="B473" t="inlineStr">
        <is>
          <t>avverkningsanmälan</t>
        </is>
      </c>
      <c r="C473" t="inlineStr">
        <is>
          <t>Föryngringsavverkning</t>
        </is>
      </c>
      <c r="D473" s="1" t="n">
        <v>44918</v>
      </c>
      <c r="E473" s="1" t="n">
        <v>46223</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60826-2023</t>
        </is>
      </c>
      <c r="B474" t="inlineStr">
        <is>
          <t>avverkningsanmälan</t>
        </is>
      </c>
      <c r="C474" t="inlineStr">
        <is>
          <t>Föryngringsavverkning</t>
        </is>
      </c>
      <c r="D474" s="1" t="n">
        <v>45260</v>
      </c>
      <c r="E474" s="1" t="n">
        <v>46223</v>
      </c>
      <c r="F474" t="inlineStr">
        <is>
          <t>ÖSTERGÖTLANDS LÄN</t>
        </is>
      </c>
      <c r="G474" t="inlineStr">
        <is>
          <t>KINDA</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29806-2026</t>
        </is>
      </c>
      <c r="B475" t="inlineStr">
        <is>
          <t>avverkningsanmälan</t>
        </is>
      </c>
      <c r="C475" t="inlineStr">
        <is>
          <t>Föryngringsavverkning</t>
        </is>
      </c>
      <c r="D475" s="1" t="n">
        <v>46205</v>
      </c>
      <c r="E475" s="1" t="n">
        <v>46223</v>
      </c>
      <c r="F475" t="inlineStr">
        <is>
          <t>ÖSTERGÖTLANDS LÄN</t>
        </is>
      </c>
      <c r="G475" t="inlineStr">
        <is>
          <t>KINDA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31849-2023</t>
        </is>
      </c>
      <c r="B476" t="inlineStr">
        <is>
          <t>avverkningsanmälan</t>
        </is>
      </c>
      <c r="C476" t="inlineStr">
        <is>
          <t>Föryngringsavverkning</t>
        </is>
      </c>
      <c r="D476" s="1" t="n">
        <v>45118</v>
      </c>
      <c r="E476" s="1" t="n">
        <v>46223</v>
      </c>
      <c r="F476" t="inlineStr">
        <is>
          <t>ÖSTERGÖTLANDS LÄN</t>
        </is>
      </c>
      <c r="G476" t="inlineStr">
        <is>
          <t>KINDA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9465-2022</t>
        </is>
      </c>
      <c r="B477" t="inlineStr">
        <is>
          <t>avverkningsanmälan</t>
        </is>
      </c>
      <c r="C477" t="inlineStr">
        <is>
          <t>Föryngringsavverkning</t>
        </is>
      </c>
      <c r="D477" s="1" t="n">
        <v>44616</v>
      </c>
      <c r="E477" s="1" t="n">
        <v>46223</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30319-2026</t>
        </is>
      </c>
      <c r="B478" t="inlineStr">
        <is>
          <t>avverkningsanmälan</t>
        </is>
      </c>
      <c r="C478" t="inlineStr">
        <is>
          <t>Föryngringsavverkning</t>
        </is>
      </c>
      <c r="D478" s="1" t="n">
        <v>46206</v>
      </c>
      <c r="E478" s="1" t="n">
        <v>46223</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30317-2026</t>
        </is>
      </c>
      <c r="B479" t="inlineStr">
        <is>
          <t>avverkningsanmälan</t>
        </is>
      </c>
      <c r="C479" t="inlineStr">
        <is>
          <t>Föryngringsavverkning</t>
        </is>
      </c>
      <c r="D479" s="1" t="n">
        <v>46206</v>
      </c>
      <c r="E479" s="1" t="n">
        <v>46223</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s="2" t="inlineStr"/>
    </row>
    <row r="480" ht="15" customHeight="1">
      <c r="A480" t="inlineStr">
        <is>
          <t>A 30129-2026</t>
        </is>
      </c>
      <c r="B480" t="inlineStr">
        <is>
          <t>avverkningsanmälan</t>
        </is>
      </c>
      <c r="C480" t="inlineStr">
        <is>
          <t>Föryngringsavverkning</t>
        </is>
      </c>
      <c r="D480" s="1" t="n">
        <v>46206</v>
      </c>
      <c r="E480" s="1" t="n">
        <v>46223</v>
      </c>
      <c r="F480" t="inlineStr">
        <is>
          <t>ÖSTERGÖTLANDS LÄN</t>
        </is>
      </c>
      <c r="G480" t="inlineStr">
        <is>
          <t>KINDA</t>
        </is>
      </c>
      <c r="I480" t="n">
        <v>7</v>
      </c>
      <c r="J480" t="n">
        <v>0</v>
      </c>
      <c r="K480" t="n">
        <v>0</v>
      </c>
      <c r="L480" t="n">
        <v>0</v>
      </c>
      <c r="M480" t="n">
        <v>0</v>
      </c>
      <c r="N480" t="n">
        <v>0</v>
      </c>
      <c r="O480" t="n">
        <v>0</v>
      </c>
      <c r="P480" t="n">
        <v>0</v>
      </c>
      <c r="Q480" t="n">
        <v>0</v>
      </c>
      <c r="R480" t="n">
        <v>0</v>
      </c>
      <c r="S480" t="n">
        <v>0</v>
      </c>
      <c r="T480" t="n">
        <v>0</v>
      </c>
      <c r="U480" s="2" t="inlineStr"/>
    </row>
    <row r="481" ht="15" customHeight="1">
      <c r="A481" t="inlineStr">
        <is>
          <t>A 62491-2023</t>
        </is>
      </c>
      <c r="B481" t="inlineStr">
        <is>
          <t>avverkningsanmälan</t>
        </is>
      </c>
      <c r="C481" t="inlineStr">
        <is>
          <t>Föryngringsavverkning</t>
        </is>
      </c>
      <c r="D481" s="1" t="n">
        <v>45267</v>
      </c>
      <c r="E481" s="1" t="n">
        <v>46223</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35218-2023</t>
        </is>
      </c>
      <c r="B482" t="inlineStr">
        <is>
          <t>avverkningsanmälan</t>
        </is>
      </c>
      <c r="C482" t="inlineStr">
        <is>
          <t>Föryngringsavverkning</t>
        </is>
      </c>
      <c r="D482" s="1" t="n">
        <v>45145</v>
      </c>
      <c r="E482" s="1" t="n">
        <v>46223</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30118-2026</t>
        </is>
      </c>
      <c r="B483" t="inlineStr">
        <is>
          <t>avverkningsanmälan</t>
        </is>
      </c>
      <c r="C483" t="inlineStr">
        <is>
          <t>Föryngringsavverkning</t>
        </is>
      </c>
      <c r="D483" s="1" t="n">
        <v>46206</v>
      </c>
      <c r="E483" s="1" t="n">
        <v>46223</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30124-2026</t>
        </is>
      </c>
      <c r="B484" t="inlineStr">
        <is>
          <t>avverkningsanmälan</t>
        </is>
      </c>
      <c r="C484" t="inlineStr">
        <is>
          <t>Föryngringsavverkning</t>
        </is>
      </c>
      <c r="D484" s="1" t="n">
        <v>46206</v>
      </c>
      <c r="E484" s="1" t="n">
        <v>46223</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30114-2026</t>
        </is>
      </c>
      <c r="B485" t="inlineStr">
        <is>
          <t>avverkningsanmälan</t>
        </is>
      </c>
      <c r="C485" t="inlineStr">
        <is>
          <t>Föryngringsavverkning</t>
        </is>
      </c>
      <c r="D485" s="1" t="n">
        <v>46206</v>
      </c>
      <c r="E485" s="1" t="n">
        <v>46223</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27648-2023</t>
        </is>
      </c>
      <c r="B486" t="inlineStr">
        <is>
          <t>avverkningsanmälan</t>
        </is>
      </c>
      <c r="C486" t="inlineStr">
        <is>
          <t>Föryngringsavverkning</t>
        </is>
      </c>
      <c r="D486" s="1" t="n">
        <v>45097</v>
      </c>
      <c r="E486" s="1" t="n">
        <v>46223</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30163-2026</t>
        </is>
      </c>
      <c r="B487" t="inlineStr">
        <is>
          <t>avverkningsanmälan</t>
        </is>
      </c>
      <c r="C487" t="inlineStr">
        <is>
          <t>Föryngringsavverkning</t>
        </is>
      </c>
      <c r="D487" s="1" t="n">
        <v>46206</v>
      </c>
      <c r="E487" s="1" t="n">
        <v>46223</v>
      </c>
      <c r="F487" t="inlineStr">
        <is>
          <t>ÖSTERGÖTLANDS LÄN</t>
        </is>
      </c>
      <c r="G487" t="inlineStr">
        <is>
          <t>KINDA</t>
        </is>
      </c>
      <c r="H487" t="inlineStr">
        <is>
          <t>Sveaskog</t>
        </is>
      </c>
      <c r="I487" t="n">
        <v>3.5</v>
      </c>
      <c r="J487" t="n">
        <v>0</v>
      </c>
      <c r="K487" t="n">
        <v>0</v>
      </c>
      <c r="L487" t="n">
        <v>0</v>
      </c>
      <c r="M487" t="n">
        <v>0</v>
      </c>
      <c r="N487" t="n">
        <v>0</v>
      </c>
      <c r="O487" t="n">
        <v>0</v>
      </c>
      <c r="P487" t="n">
        <v>0</v>
      </c>
      <c r="Q487" t="n">
        <v>0</v>
      </c>
      <c r="R487" t="n">
        <v>0</v>
      </c>
      <c r="S487" t="n">
        <v>0</v>
      </c>
      <c r="T487" t="n">
        <v>0</v>
      </c>
      <c r="U487" s="2" t="inlineStr"/>
    </row>
    <row r="488" ht="15" customHeight="1">
      <c r="A488" t="inlineStr">
        <is>
          <t>A 57457-2021</t>
        </is>
      </c>
      <c r="B488" t="inlineStr">
        <is>
          <t>avverkningsanmälan</t>
        </is>
      </c>
      <c r="C488" t="inlineStr">
        <is>
          <t>Föryngringsavverkning</t>
        </is>
      </c>
      <c r="D488" s="1" t="n">
        <v>44483</v>
      </c>
      <c r="E488" s="1" t="n">
        <v>46223</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30318-2026</t>
        </is>
      </c>
      <c r="B489" t="inlineStr">
        <is>
          <t>avverkningsanmälan</t>
        </is>
      </c>
      <c r="C489" t="inlineStr">
        <is>
          <t>Föryngringsavverkning</t>
        </is>
      </c>
      <c r="D489" s="1" t="n">
        <v>46206</v>
      </c>
      <c r="E489" s="1" t="n">
        <v>46223</v>
      </c>
      <c r="F489" t="inlineStr">
        <is>
          <t>ÖSTERGÖTLANDS LÄN</t>
        </is>
      </c>
      <c r="G489" t="inlineStr">
        <is>
          <t>KINDA</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16611-2023</t>
        </is>
      </c>
      <c r="B490" t="inlineStr">
        <is>
          <t>avverkningsanmälan</t>
        </is>
      </c>
      <c r="C490" t="inlineStr">
        <is>
          <t>Föryngringsavverkning</t>
        </is>
      </c>
      <c r="D490" s="1" t="n">
        <v>45030</v>
      </c>
      <c r="E490" s="1" t="n">
        <v>46223</v>
      </c>
      <c r="F490" t="inlineStr">
        <is>
          <t>ÖSTERGÖTLANDS LÄN</t>
        </is>
      </c>
      <c r="G490" t="inlineStr">
        <is>
          <t>KINDA</t>
        </is>
      </c>
      <c r="I490" t="n">
        <v>4.3</v>
      </c>
      <c r="J490" t="n">
        <v>0</v>
      </c>
      <c r="K490" t="n">
        <v>0</v>
      </c>
      <c r="L490" t="n">
        <v>0</v>
      </c>
      <c r="M490" t="n">
        <v>0</v>
      </c>
      <c r="N490" t="n">
        <v>0</v>
      </c>
      <c r="O490" t="n">
        <v>0</v>
      </c>
      <c r="P490" t="n">
        <v>0</v>
      </c>
      <c r="Q490" t="n">
        <v>0</v>
      </c>
      <c r="R490" t="n">
        <v>0</v>
      </c>
      <c r="S490" t="n">
        <v>0</v>
      </c>
      <c r="T490" t="n">
        <v>0</v>
      </c>
      <c r="U490" s="2" t="inlineStr"/>
    </row>
    <row r="491" ht="15" customHeight="1">
      <c r="A491" t="inlineStr">
        <is>
          <t>A 30320-2026</t>
        </is>
      </c>
      <c r="B491" t="inlineStr">
        <is>
          <t>avverkningsanmälan</t>
        </is>
      </c>
      <c r="C491" t="inlineStr">
        <is>
          <t>Föryngringsavverkning</t>
        </is>
      </c>
      <c r="D491" s="1" t="n">
        <v>46206</v>
      </c>
      <c r="E491" s="1" t="n">
        <v>46223</v>
      </c>
      <c r="F491" t="inlineStr">
        <is>
          <t>ÖSTERGÖTLANDS LÄN</t>
        </is>
      </c>
      <c r="G491" t="inlineStr">
        <is>
          <t>KINDA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30159-2026</t>
        </is>
      </c>
      <c r="B492" t="inlineStr">
        <is>
          <t>avverkningsanmälan</t>
        </is>
      </c>
      <c r="C492" t="inlineStr">
        <is>
          <t>Föryngringsavverkning</t>
        </is>
      </c>
      <c r="D492" s="1" t="n">
        <v>46206</v>
      </c>
      <c r="E492" s="1" t="n">
        <v>46223</v>
      </c>
      <c r="F492" t="inlineStr">
        <is>
          <t>ÖSTERGÖTLANDS LÄN</t>
        </is>
      </c>
      <c r="G492" t="inlineStr">
        <is>
          <t>KINDA</t>
        </is>
      </c>
      <c r="H492" t="inlineStr">
        <is>
          <t>Sveaskog</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10823-2024</t>
        </is>
      </c>
      <c r="B493" t="inlineStr">
        <is>
          <t>avverkningsanmälan</t>
        </is>
      </c>
      <c r="C493" t="inlineStr">
        <is>
          <t>Föryngringsavverkning</t>
        </is>
      </c>
      <c r="D493" s="1" t="n">
        <v>45369</v>
      </c>
      <c r="E493" s="1" t="n">
        <v>46223</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43074-2024</t>
        </is>
      </c>
      <c r="B494" t="inlineStr">
        <is>
          <t>avverkningsanmälan</t>
        </is>
      </c>
      <c r="C494" t="inlineStr">
        <is>
          <t>Föryngringsavverkning</t>
        </is>
      </c>
      <c r="D494" s="1" t="n">
        <v>45567</v>
      </c>
      <c r="E494" s="1" t="n">
        <v>46223</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4368-2025</t>
        </is>
      </c>
      <c r="B495" t="inlineStr">
        <is>
          <t>avverkningsanmälan</t>
        </is>
      </c>
      <c r="C495" t="inlineStr">
        <is>
          <t>Föryngringsavverkning</t>
        </is>
      </c>
      <c r="D495" s="1" t="n">
        <v>45686</v>
      </c>
      <c r="E495" s="1" t="n">
        <v>46223</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24153-2026</t>
        </is>
      </c>
      <c r="B496" t="inlineStr">
        <is>
          <t>avverkningsanmälan</t>
        </is>
      </c>
      <c r="C496" t="inlineStr">
        <is>
          <t>Föryngringsavverkning</t>
        </is>
      </c>
      <c r="D496" s="1" t="n">
        <v>46168</v>
      </c>
      <c r="E496" s="1" t="n">
        <v>46223</v>
      </c>
      <c r="F496" t="inlineStr">
        <is>
          <t>ÖSTERGÖTLANDS LÄN</t>
        </is>
      </c>
      <c r="G496" t="inlineStr">
        <is>
          <t>KINDA</t>
        </is>
      </c>
      <c r="H496" t="inlineStr">
        <is>
          <t>Kyrkan</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12269-2023</t>
        </is>
      </c>
      <c r="B497" t="inlineStr">
        <is>
          <t>avverkningsanmälan</t>
        </is>
      </c>
      <c r="C497" t="inlineStr">
        <is>
          <t>Avverkning för annat ändamål</t>
        </is>
      </c>
      <c r="D497" s="1" t="n">
        <v>44998</v>
      </c>
      <c r="E497" s="1" t="n">
        <v>46223</v>
      </c>
      <c r="F497" t="inlineStr">
        <is>
          <t>ÖSTERGÖTLANDS LÄN</t>
        </is>
      </c>
      <c r="G497" t="inlineStr">
        <is>
          <t>KINDA</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51830-2024</t>
        </is>
      </c>
      <c r="B498" t="inlineStr">
        <is>
          <t>avverkningsanmälan</t>
        </is>
      </c>
      <c r="C498" t="inlineStr">
        <is>
          <t>Föryngringsavverkning</t>
        </is>
      </c>
      <c r="D498" s="1" t="n">
        <v>45607</v>
      </c>
      <c r="E498" s="1" t="n">
        <v>46223</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35213-2023</t>
        </is>
      </c>
      <c r="B499" t="inlineStr">
        <is>
          <t>avverkningsanmälan</t>
        </is>
      </c>
      <c r="C499" t="inlineStr">
        <is>
          <t>Föryngringsavverkning</t>
        </is>
      </c>
      <c r="D499" s="1" t="n">
        <v>45145</v>
      </c>
      <c r="E499" s="1" t="n">
        <v>46223</v>
      </c>
      <c r="F499" t="inlineStr">
        <is>
          <t>ÖSTERGÖTLANDS LÄN</t>
        </is>
      </c>
      <c r="G499" t="inlineStr">
        <is>
          <t>KINDA</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71098-2021</t>
        </is>
      </c>
      <c r="B500" t="inlineStr">
        <is>
          <t>avverkningsanmälan</t>
        </is>
      </c>
      <c r="C500" t="inlineStr">
        <is>
          <t>Föryngringsavverkning</t>
        </is>
      </c>
      <c r="D500" s="1" t="n">
        <v>44539</v>
      </c>
      <c r="E500" s="1" t="n">
        <v>46223</v>
      </c>
      <c r="F500" t="inlineStr">
        <is>
          <t>ÖSTERGÖTLANDS LÄN</t>
        </is>
      </c>
      <c r="G500" t="inlineStr">
        <is>
          <t>KINDA</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7216-2023</t>
        </is>
      </c>
      <c r="B501" t="inlineStr">
        <is>
          <t>avverkningsanmälan</t>
        </is>
      </c>
      <c r="C501" t="inlineStr">
        <is>
          <t>Föryngringsavverkning</t>
        </is>
      </c>
      <c r="D501" s="1" t="n">
        <v>44970</v>
      </c>
      <c r="E501" s="1" t="n">
        <v>46223</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24454-2023</t>
        </is>
      </c>
      <c r="B502" t="inlineStr">
        <is>
          <t>avverkningsanmälan</t>
        </is>
      </c>
      <c r="C502" t="inlineStr">
        <is>
          <t>Föryngringsavverkning</t>
        </is>
      </c>
      <c r="D502" s="1" t="n">
        <v>45082</v>
      </c>
      <c r="E502" s="1" t="n">
        <v>46223</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44303-2023</t>
        </is>
      </c>
      <c r="B503" t="inlineStr">
        <is>
          <t>avverkningsanmälan</t>
        </is>
      </c>
      <c r="C503" t="inlineStr">
        <is>
          <t>Föryngringsavverkning</t>
        </is>
      </c>
      <c r="D503" s="1" t="n">
        <v>45188</v>
      </c>
      <c r="E503" s="1" t="n">
        <v>46223</v>
      </c>
      <c r="F503" t="inlineStr">
        <is>
          <t>ÖSTERGÖTLANDS LÄN</t>
        </is>
      </c>
      <c r="G503" t="inlineStr">
        <is>
          <t>KINDA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30684-2026</t>
        </is>
      </c>
      <c r="B504" t="inlineStr">
        <is>
          <t>avverkningsanmälan</t>
        </is>
      </c>
      <c r="C504" t="inlineStr">
        <is>
          <t>Avverkning för annat ändamål</t>
        </is>
      </c>
      <c r="D504" s="1" t="n">
        <v>46211</v>
      </c>
      <c r="E504" s="1" t="n">
        <v>46223</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37831-2023</t>
        </is>
      </c>
      <c r="B505" t="inlineStr">
        <is>
          <t>avverkningsanmälan</t>
        </is>
      </c>
      <c r="C505" t="inlineStr">
        <is>
          <t>Föryngringsavverkning</t>
        </is>
      </c>
      <c r="D505" s="1" t="n">
        <v>45160</v>
      </c>
      <c r="E505" s="1" t="n">
        <v>46223</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30615-2026</t>
        </is>
      </c>
      <c r="B506" t="inlineStr">
        <is>
          <t>avverkningsanmälan</t>
        </is>
      </c>
      <c r="C506" t="inlineStr">
        <is>
          <t>Föryngringsavverkning</t>
        </is>
      </c>
      <c r="D506" s="1" t="n">
        <v>46211</v>
      </c>
      <c r="E506" s="1" t="n">
        <v>46223</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57690-2021</t>
        </is>
      </c>
      <c r="B507" t="inlineStr">
        <is>
          <t>avverkningsanmälan</t>
        </is>
      </c>
      <c r="C507" t="inlineStr">
        <is>
          <t>Föryngringsavverkning</t>
        </is>
      </c>
      <c r="D507" s="1" t="n">
        <v>44484</v>
      </c>
      <c r="E507" s="1" t="n">
        <v>46223</v>
      </c>
      <c r="F507" t="inlineStr">
        <is>
          <t>ÖSTERGÖTLANDS LÄN</t>
        </is>
      </c>
      <c r="G507" t="inlineStr">
        <is>
          <t>KINDA</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7749-2024</t>
        </is>
      </c>
      <c r="B508" t="inlineStr">
        <is>
          <t>avverkningsanmälan</t>
        </is>
      </c>
      <c r="C508" t="inlineStr">
        <is>
          <t>Föryngringsavverkning</t>
        </is>
      </c>
      <c r="D508" s="1" t="n">
        <v>45349</v>
      </c>
      <c r="E508" s="1" t="n">
        <v>46223</v>
      </c>
      <c r="F508" t="inlineStr">
        <is>
          <t>ÖSTERGÖTLANDS LÄN</t>
        </is>
      </c>
      <c r="G508" t="inlineStr">
        <is>
          <t>KINDA</t>
        </is>
      </c>
      <c r="H508" t="inlineStr">
        <is>
          <t>Övriga Aktiebolag</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2644-2025</t>
        </is>
      </c>
      <c r="B509" t="inlineStr">
        <is>
          <t>avverkningsanmälan</t>
        </is>
      </c>
      <c r="C509" t="inlineStr">
        <is>
          <t>Avverkning för annat ändamål</t>
        </is>
      </c>
      <c r="D509" s="1" t="n">
        <v>45676</v>
      </c>
      <c r="E509" s="1" t="n">
        <v>46223</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17366-2023</t>
        </is>
      </c>
      <c r="B510" t="inlineStr">
        <is>
          <t>avverkningsanmälan</t>
        </is>
      </c>
      <c r="C510" t="inlineStr">
        <is>
          <t>Föryngringsavverkning</t>
        </is>
      </c>
      <c r="D510" s="1" t="n">
        <v>45035</v>
      </c>
      <c r="E510" s="1" t="n">
        <v>46223</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57767-2022</t>
        </is>
      </c>
      <c r="B511" t="inlineStr">
        <is>
          <t>avverkningsanmälan</t>
        </is>
      </c>
      <c r="C511" t="inlineStr">
        <is>
          <t>Föryngringsavverkning</t>
        </is>
      </c>
      <c r="D511" s="1" t="n">
        <v>44897</v>
      </c>
      <c r="E511" s="1" t="n">
        <v>46223</v>
      </c>
      <c r="F511" t="inlineStr">
        <is>
          <t>ÖSTERGÖTLANDS LÄN</t>
        </is>
      </c>
      <c r="G511" t="inlineStr">
        <is>
          <t>KINDA</t>
        </is>
      </c>
      <c r="I511" t="n">
        <v>6</v>
      </c>
      <c r="J511" t="n">
        <v>0</v>
      </c>
      <c r="K511" t="n">
        <v>0</v>
      </c>
      <c r="L511" t="n">
        <v>0</v>
      </c>
      <c r="M511" t="n">
        <v>0</v>
      </c>
      <c r="N511" t="n">
        <v>0</v>
      </c>
      <c r="O511" t="n">
        <v>0</v>
      </c>
      <c r="P511" t="n">
        <v>0</v>
      </c>
      <c r="Q511" t="n">
        <v>0</v>
      </c>
      <c r="R511" t="n">
        <v>0</v>
      </c>
      <c r="S511" t="n">
        <v>0</v>
      </c>
      <c r="T511" t="n">
        <v>0</v>
      </c>
      <c r="U511" s="2" t="inlineStr"/>
    </row>
    <row r="512" ht="15" customHeight="1">
      <c r="A512" t="inlineStr">
        <is>
          <t>A 19545-2023</t>
        </is>
      </c>
      <c r="B512" t="inlineStr">
        <is>
          <t>avverkningsanmälan</t>
        </is>
      </c>
      <c r="C512" t="inlineStr">
        <is>
          <t>Föryngringsavverkning</t>
        </is>
      </c>
      <c r="D512" s="1" t="n">
        <v>45049</v>
      </c>
      <c r="E512" s="1" t="n">
        <v>46223</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24551-2026</t>
        </is>
      </c>
      <c r="B513" t="inlineStr">
        <is>
          <t>avverkningsanmälan</t>
        </is>
      </c>
      <c r="C513" t="inlineStr">
        <is>
          <t>Föryngringsavverkning</t>
        </is>
      </c>
      <c r="D513" s="1" t="n">
        <v>46170</v>
      </c>
      <c r="E513" s="1" t="n">
        <v>46223</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61987-2023</t>
        </is>
      </c>
      <c r="B514" t="inlineStr">
        <is>
          <t>avverkningsanmälan</t>
        </is>
      </c>
      <c r="C514" t="inlineStr">
        <is>
          <t>Föryngringsavverkning</t>
        </is>
      </c>
      <c r="D514" s="1" t="n">
        <v>45266</v>
      </c>
      <c r="E514" s="1" t="n">
        <v>46223</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25264-2026</t>
        </is>
      </c>
      <c r="B515" t="inlineStr">
        <is>
          <t>avverkningsanmälan</t>
        </is>
      </c>
      <c r="C515" t="inlineStr">
        <is>
          <t>Föryngringsavverkning</t>
        </is>
      </c>
      <c r="D515" s="1" t="n">
        <v>46175</v>
      </c>
      <c r="E515" s="1" t="n">
        <v>46223</v>
      </c>
      <c r="F515" t="inlineStr">
        <is>
          <t>ÖSTERGÖTLANDS LÄN</t>
        </is>
      </c>
      <c r="G515" t="inlineStr">
        <is>
          <t>KINDA</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25136-2026</t>
        </is>
      </c>
      <c r="B516" t="inlineStr">
        <is>
          <t>avverkningsanmälan</t>
        </is>
      </c>
      <c r="C516" t="inlineStr">
        <is>
          <t>Föryngringsavverkning</t>
        </is>
      </c>
      <c r="D516" s="1" t="n">
        <v>46175</v>
      </c>
      <c r="E516" s="1" t="n">
        <v>46223</v>
      </c>
      <c r="F516" t="inlineStr">
        <is>
          <t>ÖSTERGÖTLANDS LÄN</t>
        </is>
      </c>
      <c r="G516" t="inlineStr">
        <is>
          <t>KINDA</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22703-2023</t>
        </is>
      </c>
      <c r="B517" t="inlineStr">
        <is>
          <t>avverkningsanmälan</t>
        </is>
      </c>
      <c r="C517" t="inlineStr">
        <is>
          <t>Föryngringsavverkning</t>
        </is>
      </c>
      <c r="D517" s="1" t="n">
        <v>45071</v>
      </c>
      <c r="E517" s="1" t="n">
        <v>46223</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25182-2026</t>
        </is>
      </c>
      <c r="B518" t="inlineStr">
        <is>
          <t>avverkningsanmälan</t>
        </is>
      </c>
      <c r="C518" t="inlineStr">
        <is>
          <t>Föryngringsavverkning</t>
        </is>
      </c>
      <c r="D518" s="1" t="n">
        <v>46175</v>
      </c>
      <c r="E518" s="1" t="n">
        <v>46223</v>
      </c>
      <c r="F518" t="inlineStr">
        <is>
          <t>ÖSTERGÖTLANDS LÄN</t>
        </is>
      </c>
      <c r="G518" t="inlineStr">
        <is>
          <t>KINDA</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25007-2026</t>
        </is>
      </c>
      <c r="B519" t="inlineStr">
        <is>
          <t>avverkningsanmälan</t>
        </is>
      </c>
      <c r="C519" t="inlineStr">
        <is>
          <t>Föryngringsavverkning</t>
        </is>
      </c>
      <c r="D519" s="1" t="n">
        <v>46174</v>
      </c>
      <c r="E519" s="1" t="n">
        <v>46223</v>
      </c>
      <c r="F519" t="inlineStr">
        <is>
          <t>ÖSTERGÖTLANDS LÄN</t>
        </is>
      </c>
      <c r="G519" t="inlineStr">
        <is>
          <t>KINDA</t>
        </is>
      </c>
      <c r="H519" t="inlineStr">
        <is>
          <t>Övriga Aktiebolag</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15303-2024</t>
        </is>
      </c>
      <c r="B520" t="inlineStr">
        <is>
          <t>avverkningsanmälan</t>
        </is>
      </c>
      <c r="C520" t="inlineStr">
        <is>
          <t>Föryngringsavverkning</t>
        </is>
      </c>
      <c r="D520" s="1" t="n">
        <v>45400</v>
      </c>
      <c r="E520" s="1" t="n">
        <v>46223</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25265-2026</t>
        </is>
      </c>
      <c r="B521" t="inlineStr">
        <is>
          <t>avverkningsanmälan</t>
        </is>
      </c>
      <c r="C521" t="inlineStr">
        <is>
          <t>Föryngringsavverkning</t>
        </is>
      </c>
      <c r="D521" s="1" t="n">
        <v>46175</v>
      </c>
      <c r="E521" s="1" t="n">
        <v>46223</v>
      </c>
      <c r="F521" t="inlineStr">
        <is>
          <t>ÖSTERGÖTLANDS LÄN</t>
        </is>
      </c>
      <c r="G521" t="inlineStr">
        <is>
          <t>KINDA</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9568-2023</t>
        </is>
      </c>
      <c r="B522" t="inlineStr">
        <is>
          <t>avverkningsanmälan</t>
        </is>
      </c>
      <c r="C522" t="inlineStr">
        <is>
          <t>Föryngringsavverkning</t>
        </is>
      </c>
      <c r="D522" s="1" t="n">
        <v>44982</v>
      </c>
      <c r="E522" s="1" t="n">
        <v>46223</v>
      </c>
      <c r="F522" t="inlineStr">
        <is>
          <t>ÖSTERGÖTLANDS LÄN</t>
        </is>
      </c>
      <c r="G522" t="inlineStr">
        <is>
          <t>KINDA</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25626-2022</t>
        </is>
      </c>
      <c r="B523" t="inlineStr">
        <is>
          <t>avverkningsanmälan</t>
        </is>
      </c>
      <c r="C523" t="inlineStr">
        <is>
          <t>Föryngringsavverkning</t>
        </is>
      </c>
      <c r="D523" s="1" t="n">
        <v>44732</v>
      </c>
      <c r="E523" s="1" t="n">
        <v>46223</v>
      </c>
      <c r="F523" t="inlineStr">
        <is>
          <t>ÖSTERGÖTLANDS LÄN</t>
        </is>
      </c>
      <c r="G523" t="inlineStr">
        <is>
          <t>KINDA</t>
        </is>
      </c>
      <c r="I523" t="n">
        <v>7</v>
      </c>
      <c r="J523" t="n">
        <v>0</v>
      </c>
      <c r="K523" t="n">
        <v>0</v>
      </c>
      <c r="L523" t="n">
        <v>0</v>
      </c>
      <c r="M523" t="n">
        <v>0</v>
      </c>
      <c r="N523" t="n">
        <v>0</v>
      </c>
      <c r="O523" t="n">
        <v>0</v>
      </c>
      <c r="P523" t="n">
        <v>0</v>
      </c>
      <c r="Q523" t="n">
        <v>0</v>
      </c>
      <c r="R523" t="n">
        <v>0</v>
      </c>
      <c r="S523" t="n">
        <v>0</v>
      </c>
      <c r="T523" t="n">
        <v>0</v>
      </c>
      <c r="U523" s="2" t="inlineStr"/>
    </row>
    <row r="524" ht="15" customHeight="1">
      <c r="A524" t="inlineStr">
        <is>
          <t>A 2966-2024</t>
        </is>
      </c>
      <c r="B524" t="inlineStr">
        <is>
          <t>avverkningsanmälan</t>
        </is>
      </c>
      <c r="C524" t="inlineStr">
        <is>
          <t>Föryngringsavverkning</t>
        </is>
      </c>
      <c r="D524" s="1" t="n">
        <v>45315</v>
      </c>
      <c r="E524" s="1" t="n">
        <v>46223</v>
      </c>
      <c r="F524" t="inlineStr">
        <is>
          <t>ÖSTERGÖTLANDS LÄN</t>
        </is>
      </c>
      <c r="G524" t="inlineStr">
        <is>
          <t>KINDA</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52991-2023</t>
        </is>
      </c>
      <c r="B525" t="inlineStr">
        <is>
          <t>avverkningsanmälan</t>
        </is>
      </c>
      <c r="C525" t="inlineStr">
        <is>
          <t>Föryngringsavverkning</t>
        </is>
      </c>
      <c r="D525" s="1" t="n">
        <v>45226</v>
      </c>
      <c r="E525" s="1" t="n">
        <v>46223</v>
      </c>
      <c r="F525" t="inlineStr">
        <is>
          <t>ÖSTERGÖTLANDS LÄN</t>
        </is>
      </c>
      <c r="G525" t="inlineStr">
        <is>
          <t>KINDA</t>
        </is>
      </c>
      <c r="I525" t="n">
        <v>3.8</v>
      </c>
      <c r="J525" t="n">
        <v>0</v>
      </c>
      <c r="K525" t="n">
        <v>0</v>
      </c>
      <c r="L525" t="n">
        <v>0</v>
      </c>
      <c r="M525" t="n">
        <v>0</v>
      </c>
      <c r="N525" t="n">
        <v>0</v>
      </c>
      <c r="O525" t="n">
        <v>0</v>
      </c>
      <c r="P525" t="n">
        <v>0</v>
      </c>
      <c r="Q525" t="n">
        <v>0</v>
      </c>
      <c r="R525" t="n">
        <v>0</v>
      </c>
      <c r="S525" t="n">
        <v>0</v>
      </c>
      <c r="T525" t="n">
        <v>0</v>
      </c>
      <c r="U525" s="2" t="inlineStr"/>
    </row>
    <row r="526" ht="15" customHeight="1">
      <c r="A526" t="inlineStr">
        <is>
          <t>A 25570-2026</t>
        </is>
      </c>
      <c r="B526" t="inlineStr">
        <is>
          <t>avverkningsanmälan</t>
        </is>
      </c>
      <c r="C526" t="inlineStr">
        <is>
          <t>Avverkning för att bevara och utveckla /försöksver</t>
        </is>
      </c>
      <c r="D526" s="1" t="n">
        <v>46177</v>
      </c>
      <c r="E526" s="1" t="n">
        <v>46223</v>
      </c>
      <c r="F526" t="inlineStr">
        <is>
          <t>ÖSTERGÖTLANDS LÄN</t>
        </is>
      </c>
      <c r="G526" t="inlineStr">
        <is>
          <t>KINDA</t>
        </is>
      </c>
      <c r="H526" t="inlineStr">
        <is>
          <t>Övriga Aktiebolag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25408-2026</t>
        </is>
      </c>
      <c r="B527" t="inlineStr">
        <is>
          <t>avverkningsanmälan</t>
        </is>
      </c>
      <c r="C527" t="inlineStr">
        <is>
          <t>Föryngringsavverkning</t>
        </is>
      </c>
      <c r="D527" s="1" t="n">
        <v>46176</v>
      </c>
      <c r="E527" s="1" t="n">
        <v>46223</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25409-2026</t>
        </is>
      </c>
      <c r="B528" t="inlineStr">
        <is>
          <t>avverkningsanmälan</t>
        </is>
      </c>
      <c r="C528" t="inlineStr">
        <is>
          <t>Föryngringsavverkning</t>
        </is>
      </c>
      <c r="D528" s="1" t="n">
        <v>46176</v>
      </c>
      <c r="E528" s="1" t="n">
        <v>46223</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25411-2026</t>
        </is>
      </c>
      <c r="B529" t="inlineStr">
        <is>
          <t>avverkningsanmälan</t>
        </is>
      </c>
      <c r="C529" t="inlineStr">
        <is>
          <t>Föryngringsavverkning</t>
        </is>
      </c>
      <c r="D529" s="1" t="n">
        <v>46176</v>
      </c>
      <c r="E529" s="1" t="n">
        <v>46223</v>
      </c>
      <c r="F529" t="inlineStr">
        <is>
          <t>ÖSTERGÖTLANDS LÄN</t>
        </is>
      </c>
      <c r="G529" t="inlineStr">
        <is>
          <t>KINDA</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3820-2024</t>
        </is>
      </c>
      <c r="B530" t="inlineStr">
        <is>
          <t>avverkningsanmälan</t>
        </is>
      </c>
      <c r="C530" t="inlineStr">
        <is>
          <t>Föryngringsavverkning</t>
        </is>
      </c>
      <c r="D530" s="1" t="n">
        <v>45321</v>
      </c>
      <c r="E530" s="1" t="n">
        <v>46223</v>
      </c>
      <c r="F530" t="inlineStr">
        <is>
          <t>ÖSTERGÖTLANDS LÄN</t>
        </is>
      </c>
      <c r="G530" t="inlineStr">
        <is>
          <t>KINDA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25569-2026</t>
        </is>
      </c>
      <c r="B531" t="inlineStr">
        <is>
          <t>avverkningsanmälan</t>
        </is>
      </c>
      <c r="C531" t="inlineStr">
        <is>
          <t>Föryngringsavverkning</t>
        </is>
      </c>
      <c r="D531" s="1" t="n">
        <v>46177</v>
      </c>
      <c r="E531" s="1" t="n">
        <v>46223</v>
      </c>
      <c r="F531" t="inlineStr">
        <is>
          <t>ÖSTERGÖTLANDS LÄN</t>
        </is>
      </c>
      <c r="G531" t="inlineStr">
        <is>
          <t>KINDA</t>
        </is>
      </c>
      <c r="H531" t="inlineStr">
        <is>
          <t>Övriga Aktiebolag</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25415-2026</t>
        </is>
      </c>
      <c r="B532" t="inlineStr">
        <is>
          <t>avverkningsanmälan</t>
        </is>
      </c>
      <c r="C532" t="inlineStr">
        <is>
          <t>Föryngringsavverkning</t>
        </is>
      </c>
      <c r="D532" s="1" t="n">
        <v>46176</v>
      </c>
      <c r="E532" s="1" t="n">
        <v>46223</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25703-2026</t>
        </is>
      </c>
      <c r="B533" t="inlineStr">
        <is>
          <t>avverkningsanmälan</t>
        </is>
      </c>
      <c r="C533" t="inlineStr">
        <is>
          <t>Föryngringsavverkning</t>
        </is>
      </c>
      <c r="D533" s="1" t="n">
        <v>46178</v>
      </c>
      <c r="E533" s="1" t="n">
        <v>46223</v>
      </c>
      <c r="F533" t="inlineStr">
        <is>
          <t>ÖSTERGÖTLANDS LÄN</t>
        </is>
      </c>
      <c r="G533" t="inlineStr">
        <is>
          <t>KINDA</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25695-2026</t>
        </is>
      </c>
      <c r="B534" t="inlineStr">
        <is>
          <t>avverkningsanmälan</t>
        </is>
      </c>
      <c r="C534" t="inlineStr">
        <is>
          <t>Föryngringsavverkning</t>
        </is>
      </c>
      <c r="D534" s="1" t="n">
        <v>46178</v>
      </c>
      <c r="E534" s="1" t="n">
        <v>46223</v>
      </c>
      <c r="F534" t="inlineStr">
        <is>
          <t>ÖSTERGÖTLANDS LÄN</t>
        </is>
      </c>
      <c r="G534" t="inlineStr">
        <is>
          <t>KINDA</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42084-2024</t>
        </is>
      </c>
      <c r="B535" t="inlineStr">
        <is>
          <t>avverkningsanmälan</t>
        </is>
      </c>
      <c r="C535" t="inlineStr">
        <is>
          <t>Föryngringsavverkning</t>
        </is>
      </c>
      <c r="D535" s="1" t="n">
        <v>45562</v>
      </c>
      <c r="E535" s="1" t="n">
        <v>46223</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29726-2022</t>
        </is>
      </c>
      <c r="B536" t="inlineStr">
        <is>
          <t>avverkningsanmälan</t>
        </is>
      </c>
      <c r="C536" t="inlineStr">
        <is>
          <t>Föryngringsavverkning</t>
        </is>
      </c>
      <c r="D536" s="1" t="n">
        <v>44755</v>
      </c>
      <c r="E536" s="1" t="n">
        <v>46223</v>
      </c>
      <c r="F536" t="inlineStr">
        <is>
          <t>ÖSTERGÖTLANDS LÄN</t>
        </is>
      </c>
      <c r="G536" t="inlineStr">
        <is>
          <t>KINDA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37196-2024</t>
        </is>
      </c>
      <c r="B537" t="inlineStr">
        <is>
          <t>avverkningsanmälan</t>
        </is>
      </c>
      <c r="C537" t="inlineStr">
        <is>
          <t>Föryngringsavverkning</t>
        </is>
      </c>
      <c r="D537" s="1" t="n">
        <v>45539</v>
      </c>
      <c r="E537" s="1" t="n">
        <v>46223</v>
      </c>
      <c r="F537" t="inlineStr">
        <is>
          <t>ÖSTERGÖTLANDS LÄN</t>
        </is>
      </c>
      <c r="G537" t="inlineStr">
        <is>
          <t>KINDA</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25405-2026</t>
        </is>
      </c>
      <c r="B538" t="inlineStr">
        <is>
          <t>avverkningsanmälan</t>
        </is>
      </c>
      <c r="C538" t="inlineStr">
        <is>
          <t>Föryngringsavverkning</t>
        </is>
      </c>
      <c r="D538" s="1" t="n">
        <v>46176</v>
      </c>
      <c r="E538" s="1" t="n">
        <v>46223</v>
      </c>
      <c r="F538" t="inlineStr">
        <is>
          <t>ÖSTERGÖTLANDS LÄN</t>
        </is>
      </c>
      <c r="G538" t="inlineStr">
        <is>
          <t>KINDA</t>
        </is>
      </c>
      <c r="I538" t="n">
        <v>7.1</v>
      </c>
      <c r="J538" t="n">
        <v>0</v>
      </c>
      <c r="K538" t="n">
        <v>0</v>
      </c>
      <c r="L538" t="n">
        <v>0</v>
      </c>
      <c r="M538" t="n">
        <v>0</v>
      </c>
      <c r="N538" t="n">
        <v>0</v>
      </c>
      <c r="O538" t="n">
        <v>0</v>
      </c>
      <c r="P538" t="n">
        <v>0</v>
      </c>
      <c r="Q538" t="n">
        <v>0</v>
      </c>
      <c r="R538" t="n">
        <v>0</v>
      </c>
      <c r="S538" t="n">
        <v>0</v>
      </c>
      <c r="T538" t="n">
        <v>0</v>
      </c>
      <c r="U538" s="2" t="inlineStr"/>
    </row>
    <row r="539" ht="15" customHeight="1">
      <c r="A539" t="inlineStr">
        <is>
          <t>A 9203-2023</t>
        </is>
      </c>
      <c r="B539" t="inlineStr">
        <is>
          <t>avverkningsanmälan</t>
        </is>
      </c>
      <c r="C539" t="inlineStr">
        <is>
          <t>Föryngringsavverkning</t>
        </is>
      </c>
      <c r="D539" s="1" t="n">
        <v>44977</v>
      </c>
      <c r="E539" s="1" t="n">
        <v>46223</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25199-2026</t>
        </is>
      </c>
      <c r="B540" t="inlineStr">
        <is>
          <t>avverkningsanmälan</t>
        </is>
      </c>
      <c r="C540" t="inlineStr">
        <is>
          <t>Föryngringsavverkning</t>
        </is>
      </c>
      <c r="D540" s="1" t="n">
        <v>46175</v>
      </c>
      <c r="E540" s="1" t="n">
        <v>46223</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25333-2026</t>
        </is>
      </c>
      <c r="B541" t="inlineStr">
        <is>
          <t>avverkningsanmälan</t>
        </is>
      </c>
      <c r="C541" t="inlineStr">
        <is>
          <t>Föryngringsavverkning</t>
        </is>
      </c>
      <c r="D541" s="1" t="n">
        <v>46176</v>
      </c>
      <c r="E541" s="1" t="n">
        <v>46223</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39242-2024</t>
        </is>
      </c>
      <c r="B542" t="inlineStr">
        <is>
          <t>avverkningsanmälan</t>
        </is>
      </c>
      <c r="C542" t="inlineStr">
        <is>
          <t>Föryngringsavverkning</t>
        </is>
      </c>
      <c r="D542" s="1" t="n">
        <v>45551</v>
      </c>
      <c r="E542" s="1" t="n">
        <v>46223</v>
      </c>
      <c r="F542" t="inlineStr">
        <is>
          <t>ÖSTERGÖTLANDS LÄN</t>
        </is>
      </c>
      <c r="G542" t="inlineStr">
        <is>
          <t>KINDA</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3907-2023</t>
        </is>
      </c>
      <c r="B543" t="inlineStr">
        <is>
          <t>avverkningsanmälan</t>
        </is>
      </c>
      <c r="C543" t="inlineStr">
        <is>
          <t>Föryngringsavverkning</t>
        </is>
      </c>
      <c r="D543" s="1" t="n">
        <v>44952</v>
      </c>
      <c r="E543" s="1" t="n">
        <v>46223</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25407-2026</t>
        </is>
      </c>
      <c r="B544" t="inlineStr">
        <is>
          <t>avverkningsanmälan</t>
        </is>
      </c>
      <c r="C544" t="inlineStr">
        <is>
          <t>Föryngringsavverkning</t>
        </is>
      </c>
      <c r="D544" s="1" t="n">
        <v>46176</v>
      </c>
      <c r="E544" s="1" t="n">
        <v>46223</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25410-2026</t>
        </is>
      </c>
      <c r="B545" t="inlineStr">
        <is>
          <t>avverkningsanmälan</t>
        </is>
      </c>
      <c r="C545" t="inlineStr">
        <is>
          <t>Föryngringsavverkning</t>
        </is>
      </c>
      <c r="D545" s="1" t="n">
        <v>46176</v>
      </c>
      <c r="E545" s="1" t="n">
        <v>46223</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46925-2023</t>
        </is>
      </c>
      <c r="B546" t="inlineStr">
        <is>
          <t>avverkningsanmälan</t>
        </is>
      </c>
      <c r="C546" t="inlineStr">
        <is>
          <t>Föryngringsavverkning</t>
        </is>
      </c>
      <c r="D546" s="1" t="n">
        <v>45201</v>
      </c>
      <c r="E546" s="1" t="n">
        <v>46223</v>
      </c>
      <c r="F546" t="inlineStr">
        <is>
          <t>ÖSTERGÖTLANDS LÄN</t>
        </is>
      </c>
      <c r="G546" t="inlineStr">
        <is>
          <t>KINDA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8228-2025</t>
        </is>
      </c>
      <c r="B547" t="inlineStr">
        <is>
          <t>avverkningsanmälan</t>
        </is>
      </c>
      <c r="C547" t="inlineStr">
        <is>
          <t>Föryngringsavverkning</t>
        </is>
      </c>
      <c r="D547" s="1" t="n">
        <v>45708</v>
      </c>
      <c r="E547" s="1" t="n">
        <v>46223</v>
      </c>
      <c r="F547" t="inlineStr">
        <is>
          <t>ÖSTERGÖTLANDS LÄN</t>
        </is>
      </c>
      <c r="G547" t="inlineStr">
        <is>
          <t>KINDA</t>
        </is>
      </c>
      <c r="I547" t="n">
        <v>4.8</v>
      </c>
      <c r="J547" t="n">
        <v>0</v>
      </c>
      <c r="K547" t="n">
        <v>0</v>
      </c>
      <c r="L547" t="n">
        <v>0</v>
      </c>
      <c r="M547" t="n">
        <v>0</v>
      </c>
      <c r="N547" t="n">
        <v>0</v>
      </c>
      <c r="O547" t="n">
        <v>0</v>
      </c>
      <c r="P547" t="n">
        <v>0</v>
      </c>
      <c r="Q547" t="n">
        <v>0</v>
      </c>
      <c r="R547" t="n">
        <v>0</v>
      </c>
      <c r="S547" t="n">
        <v>0</v>
      </c>
      <c r="T547" t="n">
        <v>0</v>
      </c>
      <c r="U547" s="2" t="inlineStr"/>
    </row>
    <row r="548" ht="15" customHeight="1">
      <c r="A548" t="inlineStr">
        <is>
          <t>A 8229-2025</t>
        </is>
      </c>
      <c r="B548" t="inlineStr">
        <is>
          <t>avverkningsanmälan</t>
        </is>
      </c>
      <c r="C548" t="inlineStr">
        <is>
          <t>Föryngringsavverkning</t>
        </is>
      </c>
      <c r="D548" s="1" t="n">
        <v>45708</v>
      </c>
      <c r="E548" s="1" t="n">
        <v>46223</v>
      </c>
      <c r="F548" t="inlineStr">
        <is>
          <t>ÖSTERGÖTLANDS LÄN</t>
        </is>
      </c>
      <c r="G548" t="inlineStr">
        <is>
          <t>KINDA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32978-2024</t>
        </is>
      </c>
      <c r="B549" t="inlineStr">
        <is>
          <t>avverkningsanmälan</t>
        </is>
      </c>
      <c r="C549" t="inlineStr">
        <is>
          <t>Föryngringsavverkning</t>
        </is>
      </c>
      <c r="D549" s="1" t="n">
        <v>45517</v>
      </c>
      <c r="E549" s="1" t="n">
        <v>46223</v>
      </c>
      <c r="F549" t="inlineStr">
        <is>
          <t>ÖSTERGÖTLANDS LÄN</t>
        </is>
      </c>
      <c r="G549" t="inlineStr">
        <is>
          <t>KINDA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4555-2023</t>
        </is>
      </c>
      <c r="B550" t="inlineStr">
        <is>
          <t>avverkningsanmälan</t>
        </is>
      </c>
      <c r="C550" t="inlineStr">
        <is>
          <t>Föryngringsavverkning</t>
        </is>
      </c>
      <c r="D550" s="1" t="n">
        <v>44956</v>
      </c>
      <c r="E550" s="1" t="n">
        <v>46223</v>
      </c>
      <c r="F550" t="inlineStr">
        <is>
          <t>ÖSTERGÖTLANDS LÄN</t>
        </is>
      </c>
      <c r="G550" t="inlineStr">
        <is>
          <t>KINDA</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55950-2023</t>
        </is>
      </c>
      <c r="B551" t="inlineStr">
        <is>
          <t>avverkningsanmälan</t>
        </is>
      </c>
      <c r="C551" t="inlineStr">
        <is>
          <t>Föryngringsavverkning</t>
        </is>
      </c>
      <c r="D551" s="1" t="n">
        <v>45240</v>
      </c>
      <c r="E551" s="1" t="n">
        <v>46223</v>
      </c>
      <c r="F551" t="inlineStr">
        <is>
          <t>ÖSTERGÖTLANDS LÄN</t>
        </is>
      </c>
      <c r="G551" t="inlineStr">
        <is>
          <t>KINDA</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3911-2023</t>
        </is>
      </c>
      <c r="B552" t="inlineStr">
        <is>
          <t>avverkningsanmälan</t>
        </is>
      </c>
      <c r="C552" t="inlineStr">
        <is>
          <t>Föryngringsavverkning</t>
        </is>
      </c>
      <c r="D552" s="1" t="n">
        <v>44952</v>
      </c>
      <c r="E552" s="1" t="n">
        <v>46223</v>
      </c>
      <c r="F552" t="inlineStr">
        <is>
          <t>ÖSTERGÖTLANDS LÄN</t>
        </is>
      </c>
      <c r="G552" t="inlineStr">
        <is>
          <t>KINDA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38596-2023</t>
        </is>
      </c>
      <c r="B553" t="inlineStr">
        <is>
          <t>avverkningsanmälan</t>
        </is>
      </c>
      <c r="C553" t="inlineStr">
        <is>
          <t>Föryngringsavverkning</t>
        </is>
      </c>
      <c r="D553" s="1" t="n">
        <v>45162</v>
      </c>
      <c r="E553" s="1" t="n">
        <v>46223</v>
      </c>
      <c r="F553" t="inlineStr">
        <is>
          <t>ÖSTERGÖTLANDS LÄN</t>
        </is>
      </c>
      <c r="G553" t="inlineStr">
        <is>
          <t>KINDA</t>
        </is>
      </c>
      <c r="H553" t="inlineStr">
        <is>
          <t>Allmännings- och besparingsskogar</t>
        </is>
      </c>
      <c r="I553" t="n">
        <v>12.2</v>
      </c>
      <c r="J553" t="n">
        <v>0</v>
      </c>
      <c r="K553" t="n">
        <v>0</v>
      </c>
      <c r="L553" t="n">
        <v>0</v>
      </c>
      <c r="M553" t="n">
        <v>0</v>
      </c>
      <c r="N553" t="n">
        <v>0</v>
      </c>
      <c r="O553" t="n">
        <v>0</v>
      </c>
      <c r="P553" t="n">
        <v>0</v>
      </c>
      <c r="Q553" t="n">
        <v>0</v>
      </c>
      <c r="R553" t="n">
        <v>0</v>
      </c>
      <c r="S553" t="n">
        <v>0</v>
      </c>
      <c r="T553" t="n">
        <v>0</v>
      </c>
      <c r="U553" s="2" t="inlineStr"/>
    </row>
    <row r="554" ht="15" customHeight="1">
      <c r="A554" t="inlineStr">
        <is>
          <t>A 61955-2022</t>
        </is>
      </c>
      <c r="B554" t="inlineStr">
        <is>
          <t>avverkningsanmälan</t>
        </is>
      </c>
      <c r="C554" t="inlineStr">
        <is>
          <t>Föryngringsavverkning</t>
        </is>
      </c>
      <c r="D554" s="1" t="n">
        <v>44918</v>
      </c>
      <c r="E554" s="1" t="n">
        <v>46223</v>
      </c>
      <c r="F554" t="inlineStr">
        <is>
          <t>ÖSTERGÖTLANDS LÄN</t>
        </is>
      </c>
      <c r="G554" t="inlineStr">
        <is>
          <t>KINDA</t>
        </is>
      </c>
      <c r="I554" t="n">
        <v>6.4</v>
      </c>
      <c r="J554" t="n">
        <v>0</v>
      </c>
      <c r="K554" t="n">
        <v>0</v>
      </c>
      <c r="L554" t="n">
        <v>0</v>
      </c>
      <c r="M554" t="n">
        <v>0</v>
      </c>
      <c r="N554" t="n">
        <v>0</v>
      </c>
      <c r="O554" t="n">
        <v>0</v>
      </c>
      <c r="P554" t="n">
        <v>0</v>
      </c>
      <c r="Q554" t="n">
        <v>0</v>
      </c>
      <c r="R554" t="n">
        <v>0</v>
      </c>
      <c r="S554" t="n">
        <v>0</v>
      </c>
      <c r="T554" t="n">
        <v>0</v>
      </c>
      <c r="U554" s="2" t="inlineStr"/>
    </row>
    <row r="555" ht="15" customHeight="1">
      <c r="A555" t="inlineStr">
        <is>
          <t>A 13968-2023</t>
        </is>
      </c>
      <c r="B555" t="inlineStr">
        <is>
          <t>avverkningsanmälan</t>
        </is>
      </c>
      <c r="C555" t="inlineStr">
        <is>
          <t>Föryngringsavverkning</t>
        </is>
      </c>
      <c r="D555" s="1" t="n">
        <v>45008</v>
      </c>
      <c r="E555" s="1" t="n">
        <v>46223</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57987-2024</t>
        </is>
      </c>
      <c r="B556" t="inlineStr">
        <is>
          <t>avverkningsanmälan</t>
        </is>
      </c>
      <c r="C556" t="inlineStr">
        <is>
          <t>Föryngringsavverkning</t>
        </is>
      </c>
      <c r="D556" s="1" t="n">
        <v>45631</v>
      </c>
      <c r="E556" s="1" t="n">
        <v>46223</v>
      </c>
      <c r="F556" t="inlineStr">
        <is>
          <t>ÖSTERGÖTLANDS LÄN</t>
        </is>
      </c>
      <c r="G556" t="inlineStr">
        <is>
          <t>KINDA</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32610-2023</t>
        </is>
      </c>
      <c r="B557" t="inlineStr">
        <is>
          <t>avverkningsanmälan</t>
        </is>
      </c>
      <c r="C557" t="inlineStr">
        <is>
          <t>Föryngringsavverkning</t>
        </is>
      </c>
      <c r="D557" s="1" t="n">
        <v>45111</v>
      </c>
      <c r="E557" s="1" t="n">
        <v>46223</v>
      </c>
      <c r="F557" t="inlineStr">
        <is>
          <t>ÖSTERGÖTLANDS LÄN</t>
        </is>
      </c>
      <c r="G557" t="inlineStr">
        <is>
          <t>KINDA</t>
        </is>
      </c>
      <c r="I557" t="n">
        <v>8.9</v>
      </c>
      <c r="J557" t="n">
        <v>0</v>
      </c>
      <c r="K557" t="n">
        <v>0</v>
      </c>
      <c r="L557" t="n">
        <v>0</v>
      </c>
      <c r="M557" t="n">
        <v>0</v>
      </c>
      <c r="N557" t="n">
        <v>0</v>
      </c>
      <c r="O557" t="n">
        <v>0</v>
      </c>
      <c r="P557" t="n">
        <v>0</v>
      </c>
      <c r="Q557" t="n">
        <v>0</v>
      </c>
      <c r="R557" t="n">
        <v>0</v>
      </c>
      <c r="S557" t="n">
        <v>0</v>
      </c>
      <c r="T557" t="n">
        <v>0</v>
      </c>
      <c r="U557" s="2" t="inlineStr"/>
    </row>
    <row r="558" ht="15" customHeight="1">
      <c r="A558" t="inlineStr">
        <is>
          <t>A 343-2025</t>
        </is>
      </c>
      <c r="B558" t="inlineStr">
        <is>
          <t>avverkningsanmälan</t>
        </is>
      </c>
      <c r="C558" t="inlineStr">
        <is>
          <t>Föryngringsavverkning</t>
        </is>
      </c>
      <c r="D558" s="1" t="n">
        <v>45660</v>
      </c>
      <c r="E558" s="1" t="n">
        <v>46223</v>
      </c>
      <c r="F558" t="inlineStr">
        <is>
          <t>ÖSTERGÖTLANDS LÄN</t>
        </is>
      </c>
      <c r="G558" t="inlineStr">
        <is>
          <t>KINDA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19645-2025</t>
        </is>
      </c>
      <c r="B559" t="inlineStr">
        <is>
          <t>avverkningsanmälan</t>
        </is>
      </c>
      <c r="C559" t="inlineStr">
        <is>
          <t>Föryngringsavverkning</t>
        </is>
      </c>
      <c r="D559" s="1" t="n">
        <v>45770</v>
      </c>
      <c r="E559" s="1" t="n">
        <v>46223</v>
      </c>
      <c r="F559" t="inlineStr">
        <is>
          <t>ÖSTERGÖTLANDS LÄN</t>
        </is>
      </c>
      <c r="G559" t="inlineStr">
        <is>
          <t>KINDA</t>
        </is>
      </c>
      <c r="H559" t="inlineStr">
        <is>
          <t>Allmännings- och besparingsskogar</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9615-2024</t>
        </is>
      </c>
      <c r="B560" t="inlineStr">
        <is>
          <t>avverkningsanmälan</t>
        </is>
      </c>
      <c r="C560" t="inlineStr">
        <is>
          <t>Föryngringsavverkning</t>
        </is>
      </c>
      <c r="D560" s="1" t="n">
        <v>45361</v>
      </c>
      <c r="E560" s="1" t="n">
        <v>46223</v>
      </c>
      <c r="F560" t="inlineStr">
        <is>
          <t>ÖSTERGÖTLANDS LÄN</t>
        </is>
      </c>
      <c r="G560" t="inlineStr">
        <is>
          <t>KINDA</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10621-2023</t>
        </is>
      </c>
      <c r="B561" t="inlineStr">
        <is>
          <t>avverkningsanmälan</t>
        </is>
      </c>
      <c r="C561" t="inlineStr">
        <is>
          <t>Föryngringsavverkning</t>
        </is>
      </c>
      <c r="D561" s="1" t="n">
        <v>44988</v>
      </c>
      <c r="E561" s="1" t="n">
        <v>46223</v>
      </c>
      <c r="F561" t="inlineStr">
        <is>
          <t>ÖSTERGÖTLANDS LÄN</t>
        </is>
      </c>
      <c r="G561" t="inlineStr">
        <is>
          <t>KINDA</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17047-2025</t>
        </is>
      </c>
      <c r="B562" t="inlineStr">
        <is>
          <t>avverkningsanmälan</t>
        </is>
      </c>
      <c r="C562" t="inlineStr">
        <is>
          <t>Föryngringsavverkning</t>
        </is>
      </c>
      <c r="D562" s="1" t="n">
        <v>45755</v>
      </c>
      <c r="E562" s="1" t="n">
        <v>46223</v>
      </c>
      <c r="F562" t="inlineStr">
        <is>
          <t>ÖSTERGÖTLANDS LÄN</t>
        </is>
      </c>
      <c r="G562" t="inlineStr">
        <is>
          <t>KINDA</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17046-2025</t>
        </is>
      </c>
      <c r="B563" t="inlineStr">
        <is>
          <t>avverkningsanmälan</t>
        </is>
      </c>
      <c r="C563" t="inlineStr">
        <is>
          <t>Föryngringsavverkning</t>
        </is>
      </c>
      <c r="D563" s="1" t="n">
        <v>45755</v>
      </c>
      <c r="E563" s="1" t="n">
        <v>46223</v>
      </c>
      <c r="F563" t="inlineStr">
        <is>
          <t>ÖSTERGÖTLANDS LÄN</t>
        </is>
      </c>
      <c r="G563" t="inlineStr">
        <is>
          <t>KINDA</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58289-2024</t>
        </is>
      </c>
      <c r="B564" t="inlineStr">
        <is>
          <t>avverkningsanmälan</t>
        </is>
      </c>
      <c r="C564" t="inlineStr">
        <is>
          <t>Föryngringsavverkning</t>
        </is>
      </c>
      <c r="D564" s="1" t="n">
        <v>45632</v>
      </c>
      <c r="E564" s="1" t="n">
        <v>46223</v>
      </c>
      <c r="F564" t="inlineStr">
        <is>
          <t>ÖSTERGÖTLANDS LÄN</t>
        </is>
      </c>
      <c r="G564" t="inlineStr">
        <is>
          <t>KINDA</t>
        </is>
      </c>
      <c r="I564" t="n">
        <v>4.4</v>
      </c>
      <c r="J564" t="n">
        <v>0</v>
      </c>
      <c r="K564" t="n">
        <v>0</v>
      </c>
      <c r="L564" t="n">
        <v>0</v>
      </c>
      <c r="M564" t="n">
        <v>0</v>
      </c>
      <c r="N564" t="n">
        <v>0</v>
      </c>
      <c r="O564" t="n">
        <v>0</v>
      </c>
      <c r="P564" t="n">
        <v>0</v>
      </c>
      <c r="Q564" t="n">
        <v>0</v>
      </c>
      <c r="R564" t="n">
        <v>0</v>
      </c>
      <c r="S564" t="n">
        <v>0</v>
      </c>
      <c r="T564" t="n">
        <v>0</v>
      </c>
      <c r="U564" s="2" t="inlineStr"/>
    </row>
    <row r="565" ht="15" customHeight="1">
      <c r="A565" t="inlineStr">
        <is>
          <t>A 22044-2025</t>
        </is>
      </c>
      <c r="B565" t="inlineStr">
        <is>
          <t>avverkningsanmälan</t>
        </is>
      </c>
      <c r="C565" t="inlineStr">
        <is>
          <t>Föryngringsavverkning</t>
        </is>
      </c>
      <c r="D565" s="1" t="n">
        <v>45785</v>
      </c>
      <c r="E565" s="1" t="n">
        <v>46223</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34661-2024</t>
        </is>
      </c>
      <c r="B566" t="inlineStr">
        <is>
          <t>avverkningsanmälan</t>
        </is>
      </c>
      <c r="C566" t="inlineStr">
        <is>
          <t>Föryngringsavverkning</t>
        </is>
      </c>
      <c r="D566" s="1" t="n">
        <v>45526</v>
      </c>
      <c r="E566" s="1" t="n">
        <v>46223</v>
      </c>
      <c r="F566" t="inlineStr">
        <is>
          <t>ÖSTERGÖTLANDS LÄN</t>
        </is>
      </c>
      <c r="G566" t="inlineStr">
        <is>
          <t>KINDA</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23372-2025</t>
        </is>
      </c>
      <c r="B567" t="inlineStr">
        <is>
          <t>avverkningsanmälan</t>
        </is>
      </c>
      <c r="C567" t="inlineStr">
        <is>
          <t>Föryngringsavverkning</t>
        </is>
      </c>
      <c r="D567" s="1" t="n">
        <v>45791</v>
      </c>
      <c r="E567" s="1" t="n">
        <v>46223</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24774-2025</t>
        </is>
      </c>
      <c r="B568" t="inlineStr">
        <is>
          <t>avverkningsanmälan</t>
        </is>
      </c>
      <c r="C568" t="inlineStr">
        <is>
          <t>Föryngringsavverkning</t>
        </is>
      </c>
      <c r="D568" s="1" t="n">
        <v>45799</v>
      </c>
      <c r="E568" s="1" t="n">
        <v>46223</v>
      </c>
      <c r="F568" t="inlineStr">
        <is>
          <t>ÖSTERGÖTLANDS LÄN</t>
        </is>
      </c>
      <c r="G568" t="inlineStr">
        <is>
          <t>KINDA</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S 5016-2021</t>
        </is>
      </c>
      <c r="B569" t="inlineStr">
        <is>
          <t>samrådsanmälan</t>
        </is>
      </c>
      <c r="C569" t="inlineStr">
        <is>
          <t>Åtgärd i nyckelbiotop</t>
        </is>
      </c>
      <c r="D569" s="1" t="n">
        <v>44413</v>
      </c>
      <c r="E569" s="1" t="n">
        <v>46223</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S 3024-2024</t>
        </is>
      </c>
      <c r="B570" t="inlineStr">
        <is>
          <t>samrådsanmälan</t>
        </is>
      </c>
      <c r="C570" t="inlineStr">
        <is>
          <t>Annan skogsbruksåtgärd</t>
        </is>
      </c>
      <c r="D570" s="1" t="n">
        <v>45513</v>
      </c>
      <c r="E570" s="1" t="n">
        <v>46223</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S 5740-2022</t>
        </is>
      </c>
      <c r="B571" t="inlineStr">
        <is>
          <t>samrådsanmälan</t>
        </is>
      </c>
      <c r="C571" t="inlineStr">
        <is>
          <t>Annan skogsbruksåtgärd</t>
        </is>
      </c>
      <c r="D571" s="1" t="n">
        <v>44847</v>
      </c>
      <c r="E571" s="1" t="n">
        <v>46223</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S 6248-2021</t>
        </is>
      </c>
      <c r="B572" t="inlineStr">
        <is>
          <t>samrådsanmälan</t>
        </is>
      </c>
      <c r="C572" t="inlineStr">
        <is>
          <t>Åtgärd i nyckelbiotop</t>
        </is>
      </c>
      <c r="D572" s="1" t="n">
        <v>44447</v>
      </c>
      <c r="E572" s="1" t="n">
        <v>46223</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S 5696-2021</t>
        </is>
      </c>
      <c r="B573" t="inlineStr">
        <is>
          <t>samrådsanmälan</t>
        </is>
      </c>
      <c r="C573" t="inlineStr">
        <is>
          <t>Åtgärd i nyckelbiotop</t>
        </is>
      </c>
      <c r="D573" s="1" t="n">
        <v>44434</v>
      </c>
      <c r="E573" s="1" t="n">
        <v>46223</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S 932-2024</t>
        </is>
      </c>
      <c r="B574" t="inlineStr">
        <is>
          <t>samrådsanmälan</t>
        </is>
      </c>
      <c r="C574" t="inlineStr">
        <is>
          <t>Annan skogsbruksåtgärd</t>
        </is>
      </c>
      <c r="D574" s="1" t="n">
        <v>45378</v>
      </c>
      <c r="E574" s="1" t="n">
        <v>46223</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S 1120-2024</t>
        </is>
      </c>
      <c r="B575" t="inlineStr">
        <is>
          <t>samrådsanmälan</t>
        </is>
      </c>
      <c r="C575" t="inlineStr">
        <is>
          <t>Annan skogsbruksåtgärd</t>
        </is>
      </c>
      <c r="D575" s="1" t="n">
        <v>45393</v>
      </c>
      <c r="E575" s="1" t="n">
        <v>46223</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s="2" t="inlineStr"/>
    </row>
    <row r="576" ht="15" customHeight="1">
      <c r="A576" t="inlineStr">
        <is>
          <t>S 492-2025</t>
        </is>
      </c>
      <c r="B576" t="inlineStr">
        <is>
          <t>samrådsanmälan</t>
        </is>
      </c>
      <c r="C576" t="inlineStr">
        <is>
          <t>Annan skogsbruksåtgärd</t>
        </is>
      </c>
      <c r="D576" s="1" t="n">
        <v>45705</v>
      </c>
      <c r="E576" s="1" t="n">
        <v>46223</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S 2268-2025</t>
        </is>
      </c>
      <c r="B577" t="inlineStr">
        <is>
          <t>samrådsanmälan</t>
        </is>
      </c>
      <c r="C577" t="inlineStr">
        <is>
          <t>Annan skogsbruksåtgärd</t>
        </is>
      </c>
      <c r="D577" s="1" t="n">
        <v>45875</v>
      </c>
      <c r="E577" s="1" t="n">
        <v>46223</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S 569-2026</t>
        </is>
      </c>
      <c r="B578" t="inlineStr">
        <is>
          <t>samrådsanmälan</t>
        </is>
      </c>
      <c r="C578" t="inlineStr">
        <is>
          <t>Annan skogsbruksåtgärd</t>
        </is>
      </c>
      <c r="D578" s="1" t="n">
        <v>46083</v>
      </c>
      <c r="E578" s="1" t="n">
        <v>46223</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S 615-2026</t>
        </is>
      </c>
      <c r="B579" t="inlineStr">
        <is>
          <t>samrådsanmälan</t>
        </is>
      </c>
      <c r="C579" t="inlineStr">
        <is>
          <t>Skogsbilväg</t>
        </is>
      </c>
      <c r="D579" s="1" t="n">
        <v>46085</v>
      </c>
      <c r="E579" s="1" t="n">
        <v>46223</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s="2" t="inlineStr"/>
    </row>
    <row r="580">
      <c r="A580" t="inlineStr">
        <is>
          <t>S 1059-2026</t>
        </is>
      </c>
      <c r="B580" t="inlineStr">
        <is>
          <t>samrådsanmälan</t>
        </is>
      </c>
      <c r="C580" t="inlineStr">
        <is>
          <t>Annan skogsbruksåtgärd</t>
        </is>
      </c>
      <c r="D580" s="1" t="n">
        <v>46126</v>
      </c>
      <c r="E580" s="1" t="n">
        <v>46223</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2026-07-20T01:50:10Z</dcterms:created>
  <dcterms:modified xmlns:dcterms="http://purl.org/dc/terms/" xmlns:xsi="http://www.w3.org/2001/XMLSchema-instance" xsi:type="dcterms:W3CDTF">2026-07-20T01:50:10Z</dcterms:modified>
</cp:coreProperties>
</file>