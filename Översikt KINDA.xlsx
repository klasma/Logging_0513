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46194</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46194</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46194</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46194</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46194</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46194</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46194</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c r="Z9">
        <f>HYPERLINK("https://klasma.github.io/Logging_0513/fåglar/A 5119-2023 prioriterade fågelarter.docx", "A 5119-2023")</f>
        <v/>
      </c>
    </row>
    <row r="10" ht="15" customHeight="1">
      <c r="A10" t="inlineStr">
        <is>
          <t>A 74202-2021</t>
        </is>
      </c>
      <c r="B10" s="1" t="n">
        <v>44558</v>
      </c>
      <c r="C10" s="1" t="n">
        <v>46194</v>
      </c>
      <c r="D10" t="inlineStr">
        <is>
          <t>ÖSTERGÖTLANDS LÄN</t>
        </is>
      </c>
      <c r="E10" t="inlineStr">
        <is>
          <t>KINDA</t>
        </is>
      </c>
      <c r="G10" t="n">
        <v>0.8</v>
      </c>
      <c r="H10" t="n">
        <v>1</v>
      </c>
      <c r="I10" t="n">
        <v>3</v>
      </c>
      <c r="J10" t="n">
        <v>2</v>
      </c>
      <c r="K10" t="n">
        <v>1</v>
      </c>
      <c r="L10" t="n">
        <v>0</v>
      </c>
      <c r="M10" t="n">
        <v>0</v>
      </c>
      <c r="N10" t="n">
        <v>0</v>
      </c>
      <c r="O10" t="n">
        <v>3</v>
      </c>
      <c r="P10" t="n">
        <v>1</v>
      </c>
      <c r="Q10" t="n">
        <v>6</v>
      </c>
      <c r="R10" s="2" t="inlineStr">
        <is>
          <t>Läderbagge
Kardinalrödrock
Xyletinus longitarsis
Aspvedborre
Aspvedgnagare
Noshornsoxe</t>
        </is>
      </c>
      <c r="S10">
        <f>HYPERLINK("https://klasma.github.io/Logging_0513/artfynd/A 74202-2021 artfynd.xlsx", "A 74202-2021")</f>
        <v/>
      </c>
      <c r="T10">
        <f>HYPERLINK("https://klasma.github.io/Logging_0513/kartor/A 74202-2021 karta.png", "A 74202-2021")</f>
        <v/>
      </c>
      <c r="V10">
        <f>HYPERLINK("https://klasma.github.io/Logging_0513/klagomål/A 74202-2021 FSC-klagomål.docx", "A 74202-2021")</f>
        <v/>
      </c>
      <c r="W10">
        <f>HYPERLINK("https://klasma.github.io/Logging_0513/klagomålsmail/A 74202-2021 FSC-klagomål mail.docx", "A 74202-2021")</f>
        <v/>
      </c>
      <c r="X10">
        <f>HYPERLINK("https://klasma.github.io/Logging_0513/tillsyn/A 74202-2021 tillsynsbegäran.docx", "A 74202-2021")</f>
        <v/>
      </c>
      <c r="Y10">
        <f>HYPERLINK("https://klasma.github.io/Logging_0513/tillsynsmail/A 74202-2021 tillsynsbegäran mail.docx", "A 74202-2021")</f>
        <v/>
      </c>
    </row>
    <row r="11" ht="15" customHeight="1">
      <c r="A11" t="inlineStr">
        <is>
          <t>A 27581-2025</t>
        </is>
      </c>
      <c r="B11" s="1" t="n">
        <v>45813</v>
      </c>
      <c r="C11" s="1" t="n">
        <v>46194</v>
      </c>
      <c r="D11" t="inlineStr">
        <is>
          <t>ÖSTERGÖTLANDS LÄN</t>
        </is>
      </c>
      <c r="E11" t="inlineStr">
        <is>
          <t>KINDA</t>
        </is>
      </c>
      <c r="G11" t="n">
        <v>4</v>
      </c>
      <c r="H11" t="n">
        <v>2</v>
      </c>
      <c r="I11" t="n">
        <v>3</v>
      </c>
      <c r="J11" t="n">
        <v>1</v>
      </c>
      <c r="K11" t="n">
        <v>1</v>
      </c>
      <c r="L11" t="n">
        <v>0</v>
      </c>
      <c r="M11" t="n">
        <v>0</v>
      </c>
      <c r="N11" t="n">
        <v>0</v>
      </c>
      <c r="O11" t="n">
        <v>2</v>
      </c>
      <c r="P11" t="n">
        <v>1</v>
      </c>
      <c r="Q11" t="n">
        <v>6</v>
      </c>
      <c r="R11" s="2" t="inlineStr">
        <is>
          <t>Knärot
Tallticka
Aspvedgnagare
Fällmossa
Mindre märgborre
Spillkråka</t>
        </is>
      </c>
      <c r="S11">
        <f>HYPERLINK("https://klasma.github.io/Logging_0513/artfynd/A 27581-2025 artfynd.xlsx", "A 27581-2025")</f>
        <v/>
      </c>
      <c r="T11">
        <f>HYPERLINK("https://klasma.github.io/Logging_0513/kartor/A 27581-2025 karta.png", "A 27581-2025")</f>
        <v/>
      </c>
      <c r="U11">
        <f>HYPERLINK("https://klasma.github.io/Logging_0513/knärot/A 27581-2025 karta knärot.png", "A 27581-2025")</f>
        <v/>
      </c>
      <c r="V11">
        <f>HYPERLINK("https://klasma.github.io/Logging_0513/klagomål/A 27581-2025 FSC-klagomål.docx", "A 27581-2025")</f>
        <v/>
      </c>
      <c r="W11">
        <f>HYPERLINK("https://klasma.github.io/Logging_0513/klagomålsmail/A 27581-2025 FSC-klagomål mail.docx", "A 27581-2025")</f>
        <v/>
      </c>
      <c r="X11">
        <f>HYPERLINK("https://klasma.github.io/Logging_0513/tillsyn/A 27581-2025 tillsynsbegäran.docx", "A 27581-2025")</f>
        <v/>
      </c>
      <c r="Y11">
        <f>HYPERLINK("https://klasma.github.io/Logging_0513/tillsynsmail/A 27581-2025 tillsynsbegäran mail.docx", "A 27581-2025")</f>
        <v/>
      </c>
      <c r="Z11">
        <f>HYPERLINK("https://klasma.github.io/Logging_0513/fåglar/A 27581-2025 prioriterade fågelarter.docx", "A 27581-2025")</f>
        <v/>
      </c>
    </row>
    <row r="12" ht="15" customHeight="1">
      <c r="A12" t="inlineStr">
        <is>
          <t>A 48628-2023</t>
        </is>
      </c>
      <c r="B12" s="1" t="n">
        <v>45208</v>
      </c>
      <c r="C12" s="1" t="n">
        <v>46194</v>
      </c>
      <c r="D12" t="inlineStr">
        <is>
          <t>ÖSTERGÖTLANDS LÄN</t>
        </is>
      </c>
      <c r="E12" t="inlineStr">
        <is>
          <t>KINDA</t>
        </is>
      </c>
      <c r="G12" t="n">
        <v>3.8</v>
      </c>
      <c r="H12" t="n">
        <v>0</v>
      </c>
      <c r="I12" t="n">
        <v>4</v>
      </c>
      <c r="J12" t="n">
        <v>0</v>
      </c>
      <c r="K12" t="n">
        <v>2</v>
      </c>
      <c r="L12" t="n">
        <v>0</v>
      </c>
      <c r="M12" t="n">
        <v>0</v>
      </c>
      <c r="N12" t="n">
        <v>0</v>
      </c>
      <c r="O12" t="n">
        <v>2</v>
      </c>
      <c r="P12" t="n">
        <v>2</v>
      </c>
      <c r="Q12" t="n">
        <v>6</v>
      </c>
      <c r="R12" s="2" t="inlineStr">
        <is>
          <t>Brunskaftad blekspik
Gulvit blekspik
Fällmossa
Guldlockmossa
Lönnlav
Scytinium lichenoides s.lat.</t>
        </is>
      </c>
      <c r="S12">
        <f>HYPERLINK("https://klasma.github.io/Logging_0513/artfynd/A 48628-2023 artfynd.xlsx", "A 48628-2023")</f>
        <v/>
      </c>
      <c r="T12">
        <f>HYPERLINK("https://klasma.github.io/Logging_0513/kartor/A 48628-2023 karta.png", "A 48628-2023")</f>
        <v/>
      </c>
      <c r="V12">
        <f>HYPERLINK("https://klasma.github.io/Logging_0513/klagomål/A 48628-2023 FSC-klagomål.docx", "A 48628-2023")</f>
        <v/>
      </c>
      <c r="W12">
        <f>HYPERLINK("https://klasma.github.io/Logging_0513/klagomålsmail/A 48628-2023 FSC-klagomål mail.docx", "A 48628-2023")</f>
        <v/>
      </c>
      <c r="X12">
        <f>HYPERLINK("https://klasma.github.io/Logging_0513/tillsyn/A 48628-2023 tillsynsbegäran.docx", "A 48628-2023")</f>
        <v/>
      </c>
      <c r="Y12">
        <f>HYPERLINK("https://klasma.github.io/Logging_0513/tillsynsmail/A 48628-2023 tillsynsbegäran mail.docx", "A 48628-2023")</f>
        <v/>
      </c>
    </row>
    <row r="13" ht="15" customHeight="1">
      <c r="A13" t="inlineStr">
        <is>
          <t>A 14941-2026</t>
        </is>
      </c>
      <c r="B13" s="1" t="n">
        <v>46104</v>
      </c>
      <c r="C13" s="1" t="n">
        <v>46194</v>
      </c>
      <c r="D13" t="inlineStr">
        <is>
          <t>ÖSTERGÖTLANDS LÄN</t>
        </is>
      </c>
      <c r="E13" t="inlineStr">
        <is>
          <t>KINDA</t>
        </is>
      </c>
      <c r="G13" t="n">
        <v>9.699999999999999</v>
      </c>
      <c r="H13" t="n">
        <v>4</v>
      </c>
      <c r="I13" t="n">
        <v>1</v>
      </c>
      <c r="J13" t="n">
        <v>1</v>
      </c>
      <c r="K13" t="n">
        <v>1</v>
      </c>
      <c r="L13" t="n">
        <v>0</v>
      </c>
      <c r="M13" t="n">
        <v>0</v>
      </c>
      <c r="N13" t="n">
        <v>0</v>
      </c>
      <c r="O13" t="n">
        <v>2</v>
      </c>
      <c r="P13" t="n">
        <v>1</v>
      </c>
      <c r="Q13" t="n">
        <v>6</v>
      </c>
      <c r="R13" s="2" t="inlineStr">
        <is>
          <t>Knärot
Tallticka
Grönpyrola
Spillkråka
Grönsiska
Revlummer</t>
        </is>
      </c>
      <c r="S13">
        <f>HYPERLINK("https://klasma.github.io/Logging_0513/artfynd/A 14941-2026 artfynd.xlsx", "A 14941-2026")</f>
        <v/>
      </c>
      <c r="T13">
        <f>HYPERLINK("https://klasma.github.io/Logging_0513/kartor/A 14941-2026 karta.png", "A 14941-2026")</f>
        <v/>
      </c>
      <c r="U13">
        <f>HYPERLINK("https://klasma.github.io/Logging_0513/knärot/A 14941-2026 karta knärot.png", "A 14941-2026")</f>
        <v/>
      </c>
      <c r="V13">
        <f>HYPERLINK("https://klasma.github.io/Logging_0513/klagomål/A 14941-2026 FSC-klagomål.docx", "A 14941-2026")</f>
        <v/>
      </c>
      <c r="W13">
        <f>HYPERLINK("https://klasma.github.io/Logging_0513/klagomålsmail/A 14941-2026 FSC-klagomål mail.docx", "A 14941-2026")</f>
        <v/>
      </c>
      <c r="X13">
        <f>HYPERLINK("https://klasma.github.io/Logging_0513/tillsyn/A 14941-2026 tillsynsbegäran.docx", "A 14941-2026")</f>
        <v/>
      </c>
      <c r="Y13">
        <f>HYPERLINK("https://klasma.github.io/Logging_0513/tillsynsmail/A 14941-2026 tillsynsbegäran mail.docx", "A 14941-2026")</f>
        <v/>
      </c>
      <c r="Z13">
        <f>HYPERLINK("https://klasma.github.io/Logging_0513/fåglar/A 14941-2026 prioriterade fågelarter.docx", "A 14941-2026")</f>
        <v/>
      </c>
    </row>
    <row r="14" ht="15" customHeight="1">
      <c r="A14" t="inlineStr">
        <is>
          <t>A 37068-2025</t>
        </is>
      </c>
      <c r="B14" s="1" t="n">
        <v>45875</v>
      </c>
      <c r="C14" s="1" t="n">
        <v>46194</v>
      </c>
      <c r="D14" t="inlineStr">
        <is>
          <t>ÖSTERGÖTLANDS LÄN</t>
        </is>
      </c>
      <c r="E14" t="inlineStr">
        <is>
          <t>KINDA</t>
        </is>
      </c>
      <c r="G14" t="n">
        <v>2.7</v>
      </c>
      <c r="H14" t="n">
        <v>2</v>
      </c>
      <c r="I14" t="n">
        <v>3</v>
      </c>
      <c r="J14" t="n">
        <v>1</v>
      </c>
      <c r="K14" t="n">
        <v>0</v>
      </c>
      <c r="L14" t="n">
        <v>0</v>
      </c>
      <c r="M14" t="n">
        <v>0</v>
      </c>
      <c r="N14" t="n">
        <v>0</v>
      </c>
      <c r="O14" t="n">
        <v>1</v>
      </c>
      <c r="P14" t="n">
        <v>0</v>
      </c>
      <c r="Q14" t="n">
        <v>6</v>
      </c>
      <c r="R14" s="2" t="inlineStr">
        <is>
          <t>Tallticka
Fällmossa
Mindre märgborre
Platt fjädermossa
Blåsippa
Spillkråka</t>
        </is>
      </c>
      <c r="S14">
        <f>HYPERLINK("https://klasma.github.io/Logging_0513/artfynd/A 37068-2025 artfynd.xlsx", "A 37068-2025")</f>
        <v/>
      </c>
      <c r="T14">
        <f>HYPERLINK("https://klasma.github.io/Logging_0513/kartor/A 37068-2025 karta.png", "A 37068-2025")</f>
        <v/>
      </c>
      <c r="V14">
        <f>HYPERLINK("https://klasma.github.io/Logging_0513/klagomål/A 37068-2025 FSC-klagomål.docx", "A 37068-2025")</f>
        <v/>
      </c>
      <c r="W14">
        <f>HYPERLINK("https://klasma.github.io/Logging_0513/klagomålsmail/A 37068-2025 FSC-klagomål mail.docx", "A 37068-2025")</f>
        <v/>
      </c>
      <c r="X14">
        <f>HYPERLINK("https://klasma.github.io/Logging_0513/tillsyn/A 37068-2025 tillsynsbegäran.docx", "A 37068-2025")</f>
        <v/>
      </c>
      <c r="Y14">
        <f>HYPERLINK("https://klasma.github.io/Logging_0513/tillsynsmail/A 37068-2025 tillsynsbegäran mail.docx", "A 37068-2025")</f>
        <v/>
      </c>
      <c r="Z14">
        <f>HYPERLINK("https://klasma.github.io/Logging_0513/fåglar/A 37068-2025 prioriterade fågelarter.docx", "A 37068-2025")</f>
        <v/>
      </c>
    </row>
    <row r="15" ht="15" customHeight="1">
      <c r="A15" t="inlineStr">
        <is>
          <t>A 21473-2022</t>
        </is>
      </c>
      <c r="B15" s="1" t="n">
        <v>44706</v>
      </c>
      <c r="C15" s="1" t="n">
        <v>46194</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46194</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53708-2025</t>
        </is>
      </c>
      <c r="B17" s="1" t="n">
        <v>45960</v>
      </c>
      <c r="C17" s="1" t="n">
        <v>46194</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27667-2022</t>
        </is>
      </c>
      <c r="B18" s="1" t="n">
        <v>44743</v>
      </c>
      <c r="C18" s="1" t="n">
        <v>46194</v>
      </c>
      <c r="D18" t="inlineStr">
        <is>
          <t>ÖSTERGÖTLANDS LÄN</t>
        </is>
      </c>
      <c r="E18" t="inlineStr">
        <is>
          <t>KINDA</t>
        </is>
      </c>
      <c r="F18" t="inlineStr">
        <is>
          <t>Övriga Aktiebolag</t>
        </is>
      </c>
      <c r="G18" t="n">
        <v>28.5</v>
      </c>
      <c r="H18" t="n">
        <v>2</v>
      </c>
      <c r="I18" t="n">
        <v>1</v>
      </c>
      <c r="J18" t="n">
        <v>1</v>
      </c>
      <c r="K18" t="n">
        <v>0</v>
      </c>
      <c r="L18" t="n">
        <v>0</v>
      </c>
      <c r="M18" t="n">
        <v>0</v>
      </c>
      <c r="N18" t="n">
        <v>0</v>
      </c>
      <c r="O18" t="n">
        <v>1</v>
      </c>
      <c r="P18" t="n">
        <v>0</v>
      </c>
      <c r="Q18" t="n">
        <v>4</v>
      </c>
      <c r="R18" s="2" t="inlineStr">
        <is>
          <t>Kattfotslav
Mindre märgborre
Tjäder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c r="Z18">
        <f>HYPERLINK("https://klasma.github.io/Logging_0513/fåglar/A 27667-2022 prioriterade fågelarter.docx", "A 27667-2022")</f>
        <v/>
      </c>
    </row>
    <row r="19" ht="15" customHeight="1">
      <c r="A19" t="inlineStr">
        <is>
          <t>A 52631-2025</t>
        </is>
      </c>
      <c r="B19" s="1" t="n">
        <v>45954</v>
      </c>
      <c r="C19" s="1" t="n">
        <v>46194</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46194</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58738-2024</t>
        </is>
      </c>
      <c r="B21" s="1" t="n">
        <v>45635</v>
      </c>
      <c r="C21" s="1" t="n">
        <v>46194</v>
      </c>
      <c r="D21" t="inlineStr">
        <is>
          <t>ÖSTERGÖTLANDS LÄN</t>
        </is>
      </c>
      <c r="E21" t="inlineStr">
        <is>
          <t>KINDA</t>
        </is>
      </c>
      <c r="G21" t="n">
        <v>0.7</v>
      </c>
      <c r="H21" t="n">
        <v>0</v>
      </c>
      <c r="I21" t="n">
        <v>2</v>
      </c>
      <c r="J21" t="n">
        <v>1</v>
      </c>
      <c r="K21" t="n">
        <v>0</v>
      </c>
      <c r="L21" t="n">
        <v>0</v>
      </c>
      <c r="M21" t="n">
        <v>0</v>
      </c>
      <c r="N21" t="n">
        <v>0</v>
      </c>
      <c r="O21" t="n">
        <v>1</v>
      </c>
      <c r="P21" t="n">
        <v>0</v>
      </c>
      <c r="Q21" t="n">
        <v>3</v>
      </c>
      <c r="R21" s="2" t="inlineStr">
        <is>
          <t>Tallticka
Bronshjon
Granbarkgnagare</t>
        </is>
      </c>
      <c r="S21">
        <f>HYPERLINK("https://klasma.github.io/Logging_0513/artfynd/A 58738-2024 artfynd.xlsx", "A 58738-2024")</f>
        <v/>
      </c>
      <c r="T21">
        <f>HYPERLINK("https://klasma.github.io/Logging_0513/kartor/A 58738-2024 karta.png", "A 58738-2024")</f>
        <v/>
      </c>
      <c r="U21">
        <f>HYPERLINK("https://klasma.github.io/Logging_0513/knärot/A 58738-2024 karta knärot.png", "A 58738-2024")</f>
        <v/>
      </c>
      <c r="V21">
        <f>HYPERLINK("https://klasma.github.io/Logging_0513/klagomål/A 58738-2024 FSC-klagomål.docx", "A 58738-2024")</f>
        <v/>
      </c>
      <c r="W21">
        <f>HYPERLINK("https://klasma.github.io/Logging_0513/klagomålsmail/A 58738-2024 FSC-klagomål mail.docx", "A 58738-2024")</f>
        <v/>
      </c>
      <c r="X21">
        <f>HYPERLINK("https://klasma.github.io/Logging_0513/tillsyn/A 58738-2024 tillsynsbegäran.docx", "A 58738-2024")</f>
        <v/>
      </c>
      <c r="Y21">
        <f>HYPERLINK("https://klasma.github.io/Logging_0513/tillsynsmail/A 58738-2024 tillsynsbegäran mail.docx", "A 58738-2024")</f>
        <v/>
      </c>
    </row>
    <row r="22" ht="15" customHeight="1">
      <c r="A22" t="inlineStr">
        <is>
          <t>A 32-2025</t>
        </is>
      </c>
      <c r="B22" s="1" t="n">
        <v>45659</v>
      </c>
      <c r="C22" s="1" t="n">
        <v>46194</v>
      </c>
      <c r="D22" t="inlineStr">
        <is>
          <t>ÖSTERGÖTLANDS LÄN</t>
        </is>
      </c>
      <c r="E22" t="inlineStr">
        <is>
          <t>KINDA</t>
        </is>
      </c>
      <c r="G22" t="n">
        <v>2.4</v>
      </c>
      <c r="H22" t="n">
        <v>1</v>
      </c>
      <c r="I22" t="n">
        <v>1</v>
      </c>
      <c r="J22" t="n">
        <v>1</v>
      </c>
      <c r="K22" t="n">
        <v>1</v>
      </c>
      <c r="L22" t="n">
        <v>0</v>
      </c>
      <c r="M22" t="n">
        <v>0</v>
      </c>
      <c r="N22" t="n">
        <v>0</v>
      </c>
      <c r="O22" t="n">
        <v>2</v>
      </c>
      <c r="P22" t="n">
        <v>1</v>
      </c>
      <c r="Q22" t="n">
        <v>3</v>
      </c>
      <c r="R22" s="2" t="inlineStr">
        <is>
          <t>Knärot
Tallticka
Granbarkgnagare</t>
        </is>
      </c>
      <c r="S22">
        <f>HYPERLINK("https://klasma.github.io/Logging_0513/artfynd/A 32-2025 artfynd.xlsx", "A 32-2025")</f>
        <v/>
      </c>
      <c r="T22">
        <f>HYPERLINK("https://klasma.github.io/Logging_0513/kartor/A 32-2025 karta.png", "A 32-2025")</f>
        <v/>
      </c>
      <c r="U22">
        <f>HYPERLINK("https://klasma.github.io/Logging_0513/knärot/A 32-2025 karta knärot.png", "A 32-2025")</f>
        <v/>
      </c>
      <c r="V22">
        <f>HYPERLINK("https://klasma.github.io/Logging_0513/klagomål/A 32-2025 FSC-klagomål.docx", "A 32-2025")</f>
        <v/>
      </c>
      <c r="W22">
        <f>HYPERLINK("https://klasma.github.io/Logging_0513/klagomålsmail/A 32-2025 FSC-klagomål mail.docx", "A 32-2025")</f>
        <v/>
      </c>
      <c r="X22">
        <f>HYPERLINK("https://klasma.github.io/Logging_0513/tillsyn/A 32-2025 tillsynsbegäran.docx", "A 32-2025")</f>
        <v/>
      </c>
      <c r="Y22">
        <f>HYPERLINK("https://klasma.github.io/Logging_0513/tillsynsmail/A 32-2025 tillsynsbegäran mail.docx", "A 32-2025")</f>
        <v/>
      </c>
    </row>
    <row r="23" ht="15" customHeight="1">
      <c r="A23" t="inlineStr">
        <is>
          <t>A 45119-2023</t>
        </is>
      </c>
      <c r="B23" s="1" t="n">
        <v>45187</v>
      </c>
      <c r="C23" s="1" t="n">
        <v>46194</v>
      </c>
      <c r="D23" t="inlineStr">
        <is>
          <t>ÖSTERGÖTLANDS LÄN</t>
        </is>
      </c>
      <c r="E23" t="inlineStr">
        <is>
          <t>KINDA</t>
        </is>
      </c>
      <c r="G23" t="n">
        <v>2.3</v>
      </c>
      <c r="H23" t="n">
        <v>0</v>
      </c>
      <c r="I23" t="n">
        <v>0</v>
      </c>
      <c r="J23" t="n">
        <v>2</v>
      </c>
      <c r="K23" t="n">
        <v>1</v>
      </c>
      <c r="L23" t="n">
        <v>0</v>
      </c>
      <c r="M23" t="n">
        <v>0</v>
      </c>
      <c r="N23" t="n">
        <v>0</v>
      </c>
      <c r="O23" t="n">
        <v>3</v>
      </c>
      <c r="P23" t="n">
        <v>1</v>
      </c>
      <c r="Q23" t="n">
        <v>3</v>
      </c>
      <c r="R23" s="2" t="inlineStr">
        <is>
          <t>Sorgfibbla
Aspelandsfibbla
Smal guldkornsfibbla</t>
        </is>
      </c>
      <c r="S23">
        <f>HYPERLINK("https://klasma.github.io/Logging_0513/artfynd/A 45119-2023 artfynd.xlsx", "A 45119-2023")</f>
        <v/>
      </c>
      <c r="T23">
        <f>HYPERLINK("https://klasma.github.io/Logging_0513/kartor/A 45119-2023 karta.png", "A 45119-2023")</f>
        <v/>
      </c>
      <c r="V23">
        <f>HYPERLINK("https://klasma.github.io/Logging_0513/klagomål/A 45119-2023 FSC-klagomål.docx", "A 45119-2023")</f>
        <v/>
      </c>
      <c r="W23">
        <f>HYPERLINK("https://klasma.github.io/Logging_0513/klagomålsmail/A 45119-2023 FSC-klagomål mail.docx", "A 45119-2023")</f>
        <v/>
      </c>
      <c r="X23">
        <f>HYPERLINK("https://klasma.github.io/Logging_0513/tillsyn/A 45119-2023 tillsynsbegäran.docx", "A 45119-2023")</f>
        <v/>
      </c>
      <c r="Y23">
        <f>HYPERLINK("https://klasma.github.io/Logging_0513/tillsynsmail/A 45119-2023 tillsynsbegäran mail.docx", "A 45119-2023")</f>
        <v/>
      </c>
    </row>
    <row r="24" ht="15" customHeight="1">
      <c r="A24" t="inlineStr">
        <is>
          <t>A 40463-2021</t>
        </is>
      </c>
      <c r="B24" s="1" t="n">
        <v>44419</v>
      </c>
      <c r="C24" s="1" t="n">
        <v>46194</v>
      </c>
      <c r="D24" t="inlineStr">
        <is>
          <t>ÖSTERGÖTLANDS LÄN</t>
        </is>
      </c>
      <c r="E24" t="inlineStr">
        <is>
          <t>KINDA</t>
        </is>
      </c>
      <c r="G24" t="n">
        <v>11.5</v>
      </c>
      <c r="H24" t="n">
        <v>0</v>
      </c>
      <c r="I24" t="n">
        <v>0</v>
      </c>
      <c r="J24" t="n">
        <v>2</v>
      </c>
      <c r="K24" t="n">
        <v>0</v>
      </c>
      <c r="L24" t="n">
        <v>1</v>
      </c>
      <c r="M24" t="n">
        <v>0</v>
      </c>
      <c r="N24" t="n">
        <v>0</v>
      </c>
      <c r="O24" t="n">
        <v>3</v>
      </c>
      <c r="P24" t="n">
        <v>1</v>
      </c>
      <c r="Q24" t="n">
        <v>3</v>
      </c>
      <c r="R24" s="2" t="inlineStr">
        <is>
          <t>Skogsalm
Fjällig taggsvamp s.str.
Oxtungssvamp</t>
        </is>
      </c>
      <c r="S24">
        <f>HYPERLINK("https://klasma.github.io/Logging_0513/artfynd/A 40463-2021 artfynd.xlsx", "A 40463-2021")</f>
        <v/>
      </c>
      <c r="T24">
        <f>HYPERLINK("https://klasma.github.io/Logging_0513/kartor/A 40463-2021 karta.png", "A 40463-2021")</f>
        <v/>
      </c>
      <c r="V24">
        <f>HYPERLINK("https://klasma.github.io/Logging_0513/klagomål/A 40463-2021 FSC-klagomål.docx", "A 40463-2021")</f>
        <v/>
      </c>
      <c r="W24">
        <f>HYPERLINK("https://klasma.github.io/Logging_0513/klagomålsmail/A 40463-2021 FSC-klagomål mail.docx", "A 40463-2021")</f>
        <v/>
      </c>
      <c r="X24">
        <f>HYPERLINK("https://klasma.github.io/Logging_0513/tillsyn/A 40463-2021 tillsynsbegäran.docx", "A 40463-2021")</f>
        <v/>
      </c>
      <c r="Y24">
        <f>HYPERLINK("https://klasma.github.io/Logging_0513/tillsynsmail/A 40463-2021 tillsynsbegäran mail.docx", "A 40463-2021")</f>
        <v/>
      </c>
    </row>
    <row r="25" ht="15" customHeight="1">
      <c r="A25" t="inlineStr">
        <is>
          <t>A 52898-2025</t>
        </is>
      </c>
      <c r="B25" s="1" t="n">
        <v>45957</v>
      </c>
      <c r="C25" s="1" t="n">
        <v>46194</v>
      </c>
      <c r="D25" t="inlineStr">
        <is>
          <t>ÖSTERGÖTLANDS LÄN</t>
        </is>
      </c>
      <c r="E25" t="inlineStr">
        <is>
          <t>KINDA</t>
        </is>
      </c>
      <c r="G25" t="n">
        <v>2</v>
      </c>
      <c r="H25" t="n">
        <v>0</v>
      </c>
      <c r="I25" t="n">
        <v>0</v>
      </c>
      <c r="J25" t="n">
        <v>3</v>
      </c>
      <c r="K25" t="n">
        <v>0</v>
      </c>
      <c r="L25" t="n">
        <v>0</v>
      </c>
      <c r="M25" t="n">
        <v>0</v>
      </c>
      <c r="N25" t="n">
        <v>0</v>
      </c>
      <c r="O25" t="n">
        <v>3</v>
      </c>
      <c r="P25" t="n">
        <v>0</v>
      </c>
      <c r="Q25" t="n">
        <v>3</v>
      </c>
      <c r="R25" s="2" t="inlineStr">
        <is>
          <t>Gullklöver
Korskovall
Vippärt</t>
        </is>
      </c>
      <c r="S25">
        <f>HYPERLINK("https://klasma.github.io/Logging_0513/artfynd/A 52898-2025 artfynd.xlsx", "A 52898-2025")</f>
        <v/>
      </c>
      <c r="T25">
        <f>HYPERLINK("https://klasma.github.io/Logging_0513/kartor/A 52898-2025 karta.png", "A 52898-2025")</f>
        <v/>
      </c>
      <c r="V25">
        <f>HYPERLINK("https://klasma.github.io/Logging_0513/klagomål/A 52898-2025 FSC-klagomål.docx", "A 52898-2025")</f>
        <v/>
      </c>
      <c r="W25">
        <f>HYPERLINK("https://klasma.github.io/Logging_0513/klagomålsmail/A 52898-2025 FSC-klagomål mail.docx", "A 52898-2025")</f>
        <v/>
      </c>
      <c r="X25">
        <f>HYPERLINK("https://klasma.github.io/Logging_0513/tillsyn/A 52898-2025 tillsynsbegäran.docx", "A 52898-2025")</f>
        <v/>
      </c>
      <c r="Y25">
        <f>HYPERLINK("https://klasma.github.io/Logging_0513/tillsynsmail/A 52898-2025 tillsynsbegäran mail.docx", "A 52898-2025")</f>
        <v/>
      </c>
    </row>
    <row r="26" ht="15" customHeight="1">
      <c r="A26" t="inlineStr">
        <is>
          <t>A 56129-2024</t>
        </is>
      </c>
      <c r="B26" s="1" t="n">
        <v>45624</v>
      </c>
      <c r="C26" s="1" t="n">
        <v>46194</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1704-2026</t>
        </is>
      </c>
      <c r="B27" s="1" t="n">
        <v>46034</v>
      </c>
      <c r="C27" s="1" t="n">
        <v>46194</v>
      </c>
      <c r="D27" t="inlineStr">
        <is>
          <t>ÖSTERGÖTLANDS LÄN</t>
        </is>
      </c>
      <c r="E27" t="inlineStr">
        <is>
          <t>KINDA</t>
        </is>
      </c>
      <c r="G27" t="n">
        <v>0.6</v>
      </c>
      <c r="H27" t="n">
        <v>1</v>
      </c>
      <c r="I27" t="n">
        <v>0</v>
      </c>
      <c r="J27" t="n">
        <v>2</v>
      </c>
      <c r="K27" t="n">
        <v>0</v>
      </c>
      <c r="L27" t="n">
        <v>0</v>
      </c>
      <c r="M27" t="n">
        <v>0</v>
      </c>
      <c r="N27" t="n">
        <v>0</v>
      </c>
      <c r="O27" t="n">
        <v>2</v>
      </c>
      <c r="P27" t="n">
        <v>0</v>
      </c>
      <c r="Q27" t="n">
        <v>3</v>
      </c>
      <c r="R27" s="2" t="inlineStr">
        <is>
          <t>Gullpudra
Jungfrulin
Grönvit nattviol</t>
        </is>
      </c>
      <c r="S27">
        <f>HYPERLINK("https://klasma.github.io/Logging_0513/artfynd/A 1704-2026 artfynd.xlsx", "A 1704-2026")</f>
        <v/>
      </c>
      <c r="T27">
        <f>HYPERLINK("https://klasma.github.io/Logging_0513/kartor/A 1704-2026 karta.png", "A 1704-2026")</f>
        <v/>
      </c>
      <c r="V27">
        <f>HYPERLINK("https://klasma.github.io/Logging_0513/klagomål/A 1704-2026 FSC-klagomål.docx", "A 1704-2026")</f>
        <v/>
      </c>
      <c r="W27">
        <f>HYPERLINK("https://klasma.github.io/Logging_0513/klagomålsmail/A 1704-2026 FSC-klagomål mail.docx", "A 1704-2026")</f>
        <v/>
      </c>
      <c r="X27">
        <f>HYPERLINK("https://klasma.github.io/Logging_0513/tillsyn/A 1704-2026 tillsynsbegäran.docx", "A 1704-2026")</f>
        <v/>
      </c>
      <c r="Y27">
        <f>HYPERLINK("https://klasma.github.io/Logging_0513/tillsynsmail/A 1704-2026 tillsynsbegäran mail.docx", "A 1704-2026")</f>
        <v/>
      </c>
    </row>
    <row r="28" ht="15" customHeight="1">
      <c r="A28" t="inlineStr">
        <is>
          <t>A 3474-2023</t>
        </is>
      </c>
      <c r="B28" s="1" t="n">
        <v>44949</v>
      </c>
      <c r="C28" s="1" t="n">
        <v>46194</v>
      </c>
      <c r="D28" t="inlineStr">
        <is>
          <t>ÖSTERGÖTLANDS LÄN</t>
        </is>
      </c>
      <c r="E28" t="inlineStr">
        <is>
          <t>KINDA</t>
        </is>
      </c>
      <c r="G28" t="n">
        <v>2.5</v>
      </c>
      <c r="H28" t="n">
        <v>2</v>
      </c>
      <c r="I28" t="n">
        <v>1</v>
      </c>
      <c r="J28" t="n">
        <v>0</v>
      </c>
      <c r="K28" t="n">
        <v>1</v>
      </c>
      <c r="L28" t="n">
        <v>0</v>
      </c>
      <c r="M28" t="n">
        <v>0</v>
      </c>
      <c r="N28" t="n">
        <v>0</v>
      </c>
      <c r="O28" t="n">
        <v>1</v>
      </c>
      <c r="P28" t="n">
        <v>1</v>
      </c>
      <c r="Q28" t="n">
        <v>3</v>
      </c>
      <c r="R28" s="2" t="inlineStr">
        <is>
          <t>Knärot
Blåmossa
Blåsippa</t>
        </is>
      </c>
      <c r="S28">
        <f>HYPERLINK("https://klasma.github.io/Logging_0513/artfynd/A 3474-2023 artfynd.xlsx", "A 3474-2023")</f>
        <v/>
      </c>
      <c r="T28">
        <f>HYPERLINK("https://klasma.github.io/Logging_0513/kartor/A 3474-2023 karta.png", "A 3474-2023")</f>
        <v/>
      </c>
      <c r="U28">
        <f>HYPERLINK("https://klasma.github.io/Logging_0513/knärot/A 3474-2023 karta knärot.png", "A 3474-2023")</f>
        <v/>
      </c>
      <c r="V28">
        <f>HYPERLINK("https://klasma.github.io/Logging_0513/klagomål/A 3474-2023 FSC-klagomål.docx", "A 3474-2023")</f>
        <v/>
      </c>
      <c r="W28">
        <f>HYPERLINK("https://klasma.github.io/Logging_0513/klagomålsmail/A 3474-2023 FSC-klagomål mail.docx", "A 3474-2023")</f>
        <v/>
      </c>
      <c r="X28">
        <f>HYPERLINK("https://klasma.github.io/Logging_0513/tillsyn/A 3474-2023 tillsynsbegäran.docx", "A 3474-2023")</f>
        <v/>
      </c>
      <c r="Y28">
        <f>HYPERLINK("https://klasma.github.io/Logging_0513/tillsynsmail/A 3474-2023 tillsynsbegäran mail.docx", "A 3474-2023")</f>
        <v/>
      </c>
    </row>
    <row r="29" ht="15" customHeight="1">
      <c r="A29" t="inlineStr">
        <is>
          <t>A 18597-2022</t>
        </is>
      </c>
      <c r="B29" s="1" t="n">
        <v>44687</v>
      </c>
      <c r="C29" s="1" t="n">
        <v>46194</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46194</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46194</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878-2024</t>
        </is>
      </c>
      <c r="B32" s="1" t="n">
        <v>45301</v>
      </c>
      <c r="C32" s="1" t="n">
        <v>46194</v>
      </c>
      <c r="D32" t="inlineStr">
        <is>
          <t>ÖSTERGÖTLANDS LÄN</t>
        </is>
      </c>
      <c r="E32" t="inlineStr">
        <is>
          <t>KINDA</t>
        </is>
      </c>
      <c r="G32" t="n">
        <v>1.6</v>
      </c>
      <c r="H32" t="n">
        <v>0</v>
      </c>
      <c r="I32" t="n">
        <v>0</v>
      </c>
      <c r="J32" t="n">
        <v>0</v>
      </c>
      <c r="K32" t="n">
        <v>1</v>
      </c>
      <c r="L32" t="n">
        <v>1</v>
      </c>
      <c r="M32" t="n">
        <v>0</v>
      </c>
      <c r="N32" t="n">
        <v>0</v>
      </c>
      <c r="O32" t="n">
        <v>2</v>
      </c>
      <c r="P32" t="n">
        <v>2</v>
      </c>
      <c r="Q32" t="n">
        <v>2</v>
      </c>
      <c r="R32" s="2" t="inlineStr">
        <is>
          <t>Tofsfibbla
Växeltandsfibbla</t>
        </is>
      </c>
      <c r="S32">
        <f>HYPERLINK("https://klasma.github.io/Logging_0513/artfynd/A 878-2024 artfynd.xlsx", "A 878-2024")</f>
        <v/>
      </c>
      <c r="T32">
        <f>HYPERLINK("https://klasma.github.io/Logging_0513/kartor/A 878-2024 karta.png", "A 878-2024")</f>
        <v/>
      </c>
      <c r="V32">
        <f>HYPERLINK("https://klasma.github.io/Logging_0513/klagomål/A 878-2024 FSC-klagomål.docx", "A 878-2024")</f>
        <v/>
      </c>
      <c r="W32">
        <f>HYPERLINK("https://klasma.github.io/Logging_0513/klagomålsmail/A 878-2024 FSC-klagomål mail.docx", "A 878-2024")</f>
        <v/>
      </c>
      <c r="X32">
        <f>HYPERLINK("https://klasma.github.io/Logging_0513/tillsyn/A 878-2024 tillsynsbegäran.docx", "A 878-2024")</f>
        <v/>
      </c>
      <c r="Y32">
        <f>HYPERLINK("https://klasma.github.io/Logging_0513/tillsynsmail/A 878-2024 tillsynsbegäran mail.docx", "A 878-2024")</f>
        <v/>
      </c>
    </row>
    <row r="33" ht="15" customHeight="1">
      <c r="A33" t="inlineStr">
        <is>
          <t>A 1760-2024</t>
        </is>
      </c>
      <c r="B33" s="1" t="n">
        <v>45307</v>
      </c>
      <c r="C33" s="1" t="n">
        <v>46194</v>
      </c>
      <c r="D33" t="inlineStr">
        <is>
          <t>ÖSTERGÖTLANDS LÄN</t>
        </is>
      </c>
      <c r="E33" t="inlineStr">
        <is>
          <t>KINDA</t>
        </is>
      </c>
      <c r="G33" t="n">
        <v>1.4</v>
      </c>
      <c r="H33" t="n">
        <v>0</v>
      </c>
      <c r="I33" t="n">
        <v>2</v>
      </c>
      <c r="J33" t="n">
        <v>0</v>
      </c>
      <c r="K33" t="n">
        <v>0</v>
      </c>
      <c r="L33" t="n">
        <v>0</v>
      </c>
      <c r="M33" t="n">
        <v>0</v>
      </c>
      <c r="N33" t="n">
        <v>0</v>
      </c>
      <c r="O33" t="n">
        <v>0</v>
      </c>
      <c r="P33" t="n">
        <v>0</v>
      </c>
      <c r="Q33" t="n">
        <v>2</v>
      </c>
      <c r="R33" s="2" t="inlineStr">
        <is>
          <t>Bågpraktmossa
Källmossor</t>
        </is>
      </c>
      <c r="S33">
        <f>HYPERLINK("https://klasma.github.io/Logging_0513/artfynd/A 1760-2024 artfynd.xlsx", "A 1760-2024")</f>
        <v/>
      </c>
      <c r="T33">
        <f>HYPERLINK("https://klasma.github.io/Logging_0513/kartor/A 1760-2024 karta.png", "A 1760-2024")</f>
        <v/>
      </c>
      <c r="V33">
        <f>HYPERLINK("https://klasma.github.io/Logging_0513/klagomål/A 1760-2024 FSC-klagomål.docx", "A 1760-2024")</f>
        <v/>
      </c>
      <c r="W33">
        <f>HYPERLINK("https://klasma.github.io/Logging_0513/klagomålsmail/A 1760-2024 FSC-klagomål mail.docx", "A 1760-2024")</f>
        <v/>
      </c>
      <c r="X33">
        <f>HYPERLINK("https://klasma.github.io/Logging_0513/tillsyn/A 1760-2024 tillsynsbegäran.docx", "A 1760-2024")</f>
        <v/>
      </c>
      <c r="Y33">
        <f>HYPERLINK("https://klasma.github.io/Logging_0513/tillsynsmail/A 1760-2024 tillsynsbegäran mail.docx", "A 1760-2024")</f>
        <v/>
      </c>
    </row>
    <row r="34" ht="15" customHeight="1">
      <c r="A34" t="inlineStr">
        <is>
          <t>A 57456-2021</t>
        </is>
      </c>
      <c r="B34" s="1" t="n">
        <v>44483</v>
      </c>
      <c r="C34" s="1" t="n">
        <v>46194</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27099-2023</t>
        </is>
      </c>
      <c r="B35" s="1" t="n">
        <v>45096</v>
      </c>
      <c r="C35" s="1" t="n">
        <v>46194</v>
      </c>
      <c r="D35" t="inlineStr">
        <is>
          <t>ÖSTERGÖTLANDS LÄN</t>
        </is>
      </c>
      <c r="E35" t="inlineStr">
        <is>
          <t>KINDA</t>
        </is>
      </c>
      <c r="G35" t="n">
        <v>4.2</v>
      </c>
      <c r="H35" t="n">
        <v>1</v>
      </c>
      <c r="I35" t="n">
        <v>1</v>
      </c>
      <c r="J35" t="n">
        <v>0</v>
      </c>
      <c r="K35" t="n">
        <v>0</v>
      </c>
      <c r="L35" t="n">
        <v>0</v>
      </c>
      <c r="M35" t="n">
        <v>0</v>
      </c>
      <c r="N35" t="n">
        <v>0</v>
      </c>
      <c r="O35" t="n">
        <v>0</v>
      </c>
      <c r="P35" t="n">
        <v>0</v>
      </c>
      <c r="Q35" t="n">
        <v>2</v>
      </c>
      <c r="R35" s="2" t="inlineStr">
        <is>
          <t>Grönpyrola
Mattlummer</t>
        </is>
      </c>
      <c r="S35">
        <f>HYPERLINK("https://klasma.github.io/Logging_0513/artfynd/A 27099-2023 artfynd.xlsx", "A 27099-2023")</f>
        <v/>
      </c>
      <c r="T35">
        <f>HYPERLINK("https://klasma.github.io/Logging_0513/kartor/A 27099-2023 karta.png", "A 27099-2023")</f>
        <v/>
      </c>
      <c r="V35">
        <f>HYPERLINK("https://klasma.github.io/Logging_0513/klagomål/A 27099-2023 FSC-klagomål.docx", "A 27099-2023")</f>
        <v/>
      </c>
      <c r="W35">
        <f>HYPERLINK("https://klasma.github.io/Logging_0513/klagomålsmail/A 27099-2023 FSC-klagomål mail.docx", "A 27099-2023")</f>
        <v/>
      </c>
      <c r="X35">
        <f>HYPERLINK("https://klasma.github.io/Logging_0513/tillsyn/A 27099-2023 tillsynsbegäran.docx", "A 27099-2023")</f>
        <v/>
      </c>
      <c r="Y35">
        <f>HYPERLINK("https://klasma.github.io/Logging_0513/tillsynsmail/A 27099-2023 tillsynsbegäran mail.docx", "A 27099-2023")</f>
        <v/>
      </c>
    </row>
    <row r="36" ht="15" customHeight="1">
      <c r="A36" t="inlineStr">
        <is>
          <t>A 5588-2025</t>
        </is>
      </c>
      <c r="B36" s="1" t="n">
        <v>45693</v>
      </c>
      <c r="C36" s="1" t="n">
        <v>46194</v>
      </c>
      <c r="D36" t="inlineStr">
        <is>
          <t>ÖSTERGÖTLANDS LÄN</t>
        </is>
      </c>
      <c r="E36" t="inlineStr">
        <is>
          <t>KINDA</t>
        </is>
      </c>
      <c r="G36" t="n">
        <v>3.5</v>
      </c>
      <c r="H36" t="n">
        <v>1</v>
      </c>
      <c r="I36" t="n">
        <v>1</v>
      </c>
      <c r="J36" t="n">
        <v>0</v>
      </c>
      <c r="K36" t="n">
        <v>0</v>
      </c>
      <c r="L36" t="n">
        <v>0</v>
      </c>
      <c r="M36" t="n">
        <v>0</v>
      </c>
      <c r="N36" t="n">
        <v>0</v>
      </c>
      <c r="O36" t="n">
        <v>0</v>
      </c>
      <c r="P36" t="n">
        <v>0</v>
      </c>
      <c r="Q36" t="n">
        <v>2</v>
      </c>
      <c r="R36" s="2" t="inlineStr">
        <is>
          <t>Stubbspretmossa
Blåsippa</t>
        </is>
      </c>
      <c r="S36">
        <f>HYPERLINK("https://klasma.github.io/Logging_0513/artfynd/A 5588-2025 artfynd.xlsx", "A 5588-2025")</f>
        <v/>
      </c>
      <c r="T36">
        <f>HYPERLINK("https://klasma.github.io/Logging_0513/kartor/A 5588-2025 karta.png", "A 5588-2025")</f>
        <v/>
      </c>
      <c r="V36">
        <f>HYPERLINK("https://klasma.github.io/Logging_0513/klagomål/A 5588-2025 FSC-klagomål.docx", "A 5588-2025")</f>
        <v/>
      </c>
      <c r="W36">
        <f>HYPERLINK("https://klasma.github.io/Logging_0513/klagomålsmail/A 5588-2025 FSC-klagomål mail.docx", "A 5588-2025")</f>
        <v/>
      </c>
      <c r="X36">
        <f>HYPERLINK("https://klasma.github.io/Logging_0513/tillsyn/A 5588-2025 tillsynsbegäran.docx", "A 5588-2025")</f>
        <v/>
      </c>
      <c r="Y36">
        <f>HYPERLINK("https://klasma.github.io/Logging_0513/tillsynsmail/A 5588-2025 tillsynsbegäran mail.docx", "A 5588-2025")</f>
        <v/>
      </c>
    </row>
    <row r="37" ht="15" customHeight="1">
      <c r="A37" t="inlineStr">
        <is>
          <t>A 29514-2024</t>
        </is>
      </c>
      <c r="B37" s="1" t="n">
        <v>45484</v>
      </c>
      <c r="C37" s="1" t="n">
        <v>46194</v>
      </c>
      <c r="D37" t="inlineStr">
        <is>
          <t>ÖSTERGÖTLANDS LÄN</t>
        </is>
      </c>
      <c r="E37" t="inlineStr">
        <is>
          <t>KINDA</t>
        </is>
      </c>
      <c r="G37" t="n">
        <v>18.9</v>
      </c>
      <c r="H37" t="n">
        <v>1</v>
      </c>
      <c r="I37" t="n">
        <v>0</v>
      </c>
      <c r="J37" t="n">
        <v>1</v>
      </c>
      <c r="K37" t="n">
        <v>0</v>
      </c>
      <c r="L37" t="n">
        <v>0</v>
      </c>
      <c r="M37" t="n">
        <v>0</v>
      </c>
      <c r="N37" t="n">
        <v>0</v>
      </c>
      <c r="O37" t="n">
        <v>1</v>
      </c>
      <c r="P37" t="n">
        <v>0</v>
      </c>
      <c r="Q37" t="n">
        <v>2</v>
      </c>
      <c r="R37" s="2" t="inlineStr">
        <is>
          <t>Aspelandsfibbla
Revlummer</t>
        </is>
      </c>
      <c r="S37">
        <f>HYPERLINK("https://klasma.github.io/Logging_0513/artfynd/A 29514-2024 artfynd.xlsx", "A 29514-2024")</f>
        <v/>
      </c>
      <c r="T37">
        <f>HYPERLINK("https://klasma.github.io/Logging_0513/kartor/A 29514-2024 karta.png", "A 29514-2024")</f>
        <v/>
      </c>
      <c r="V37">
        <f>HYPERLINK("https://klasma.github.io/Logging_0513/klagomål/A 29514-2024 FSC-klagomål.docx", "A 29514-2024")</f>
        <v/>
      </c>
      <c r="W37">
        <f>HYPERLINK("https://klasma.github.io/Logging_0513/klagomålsmail/A 29514-2024 FSC-klagomål mail.docx", "A 29514-2024")</f>
        <v/>
      </c>
      <c r="X37">
        <f>HYPERLINK("https://klasma.github.io/Logging_0513/tillsyn/A 29514-2024 tillsynsbegäran.docx", "A 29514-2024")</f>
        <v/>
      </c>
      <c r="Y37">
        <f>HYPERLINK("https://klasma.github.io/Logging_0513/tillsynsmail/A 29514-2024 tillsynsbegäran mail.docx", "A 29514-2024")</f>
        <v/>
      </c>
    </row>
    <row r="38" ht="15" customHeight="1">
      <c r="A38" t="inlineStr">
        <is>
          <t>A 46154-2023</t>
        </is>
      </c>
      <c r="B38" s="1" t="n">
        <v>45196</v>
      </c>
      <c r="C38" s="1" t="n">
        <v>46194</v>
      </c>
      <c r="D38" t="inlineStr">
        <is>
          <t>ÖSTERGÖTLANDS LÄN</t>
        </is>
      </c>
      <c r="E38" t="inlineStr">
        <is>
          <t>KINDA</t>
        </is>
      </c>
      <c r="G38" t="n">
        <v>6.6</v>
      </c>
      <c r="H38" t="n">
        <v>1</v>
      </c>
      <c r="I38" t="n">
        <v>2</v>
      </c>
      <c r="J38" t="n">
        <v>0</v>
      </c>
      <c r="K38" t="n">
        <v>0</v>
      </c>
      <c r="L38" t="n">
        <v>0</v>
      </c>
      <c r="M38" t="n">
        <v>0</v>
      </c>
      <c r="N38" t="n">
        <v>0</v>
      </c>
      <c r="O38" t="n">
        <v>0</v>
      </c>
      <c r="P38" t="n">
        <v>0</v>
      </c>
      <c r="Q38" t="n">
        <v>2</v>
      </c>
      <c r="R38" s="2" t="inlineStr">
        <is>
          <t>Dvärgkällmossa
Grön sköldmossa</t>
        </is>
      </c>
      <c r="S38">
        <f>HYPERLINK("https://klasma.github.io/Logging_0513/artfynd/A 46154-2023 artfynd.xlsx", "A 46154-2023")</f>
        <v/>
      </c>
      <c r="T38">
        <f>HYPERLINK("https://klasma.github.io/Logging_0513/kartor/A 46154-2023 karta.png", "A 46154-2023")</f>
        <v/>
      </c>
      <c r="V38">
        <f>HYPERLINK("https://klasma.github.io/Logging_0513/klagomål/A 46154-2023 FSC-klagomål.docx", "A 46154-2023")</f>
        <v/>
      </c>
      <c r="W38">
        <f>HYPERLINK("https://klasma.github.io/Logging_0513/klagomålsmail/A 46154-2023 FSC-klagomål mail.docx", "A 46154-2023")</f>
        <v/>
      </c>
      <c r="X38">
        <f>HYPERLINK("https://klasma.github.io/Logging_0513/tillsyn/A 46154-2023 tillsynsbegäran.docx", "A 46154-2023")</f>
        <v/>
      </c>
      <c r="Y38">
        <f>HYPERLINK("https://klasma.github.io/Logging_0513/tillsynsmail/A 46154-2023 tillsynsbegäran mail.docx", "A 46154-2023")</f>
        <v/>
      </c>
    </row>
    <row r="39" ht="15" customHeight="1">
      <c r="A39" t="inlineStr">
        <is>
          <t>A 29509-2024</t>
        </is>
      </c>
      <c r="B39" s="1" t="n">
        <v>45484</v>
      </c>
      <c r="C39" s="1" t="n">
        <v>46194</v>
      </c>
      <c r="D39" t="inlineStr">
        <is>
          <t>ÖSTERGÖTLANDS LÄN</t>
        </is>
      </c>
      <c r="E39" t="inlineStr">
        <is>
          <t>KINDA</t>
        </is>
      </c>
      <c r="G39" t="n">
        <v>10.4</v>
      </c>
      <c r="H39" t="n">
        <v>0</v>
      </c>
      <c r="I39" t="n">
        <v>0</v>
      </c>
      <c r="J39" t="n">
        <v>2</v>
      </c>
      <c r="K39" t="n">
        <v>0</v>
      </c>
      <c r="L39" t="n">
        <v>0</v>
      </c>
      <c r="M39" t="n">
        <v>0</v>
      </c>
      <c r="N39" t="n">
        <v>0</v>
      </c>
      <c r="O39" t="n">
        <v>2</v>
      </c>
      <c r="P39" t="n">
        <v>0</v>
      </c>
      <c r="Q39" t="n">
        <v>2</v>
      </c>
      <c r="R39" s="2" t="inlineStr">
        <is>
          <t>Månlåsbräken
Spindelört</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12505-2026</t>
        </is>
      </c>
      <c r="B40" s="1" t="n">
        <v>46090</v>
      </c>
      <c r="C40" s="1" t="n">
        <v>46194</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46194</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46194</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46194</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46194</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46194</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49440-2021</t>
        </is>
      </c>
      <c r="B46" s="1" t="n">
        <v>44454</v>
      </c>
      <c r="C46" s="1" t="n">
        <v>46194</v>
      </c>
      <c r="D46" t="inlineStr">
        <is>
          <t>ÖSTERGÖTLANDS LÄN</t>
        </is>
      </c>
      <c r="E46" t="inlineStr">
        <is>
          <t>KINDA</t>
        </is>
      </c>
      <c r="G46" t="n">
        <v>2.9</v>
      </c>
      <c r="H46" t="n">
        <v>0</v>
      </c>
      <c r="I46" t="n">
        <v>1</v>
      </c>
      <c r="J46" t="n">
        <v>0</v>
      </c>
      <c r="K46" t="n">
        <v>0</v>
      </c>
      <c r="L46" t="n">
        <v>0</v>
      </c>
      <c r="M46" t="n">
        <v>0</v>
      </c>
      <c r="N46" t="n">
        <v>0</v>
      </c>
      <c r="O46" t="n">
        <v>0</v>
      </c>
      <c r="P46" t="n">
        <v>0</v>
      </c>
      <c r="Q46" t="n">
        <v>1</v>
      </c>
      <c r="R46" s="2" t="inlineStr">
        <is>
          <t>Svart trolldruva</t>
        </is>
      </c>
      <c r="S46">
        <f>HYPERLINK("https://klasma.github.io/Logging_0513/artfynd/A 49440-2021 artfynd.xlsx", "A 49440-2021")</f>
        <v/>
      </c>
      <c r="T46">
        <f>HYPERLINK("https://klasma.github.io/Logging_0513/kartor/A 49440-2021 karta.png", "A 49440-2021")</f>
        <v/>
      </c>
      <c r="V46">
        <f>HYPERLINK("https://klasma.github.io/Logging_0513/klagomål/A 49440-2021 FSC-klagomål.docx", "A 49440-2021")</f>
        <v/>
      </c>
      <c r="W46">
        <f>HYPERLINK("https://klasma.github.io/Logging_0513/klagomålsmail/A 49440-2021 FSC-klagomål mail.docx", "A 49440-2021")</f>
        <v/>
      </c>
      <c r="X46">
        <f>HYPERLINK("https://klasma.github.io/Logging_0513/tillsyn/A 49440-2021 tillsynsbegäran.docx", "A 49440-2021")</f>
        <v/>
      </c>
      <c r="Y46">
        <f>HYPERLINK("https://klasma.github.io/Logging_0513/tillsynsmail/A 49440-2021 tillsynsbegäran mail.docx", "A 49440-2021")</f>
        <v/>
      </c>
    </row>
    <row r="47" ht="15" customHeight="1">
      <c r="A47" t="inlineStr">
        <is>
          <t>A 61949-2022</t>
        </is>
      </c>
      <c r="B47" s="1" t="n">
        <v>44918</v>
      </c>
      <c r="C47" s="1" t="n">
        <v>46194</v>
      </c>
      <c r="D47" t="inlineStr">
        <is>
          <t>ÖSTERGÖTLANDS LÄN</t>
        </is>
      </c>
      <c r="E47" t="inlineStr">
        <is>
          <t>KINDA</t>
        </is>
      </c>
      <c r="G47" t="n">
        <v>1.3</v>
      </c>
      <c r="H47" t="n">
        <v>1</v>
      </c>
      <c r="I47" t="n">
        <v>0</v>
      </c>
      <c r="J47" t="n">
        <v>0</v>
      </c>
      <c r="K47" t="n">
        <v>0</v>
      </c>
      <c r="L47" t="n">
        <v>0</v>
      </c>
      <c r="M47" t="n">
        <v>0</v>
      </c>
      <c r="N47" t="n">
        <v>0</v>
      </c>
      <c r="O47" t="n">
        <v>0</v>
      </c>
      <c r="P47" t="n">
        <v>0</v>
      </c>
      <c r="Q47" t="n">
        <v>1</v>
      </c>
      <c r="R47" s="2" t="inlineStr">
        <is>
          <t>Orre</t>
        </is>
      </c>
      <c r="S47">
        <f>HYPERLINK("https://klasma.github.io/Logging_0513/artfynd/A 61949-2022 artfynd.xlsx", "A 61949-2022")</f>
        <v/>
      </c>
      <c r="T47">
        <f>HYPERLINK("https://klasma.github.io/Logging_0513/kartor/A 61949-2022 karta.png", "A 61949-2022")</f>
        <v/>
      </c>
      <c r="V47">
        <f>HYPERLINK("https://klasma.github.io/Logging_0513/klagomål/A 61949-2022 FSC-klagomål.docx", "A 61949-2022")</f>
        <v/>
      </c>
      <c r="W47">
        <f>HYPERLINK("https://klasma.github.io/Logging_0513/klagomålsmail/A 61949-2022 FSC-klagomål mail.docx", "A 61949-2022")</f>
        <v/>
      </c>
      <c r="X47">
        <f>HYPERLINK("https://klasma.github.io/Logging_0513/tillsyn/A 61949-2022 tillsynsbegäran.docx", "A 61949-2022")</f>
        <v/>
      </c>
      <c r="Y47">
        <f>HYPERLINK("https://klasma.github.io/Logging_0513/tillsynsmail/A 61949-2022 tillsynsbegäran mail.docx", "A 61949-2022")</f>
        <v/>
      </c>
      <c r="Z47">
        <f>HYPERLINK("https://klasma.github.io/Logging_0513/fåglar/A 61949-2022 prioriterade fågelarter.docx", "A 61949-2022")</f>
        <v/>
      </c>
    </row>
    <row r="48" ht="15" customHeight="1">
      <c r="A48" t="inlineStr">
        <is>
          <t>A 60958-2022</t>
        </is>
      </c>
      <c r="B48" s="1" t="n">
        <v>44914</v>
      </c>
      <c r="C48" s="1" t="n">
        <v>46194</v>
      </c>
      <c r="D48" t="inlineStr">
        <is>
          <t>ÖSTERGÖTLANDS LÄN</t>
        </is>
      </c>
      <c r="E48" t="inlineStr">
        <is>
          <t>KINDA</t>
        </is>
      </c>
      <c r="G48" t="n">
        <v>3.2</v>
      </c>
      <c r="H48" t="n">
        <v>0</v>
      </c>
      <c r="I48" t="n">
        <v>0</v>
      </c>
      <c r="J48" t="n">
        <v>0</v>
      </c>
      <c r="K48" t="n">
        <v>0</v>
      </c>
      <c r="L48" t="n">
        <v>0</v>
      </c>
      <c r="M48" t="n">
        <v>1</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40100-2021</t>
        </is>
      </c>
      <c r="B49" s="1" t="n">
        <v>44418</v>
      </c>
      <c r="C49" s="1" t="n">
        <v>46194</v>
      </c>
      <c r="D49" t="inlineStr">
        <is>
          <t>ÖSTERGÖTLANDS LÄN</t>
        </is>
      </c>
      <c r="E49" t="inlineStr">
        <is>
          <t>KINDA</t>
        </is>
      </c>
      <c r="G49" t="n">
        <v>0.6</v>
      </c>
      <c r="H49" t="n">
        <v>0</v>
      </c>
      <c r="I49" t="n">
        <v>1</v>
      </c>
      <c r="J49" t="n">
        <v>0</v>
      </c>
      <c r="K49" t="n">
        <v>0</v>
      </c>
      <c r="L49" t="n">
        <v>0</v>
      </c>
      <c r="M49" t="n">
        <v>0</v>
      </c>
      <c r="N49" t="n">
        <v>0</v>
      </c>
      <c r="O49" t="n">
        <v>0</v>
      </c>
      <c r="P49" t="n">
        <v>0</v>
      </c>
      <c r="Q49" t="n">
        <v>1</v>
      </c>
      <c r="R49" s="2" t="inlineStr">
        <is>
          <t>Grönpyrola</t>
        </is>
      </c>
      <c r="S49">
        <f>HYPERLINK("https://klasma.github.io/Logging_0513/artfynd/A 40100-2021 artfynd.xlsx", "A 40100-2021")</f>
        <v/>
      </c>
      <c r="T49">
        <f>HYPERLINK("https://klasma.github.io/Logging_0513/kartor/A 40100-2021 karta.png", "A 40100-2021")</f>
        <v/>
      </c>
      <c r="V49">
        <f>HYPERLINK("https://klasma.github.io/Logging_0513/klagomål/A 40100-2021 FSC-klagomål.docx", "A 40100-2021")</f>
        <v/>
      </c>
      <c r="W49">
        <f>HYPERLINK("https://klasma.github.io/Logging_0513/klagomålsmail/A 40100-2021 FSC-klagomål mail.docx", "A 40100-2021")</f>
        <v/>
      </c>
      <c r="X49">
        <f>HYPERLINK("https://klasma.github.io/Logging_0513/tillsyn/A 40100-2021 tillsynsbegäran.docx", "A 40100-2021")</f>
        <v/>
      </c>
      <c r="Y49">
        <f>HYPERLINK("https://klasma.github.io/Logging_0513/tillsynsmail/A 40100-2021 tillsynsbegäran mail.docx", "A 40100-2021")</f>
        <v/>
      </c>
    </row>
    <row r="50" ht="15" customHeight="1">
      <c r="A50" t="inlineStr">
        <is>
          <t>A 30255-2024</t>
        </is>
      </c>
      <c r="B50" s="1" t="n">
        <v>45490</v>
      </c>
      <c r="C50" s="1" t="n">
        <v>46194</v>
      </c>
      <c r="D50" t="inlineStr">
        <is>
          <t>ÖSTERGÖTLANDS LÄN</t>
        </is>
      </c>
      <c r="E50" t="inlineStr">
        <is>
          <t>KINDA</t>
        </is>
      </c>
      <c r="G50" t="n">
        <v>6.3</v>
      </c>
      <c r="H50" t="n">
        <v>0</v>
      </c>
      <c r="I50" t="n">
        <v>0</v>
      </c>
      <c r="J50" t="n">
        <v>0</v>
      </c>
      <c r="K50" t="n">
        <v>1</v>
      </c>
      <c r="L50" t="n">
        <v>0</v>
      </c>
      <c r="M50" t="n">
        <v>0</v>
      </c>
      <c r="N50" t="n">
        <v>0</v>
      </c>
      <c r="O50" t="n">
        <v>1</v>
      </c>
      <c r="P50" t="n">
        <v>1</v>
      </c>
      <c r="Q50" t="n">
        <v>1</v>
      </c>
      <c r="R50" s="2" t="inlineStr">
        <is>
          <t>Späd fetfibbla</t>
        </is>
      </c>
      <c r="S50">
        <f>HYPERLINK("https://klasma.github.io/Logging_0513/artfynd/A 30255-2024 artfynd.xlsx", "A 30255-2024")</f>
        <v/>
      </c>
      <c r="T50">
        <f>HYPERLINK("https://klasma.github.io/Logging_0513/kartor/A 30255-2024 karta.png", "A 30255-2024")</f>
        <v/>
      </c>
      <c r="V50">
        <f>HYPERLINK("https://klasma.github.io/Logging_0513/klagomål/A 30255-2024 FSC-klagomål.docx", "A 30255-2024")</f>
        <v/>
      </c>
      <c r="W50">
        <f>HYPERLINK("https://klasma.github.io/Logging_0513/klagomålsmail/A 30255-2024 FSC-klagomål mail.docx", "A 30255-2024")</f>
        <v/>
      </c>
      <c r="X50">
        <f>HYPERLINK("https://klasma.github.io/Logging_0513/tillsyn/A 30255-2024 tillsynsbegäran.docx", "A 30255-2024")</f>
        <v/>
      </c>
      <c r="Y50">
        <f>HYPERLINK("https://klasma.github.io/Logging_0513/tillsynsmail/A 30255-2024 tillsynsbegäran mail.docx", "A 30255-2024")</f>
        <v/>
      </c>
    </row>
    <row r="51" ht="15" customHeight="1">
      <c r="A51" t="inlineStr">
        <is>
          <t>A 31147-2025</t>
        </is>
      </c>
      <c r="B51" s="1" t="n">
        <v>45832</v>
      </c>
      <c r="C51" s="1" t="n">
        <v>46194</v>
      </c>
      <c r="D51" t="inlineStr">
        <is>
          <t>ÖSTERGÖTLANDS LÄN</t>
        </is>
      </c>
      <c r="E51" t="inlineStr">
        <is>
          <t>KINDA</t>
        </is>
      </c>
      <c r="G51" t="n">
        <v>1.4</v>
      </c>
      <c r="H51" t="n">
        <v>0</v>
      </c>
      <c r="I51" t="n">
        <v>0</v>
      </c>
      <c r="J51" t="n">
        <v>1</v>
      </c>
      <c r="K51" t="n">
        <v>0</v>
      </c>
      <c r="L51" t="n">
        <v>0</v>
      </c>
      <c r="M51" t="n">
        <v>0</v>
      </c>
      <c r="N51" t="n">
        <v>0</v>
      </c>
      <c r="O51" t="n">
        <v>1</v>
      </c>
      <c r="P51" t="n">
        <v>0</v>
      </c>
      <c r="Q51" t="n">
        <v>1</v>
      </c>
      <c r="R51" s="2" t="inlineStr">
        <is>
          <t>Fjällig taggsvamp s.str.</t>
        </is>
      </c>
      <c r="S51">
        <f>HYPERLINK("https://klasma.github.io/Logging_0513/artfynd/A 31147-2025 artfynd.xlsx", "A 31147-2025")</f>
        <v/>
      </c>
      <c r="T51">
        <f>HYPERLINK("https://klasma.github.io/Logging_0513/kartor/A 31147-2025 karta.png", "A 31147-2025")</f>
        <v/>
      </c>
      <c r="V51">
        <f>HYPERLINK("https://klasma.github.io/Logging_0513/klagomål/A 31147-2025 FSC-klagomål.docx", "A 31147-2025")</f>
        <v/>
      </c>
      <c r="W51">
        <f>HYPERLINK("https://klasma.github.io/Logging_0513/klagomålsmail/A 31147-2025 FSC-klagomål mail.docx", "A 31147-2025")</f>
        <v/>
      </c>
      <c r="X51">
        <f>HYPERLINK("https://klasma.github.io/Logging_0513/tillsyn/A 31147-2025 tillsynsbegäran.docx", "A 31147-2025")</f>
        <v/>
      </c>
      <c r="Y51">
        <f>HYPERLINK("https://klasma.github.io/Logging_0513/tillsynsmail/A 31147-2025 tillsynsbegäran mail.docx", "A 31147-2025")</f>
        <v/>
      </c>
    </row>
    <row r="52" ht="15" customHeight="1">
      <c r="A52" t="inlineStr">
        <is>
          <t>A 12801-2022</t>
        </is>
      </c>
      <c r="B52" s="1" t="n">
        <v>44642</v>
      </c>
      <c r="C52" s="1" t="n">
        <v>46194</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56140-2024</t>
        </is>
      </c>
      <c r="B53" s="1" t="n">
        <v>45624</v>
      </c>
      <c r="C53" s="1" t="n">
        <v>46194</v>
      </c>
      <c r="D53" t="inlineStr">
        <is>
          <t>ÖSTERGÖTLANDS LÄN</t>
        </is>
      </c>
      <c r="E53" t="inlineStr">
        <is>
          <t>KINDA</t>
        </is>
      </c>
      <c r="G53" t="n">
        <v>0.7</v>
      </c>
      <c r="H53" t="n">
        <v>0</v>
      </c>
      <c r="I53" t="n">
        <v>0</v>
      </c>
      <c r="J53" t="n">
        <v>1</v>
      </c>
      <c r="K53" t="n">
        <v>0</v>
      </c>
      <c r="L53" t="n">
        <v>0</v>
      </c>
      <c r="M53" t="n">
        <v>0</v>
      </c>
      <c r="N53" t="n">
        <v>0</v>
      </c>
      <c r="O53" t="n">
        <v>1</v>
      </c>
      <c r="P53" t="n">
        <v>0</v>
      </c>
      <c r="Q53" t="n">
        <v>1</v>
      </c>
      <c r="R53" s="2" t="inlineStr">
        <is>
          <t>Orange taggsvamp</t>
        </is>
      </c>
      <c r="S53">
        <f>HYPERLINK("https://klasma.github.io/Logging_0513/artfynd/A 56140-2024 artfynd.xlsx", "A 56140-2024")</f>
        <v/>
      </c>
      <c r="T53">
        <f>HYPERLINK("https://klasma.github.io/Logging_0513/kartor/A 56140-2024 karta.png", "A 56140-2024")</f>
        <v/>
      </c>
      <c r="V53">
        <f>HYPERLINK("https://klasma.github.io/Logging_0513/klagomål/A 56140-2024 FSC-klagomål.docx", "A 56140-2024")</f>
        <v/>
      </c>
      <c r="W53">
        <f>HYPERLINK("https://klasma.github.io/Logging_0513/klagomålsmail/A 56140-2024 FSC-klagomål mail.docx", "A 56140-2024")</f>
        <v/>
      </c>
      <c r="X53">
        <f>HYPERLINK("https://klasma.github.io/Logging_0513/tillsyn/A 56140-2024 tillsynsbegäran.docx", "A 56140-2024")</f>
        <v/>
      </c>
      <c r="Y53">
        <f>HYPERLINK("https://klasma.github.io/Logging_0513/tillsynsmail/A 56140-2024 tillsynsbegäran mail.docx", "A 56140-2024")</f>
        <v/>
      </c>
    </row>
    <row r="54" ht="15" customHeight="1">
      <c r="A54" t="inlineStr">
        <is>
          <t>A 54872-2022</t>
        </is>
      </c>
      <c r="B54" s="1" t="n">
        <v>44886</v>
      </c>
      <c r="C54" s="1" t="n">
        <v>46194</v>
      </c>
      <c r="D54" t="inlineStr">
        <is>
          <t>ÖSTERGÖTLANDS LÄN</t>
        </is>
      </c>
      <c r="E54" t="inlineStr">
        <is>
          <t>KINDA</t>
        </is>
      </c>
      <c r="G54" t="n">
        <v>1.1</v>
      </c>
      <c r="H54" t="n">
        <v>1</v>
      </c>
      <c r="I54" t="n">
        <v>0</v>
      </c>
      <c r="J54" t="n">
        <v>0</v>
      </c>
      <c r="K54" t="n">
        <v>0</v>
      </c>
      <c r="L54" t="n">
        <v>0</v>
      </c>
      <c r="M54" t="n">
        <v>0</v>
      </c>
      <c r="N54" t="n">
        <v>0</v>
      </c>
      <c r="O54" t="n">
        <v>0</v>
      </c>
      <c r="P54" t="n">
        <v>0</v>
      </c>
      <c r="Q54" t="n">
        <v>1</v>
      </c>
      <c r="R54" s="2" t="inlineStr">
        <is>
          <t>Tjäder</t>
        </is>
      </c>
      <c r="S54">
        <f>HYPERLINK("https://klasma.github.io/Logging_0513/artfynd/A 54872-2022 artfynd.xlsx", "A 54872-2022")</f>
        <v/>
      </c>
      <c r="T54">
        <f>HYPERLINK("https://klasma.github.io/Logging_0513/kartor/A 54872-2022 karta.png", "A 54872-2022")</f>
        <v/>
      </c>
      <c r="V54">
        <f>HYPERLINK("https://klasma.github.io/Logging_0513/klagomål/A 54872-2022 FSC-klagomål.docx", "A 54872-2022")</f>
        <v/>
      </c>
      <c r="W54">
        <f>HYPERLINK("https://klasma.github.io/Logging_0513/klagomålsmail/A 54872-2022 FSC-klagomål mail.docx", "A 54872-2022")</f>
        <v/>
      </c>
      <c r="X54">
        <f>HYPERLINK("https://klasma.github.io/Logging_0513/tillsyn/A 54872-2022 tillsynsbegäran.docx", "A 54872-2022")</f>
        <v/>
      </c>
      <c r="Y54">
        <f>HYPERLINK("https://klasma.github.io/Logging_0513/tillsynsmail/A 54872-2022 tillsynsbegäran mail.docx", "A 54872-2022")</f>
        <v/>
      </c>
      <c r="Z54">
        <f>HYPERLINK("https://klasma.github.io/Logging_0513/fåglar/A 54872-2022 prioriterade fågelarter.docx", "A 54872-2022")</f>
        <v/>
      </c>
    </row>
    <row r="55" ht="15" customHeight="1">
      <c r="A55" t="inlineStr">
        <is>
          <t>A 38019-2024</t>
        </is>
      </c>
      <c r="B55" s="1" t="n">
        <v>45544</v>
      </c>
      <c r="C55" s="1" t="n">
        <v>46194</v>
      </c>
      <c r="D55" t="inlineStr">
        <is>
          <t>ÖSTERGÖTLANDS LÄN</t>
        </is>
      </c>
      <c r="E55" t="inlineStr">
        <is>
          <t>KINDA</t>
        </is>
      </c>
      <c r="G55" t="n">
        <v>6.3</v>
      </c>
      <c r="H55" t="n">
        <v>1</v>
      </c>
      <c r="I55" t="n">
        <v>0</v>
      </c>
      <c r="J55" t="n">
        <v>0</v>
      </c>
      <c r="K55" t="n">
        <v>1</v>
      </c>
      <c r="L55" t="n">
        <v>0</v>
      </c>
      <c r="M55" t="n">
        <v>0</v>
      </c>
      <c r="N55" t="n">
        <v>0</v>
      </c>
      <c r="O55" t="n">
        <v>1</v>
      </c>
      <c r="P55" t="n">
        <v>1</v>
      </c>
      <c r="Q55" t="n">
        <v>1</v>
      </c>
      <c r="R55" s="2" t="inlineStr">
        <is>
          <t>Knärot</t>
        </is>
      </c>
      <c r="S55">
        <f>HYPERLINK("https://klasma.github.io/Logging_0513/artfynd/A 38019-2024 artfynd.xlsx", "A 38019-2024")</f>
        <v/>
      </c>
      <c r="T55">
        <f>HYPERLINK("https://klasma.github.io/Logging_0513/kartor/A 38019-2024 karta.png", "A 38019-2024")</f>
        <v/>
      </c>
      <c r="U55">
        <f>HYPERLINK("https://klasma.github.io/Logging_0513/knärot/A 38019-2024 karta knärot.png", "A 38019-2024")</f>
        <v/>
      </c>
      <c r="V55">
        <f>HYPERLINK("https://klasma.github.io/Logging_0513/klagomål/A 38019-2024 FSC-klagomål.docx", "A 38019-2024")</f>
        <v/>
      </c>
      <c r="W55">
        <f>HYPERLINK("https://klasma.github.io/Logging_0513/klagomålsmail/A 38019-2024 FSC-klagomål mail.docx", "A 38019-2024")</f>
        <v/>
      </c>
      <c r="X55">
        <f>HYPERLINK("https://klasma.github.io/Logging_0513/tillsyn/A 38019-2024 tillsynsbegäran.docx", "A 38019-2024")</f>
        <v/>
      </c>
      <c r="Y55">
        <f>HYPERLINK("https://klasma.github.io/Logging_0513/tillsynsmail/A 38019-2024 tillsynsbegäran mail.docx", "A 38019-2024")</f>
        <v/>
      </c>
    </row>
    <row r="56" ht="15" customHeight="1">
      <c r="A56" t="inlineStr">
        <is>
          <t>A 16607-2023</t>
        </is>
      </c>
      <c r="B56" s="1" t="n">
        <v>45030</v>
      </c>
      <c r="C56" s="1" t="n">
        <v>46194</v>
      </c>
      <c r="D56" t="inlineStr">
        <is>
          <t>ÖSTERGÖTLANDS LÄN</t>
        </is>
      </c>
      <c r="E56" t="inlineStr">
        <is>
          <t>KINDA</t>
        </is>
      </c>
      <c r="G56" t="n">
        <v>4.7</v>
      </c>
      <c r="H56" t="n">
        <v>0</v>
      </c>
      <c r="I56" t="n">
        <v>0</v>
      </c>
      <c r="J56" t="n">
        <v>1</v>
      </c>
      <c r="K56" t="n">
        <v>0</v>
      </c>
      <c r="L56" t="n">
        <v>0</v>
      </c>
      <c r="M56" t="n">
        <v>0</v>
      </c>
      <c r="N56" t="n">
        <v>0</v>
      </c>
      <c r="O56" t="n">
        <v>1</v>
      </c>
      <c r="P56" t="n">
        <v>0</v>
      </c>
      <c r="Q56" t="n">
        <v>1</v>
      </c>
      <c r="R56" s="2" t="inlineStr">
        <is>
          <t>Sårläka</t>
        </is>
      </c>
      <c r="S56">
        <f>HYPERLINK("https://klasma.github.io/Logging_0513/artfynd/A 16607-2023 artfynd.xlsx", "A 16607-2023")</f>
        <v/>
      </c>
      <c r="T56">
        <f>HYPERLINK("https://klasma.github.io/Logging_0513/kartor/A 16607-2023 karta.png", "A 16607-2023")</f>
        <v/>
      </c>
      <c r="V56">
        <f>HYPERLINK("https://klasma.github.io/Logging_0513/klagomål/A 16607-2023 FSC-klagomål.docx", "A 16607-2023")</f>
        <v/>
      </c>
      <c r="W56">
        <f>HYPERLINK("https://klasma.github.io/Logging_0513/klagomålsmail/A 16607-2023 FSC-klagomål mail.docx", "A 16607-2023")</f>
        <v/>
      </c>
      <c r="X56">
        <f>HYPERLINK("https://klasma.github.io/Logging_0513/tillsyn/A 16607-2023 tillsynsbegäran.docx", "A 16607-2023")</f>
        <v/>
      </c>
      <c r="Y56">
        <f>HYPERLINK("https://klasma.github.io/Logging_0513/tillsynsmail/A 16607-2023 tillsynsbegäran mail.docx", "A 16607-2023")</f>
        <v/>
      </c>
    </row>
    <row r="57" ht="15" customHeight="1">
      <c r="A57" t="inlineStr">
        <is>
          <t>A 16609-2023</t>
        </is>
      </c>
      <c r="B57" s="1" t="n">
        <v>45030</v>
      </c>
      <c r="C57" s="1" t="n">
        <v>46194</v>
      </c>
      <c r="D57" t="inlineStr">
        <is>
          <t>ÖSTERGÖTLANDS LÄN</t>
        </is>
      </c>
      <c r="E57" t="inlineStr">
        <is>
          <t>KINDA</t>
        </is>
      </c>
      <c r="G57" t="n">
        <v>5.5</v>
      </c>
      <c r="H57" t="n">
        <v>0</v>
      </c>
      <c r="I57" t="n">
        <v>1</v>
      </c>
      <c r="J57" t="n">
        <v>0</v>
      </c>
      <c r="K57" t="n">
        <v>0</v>
      </c>
      <c r="L57" t="n">
        <v>0</v>
      </c>
      <c r="M57" t="n">
        <v>0</v>
      </c>
      <c r="N57" t="n">
        <v>0</v>
      </c>
      <c r="O57" t="n">
        <v>0</v>
      </c>
      <c r="P57" t="n">
        <v>0</v>
      </c>
      <c r="Q57" t="n">
        <v>1</v>
      </c>
      <c r="R57" s="2" t="inlineStr">
        <is>
          <t>Myskmadra</t>
        </is>
      </c>
      <c r="S57">
        <f>HYPERLINK("https://klasma.github.io/Logging_0513/artfynd/A 16609-2023 artfynd.xlsx", "A 16609-2023")</f>
        <v/>
      </c>
      <c r="T57">
        <f>HYPERLINK("https://klasma.github.io/Logging_0513/kartor/A 16609-2023 karta.png", "A 16609-2023")</f>
        <v/>
      </c>
      <c r="V57">
        <f>HYPERLINK("https://klasma.github.io/Logging_0513/klagomål/A 16609-2023 FSC-klagomål.docx", "A 16609-2023")</f>
        <v/>
      </c>
      <c r="W57">
        <f>HYPERLINK("https://klasma.github.io/Logging_0513/klagomålsmail/A 16609-2023 FSC-klagomål mail.docx", "A 16609-2023")</f>
        <v/>
      </c>
      <c r="X57">
        <f>HYPERLINK("https://klasma.github.io/Logging_0513/tillsyn/A 16609-2023 tillsynsbegäran.docx", "A 16609-2023")</f>
        <v/>
      </c>
      <c r="Y57">
        <f>HYPERLINK("https://klasma.github.io/Logging_0513/tillsynsmail/A 16609-2023 tillsynsbegäran mail.docx", "A 16609-2023")</f>
        <v/>
      </c>
    </row>
    <row r="58" ht="15" customHeight="1">
      <c r="A58" t="inlineStr">
        <is>
          <t>A 10020-2025</t>
        </is>
      </c>
      <c r="B58" s="1" t="n">
        <v>45719</v>
      </c>
      <c r="C58" s="1" t="n">
        <v>46194</v>
      </c>
      <c r="D58" t="inlineStr">
        <is>
          <t>ÖSTERGÖTLANDS LÄN</t>
        </is>
      </c>
      <c r="E58" t="inlineStr">
        <is>
          <t>KINDA</t>
        </is>
      </c>
      <c r="G58" t="n">
        <v>1.9</v>
      </c>
      <c r="H58" t="n">
        <v>1</v>
      </c>
      <c r="I58" t="n">
        <v>0</v>
      </c>
      <c r="J58" t="n">
        <v>0</v>
      </c>
      <c r="K58" t="n">
        <v>0</v>
      </c>
      <c r="L58" t="n">
        <v>0</v>
      </c>
      <c r="M58" t="n">
        <v>0</v>
      </c>
      <c r="N58" t="n">
        <v>0</v>
      </c>
      <c r="O58" t="n">
        <v>0</v>
      </c>
      <c r="P58" t="n">
        <v>0</v>
      </c>
      <c r="Q58" t="n">
        <v>1</v>
      </c>
      <c r="R58" s="2" t="inlineStr">
        <is>
          <t>Blåsippa</t>
        </is>
      </c>
      <c r="S58">
        <f>HYPERLINK("https://klasma.github.io/Logging_0513/artfynd/A 10020-2025 artfynd.xlsx", "A 10020-2025")</f>
        <v/>
      </c>
      <c r="T58">
        <f>HYPERLINK("https://klasma.github.io/Logging_0513/kartor/A 10020-2025 karta.png", "A 10020-2025")</f>
        <v/>
      </c>
      <c r="V58">
        <f>HYPERLINK("https://klasma.github.io/Logging_0513/klagomål/A 10020-2025 FSC-klagomål.docx", "A 10020-2025")</f>
        <v/>
      </c>
      <c r="W58">
        <f>HYPERLINK("https://klasma.github.io/Logging_0513/klagomålsmail/A 10020-2025 FSC-klagomål mail.docx", "A 10020-2025")</f>
        <v/>
      </c>
      <c r="X58">
        <f>HYPERLINK("https://klasma.github.io/Logging_0513/tillsyn/A 10020-2025 tillsynsbegäran.docx", "A 10020-2025")</f>
        <v/>
      </c>
      <c r="Y58">
        <f>HYPERLINK("https://klasma.github.io/Logging_0513/tillsynsmail/A 10020-2025 tillsynsbegäran mail.docx", "A 10020-2025")</f>
        <v/>
      </c>
    </row>
    <row r="59" ht="15" customHeight="1">
      <c r="A59" t="inlineStr">
        <is>
          <t>A 32781-2021</t>
        </is>
      </c>
      <c r="B59" s="1" t="n">
        <v>44375</v>
      </c>
      <c r="C59" s="1" t="n">
        <v>46194</v>
      </c>
      <c r="D59" t="inlineStr">
        <is>
          <t>ÖSTERGÖTLANDS LÄN</t>
        </is>
      </c>
      <c r="E59" t="inlineStr">
        <is>
          <t>KINDA</t>
        </is>
      </c>
      <c r="G59" t="n">
        <v>2</v>
      </c>
      <c r="H59" t="n">
        <v>1</v>
      </c>
      <c r="I59" t="n">
        <v>0</v>
      </c>
      <c r="J59" t="n">
        <v>0</v>
      </c>
      <c r="K59" t="n">
        <v>1</v>
      </c>
      <c r="L59" t="n">
        <v>0</v>
      </c>
      <c r="M59" t="n">
        <v>0</v>
      </c>
      <c r="N59" t="n">
        <v>0</v>
      </c>
      <c r="O59" t="n">
        <v>1</v>
      </c>
      <c r="P59" t="n">
        <v>1</v>
      </c>
      <c r="Q59" t="n">
        <v>1</v>
      </c>
      <c r="R59" s="2" t="inlineStr">
        <is>
          <t>Knärot</t>
        </is>
      </c>
      <c r="S59">
        <f>HYPERLINK("https://klasma.github.io/Logging_0513/artfynd/A 32781-2021 artfynd.xlsx", "A 32781-2021")</f>
        <v/>
      </c>
      <c r="T59">
        <f>HYPERLINK("https://klasma.github.io/Logging_0513/kartor/A 32781-2021 karta.png", "A 32781-2021")</f>
        <v/>
      </c>
      <c r="U59">
        <f>HYPERLINK("https://klasma.github.io/Logging_0513/knärot/A 32781-2021 karta knärot.png", "A 32781-2021")</f>
        <v/>
      </c>
      <c r="V59">
        <f>HYPERLINK("https://klasma.github.io/Logging_0513/klagomål/A 32781-2021 FSC-klagomål.docx", "A 32781-2021")</f>
        <v/>
      </c>
      <c r="W59">
        <f>HYPERLINK("https://klasma.github.io/Logging_0513/klagomålsmail/A 32781-2021 FSC-klagomål mail.docx", "A 32781-2021")</f>
        <v/>
      </c>
      <c r="X59">
        <f>HYPERLINK("https://klasma.github.io/Logging_0513/tillsyn/A 32781-2021 tillsynsbegäran.docx", "A 32781-2021")</f>
        <v/>
      </c>
      <c r="Y59">
        <f>HYPERLINK("https://klasma.github.io/Logging_0513/tillsynsmail/A 32781-2021 tillsynsbegäran mail.docx", "A 32781-2021")</f>
        <v/>
      </c>
    </row>
    <row r="60" ht="15" customHeight="1">
      <c r="A60" t="inlineStr">
        <is>
          <t>A 44552-2021</t>
        </is>
      </c>
      <c r="B60" s="1" t="n">
        <v>44435</v>
      </c>
      <c r="C60" s="1" t="n">
        <v>46194</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66100-2021</t>
        </is>
      </c>
      <c r="B61" s="1" t="n">
        <v>44517</v>
      </c>
      <c r="C61" s="1" t="n">
        <v>46194</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Huggorm</t>
        </is>
      </c>
      <c r="S61">
        <f>HYPERLINK("https://klasma.github.io/Logging_0513/artfynd/A 66100-2021 artfynd.xlsx", "A 66100-2021")</f>
        <v/>
      </c>
      <c r="T61">
        <f>HYPERLINK("https://klasma.github.io/Logging_0513/kartor/A 66100-2021 karta.png", "A 66100-2021")</f>
        <v/>
      </c>
      <c r="V61">
        <f>HYPERLINK("https://klasma.github.io/Logging_0513/klagomål/A 66100-2021 FSC-klagomål.docx", "A 66100-2021")</f>
        <v/>
      </c>
      <c r="W61">
        <f>HYPERLINK("https://klasma.github.io/Logging_0513/klagomålsmail/A 66100-2021 FSC-klagomål mail.docx", "A 66100-2021")</f>
        <v/>
      </c>
      <c r="X61">
        <f>HYPERLINK("https://klasma.github.io/Logging_0513/tillsyn/A 66100-2021 tillsynsbegäran.docx", "A 66100-2021")</f>
        <v/>
      </c>
      <c r="Y61">
        <f>HYPERLINK("https://klasma.github.io/Logging_0513/tillsynsmail/A 66100-2021 tillsynsbegäran mail.docx", "A 66100-2021")</f>
        <v/>
      </c>
    </row>
    <row r="62" ht="15" customHeight="1">
      <c r="A62" t="inlineStr">
        <is>
          <t>A 52899-2025</t>
        </is>
      </c>
      <c r="B62" s="1" t="n">
        <v>45957</v>
      </c>
      <c r="C62" s="1" t="n">
        <v>46194</v>
      </c>
      <c r="D62" t="inlineStr">
        <is>
          <t>ÖSTERGÖTLANDS LÄN</t>
        </is>
      </c>
      <c r="E62" t="inlineStr">
        <is>
          <t>KINDA</t>
        </is>
      </c>
      <c r="G62" t="n">
        <v>1.1</v>
      </c>
      <c r="H62" t="n">
        <v>0</v>
      </c>
      <c r="I62" t="n">
        <v>0</v>
      </c>
      <c r="J62" t="n">
        <v>0</v>
      </c>
      <c r="K62" t="n">
        <v>0</v>
      </c>
      <c r="L62" t="n">
        <v>1</v>
      </c>
      <c r="M62" t="n">
        <v>0</v>
      </c>
      <c r="N62" t="n">
        <v>0</v>
      </c>
      <c r="O62" t="n">
        <v>1</v>
      </c>
      <c r="P62" t="n">
        <v>1</v>
      </c>
      <c r="Q62" t="n">
        <v>1</v>
      </c>
      <c r="R62" s="2" t="inlineStr">
        <is>
          <t>Ask</t>
        </is>
      </c>
      <c r="S62">
        <f>HYPERLINK("https://klasma.github.io/Logging_0513/artfynd/A 52899-2025 artfynd.xlsx", "A 52899-2025")</f>
        <v/>
      </c>
      <c r="T62">
        <f>HYPERLINK("https://klasma.github.io/Logging_0513/kartor/A 52899-2025 karta.png", "A 52899-2025")</f>
        <v/>
      </c>
      <c r="V62">
        <f>HYPERLINK("https://klasma.github.io/Logging_0513/klagomål/A 52899-2025 FSC-klagomål.docx", "A 52899-2025")</f>
        <v/>
      </c>
      <c r="W62">
        <f>HYPERLINK("https://klasma.github.io/Logging_0513/klagomålsmail/A 52899-2025 FSC-klagomål mail.docx", "A 52899-2025")</f>
        <v/>
      </c>
      <c r="X62">
        <f>HYPERLINK("https://klasma.github.io/Logging_0513/tillsyn/A 52899-2025 tillsynsbegäran.docx", "A 52899-2025")</f>
        <v/>
      </c>
      <c r="Y62">
        <f>HYPERLINK("https://klasma.github.io/Logging_0513/tillsynsmail/A 52899-2025 tillsynsbegäran mail.docx", "A 52899-2025")</f>
        <v/>
      </c>
    </row>
    <row r="63" ht="15" customHeight="1">
      <c r="A63" t="inlineStr">
        <is>
          <t>A 54475-2025</t>
        </is>
      </c>
      <c r="B63" s="1" t="n">
        <v>45965</v>
      </c>
      <c r="C63" s="1" t="n">
        <v>46194</v>
      </c>
      <c r="D63" t="inlineStr">
        <is>
          <t>ÖSTERGÖTLANDS LÄN</t>
        </is>
      </c>
      <c r="E63" t="inlineStr">
        <is>
          <t>KINDA</t>
        </is>
      </c>
      <c r="G63" t="n">
        <v>1.2</v>
      </c>
      <c r="H63" t="n">
        <v>0</v>
      </c>
      <c r="I63" t="n">
        <v>1</v>
      </c>
      <c r="J63" t="n">
        <v>0</v>
      </c>
      <c r="K63" t="n">
        <v>0</v>
      </c>
      <c r="L63" t="n">
        <v>0</v>
      </c>
      <c r="M63" t="n">
        <v>0</v>
      </c>
      <c r="N63" t="n">
        <v>0</v>
      </c>
      <c r="O63" t="n">
        <v>0</v>
      </c>
      <c r="P63" t="n">
        <v>0</v>
      </c>
      <c r="Q63" t="n">
        <v>1</v>
      </c>
      <c r="R63" s="2" t="inlineStr">
        <is>
          <t>Tibast</t>
        </is>
      </c>
      <c r="S63">
        <f>HYPERLINK("https://klasma.github.io/Logging_0513/artfynd/A 54475-2025 artfynd.xlsx", "A 54475-2025")</f>
        <v/>
      </c>
      <c r="T63">
        <f>HYPERLINK("https://klasma.github.io/Logging_0513/kartor/A 54475-2025 karta.png", "A 54475-2025")</f>
        <v/>
      </c>
      <c r="V63">
        <f>HYPERLINK("https://klasma.github.io/Logging_0513/klagomål/A 54475-2025 FSC-klagomål.docx", "A 54475-2025")</f>
        <v/>
      </c>
      <c r="W63">
        <f>HYPERLINK("https://klasma.github.io/Logging_0513/klagomålsmail/A 54475-2025 FSC-klagomål mail.docx", "A 54475-2025")</f>
        <v/>
      </c>
      <c r="X63">
        <f>HYPERLINK("https://klasma.github.io/Logging_0513/tillsyn/A 54475-2025 tillsynsbegäran.docx", "A 54475-2025")</f>
        <v/>
      </c>
      <c r="Y63">
        <f>HYPERLINK("https://klasma.github.io/Logging_0513/tillsynsmail/A 54475-2025 tillsynsbegäran mail.docx", "A 54475-2025")</f>
        <v/>
      </c>
    </row>
    <row r="64" ht="15" customHeight="1">
      <c r="A64" t="inlineStr">
        <is>
          <t>A 5371-2024</t>
        </is>
      </c>
      <c r="B64" s="1" t="n">
        <v>45331</v>
      </c>
      <c r="C64" s="1" t="n">
        <v>46194</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Skogsbräsma</t>
        </is>
      </c>
      <c r="S64">
        <f>HYPERLINK("https://klasma.github.io/Logging_0513/artfynd/A 5371-2024 artfynd.xlsx", "A 5371-2024")</f>
        <v/>
      </c>
      <c r="T64">
        <f>HYPERLINK("https://klasma.github.io/Logging_0513/kartor/A 5371-2024 karta.png", "A 5371-2024")</f>
        <v/>
      </c>
      <c r="V64">
        <f>HYPERLINK("https://klasma.github.io/Logging_0513/klagomål/A 5371-2024 FSC-klagomål.docx", "A 5371-2024")</f>
        <v/>
      </c>
      <c r="W64">
        <f>HYPERLINK("https://klasma.github.io/Logging_0513/klagomålsmail/A 5371-2024 FSC-klagomål mail.docx", "A 5371-2024")</f>
        <v/>
      </c>
      <c r="X64">
        <f>HYPERLINK("https://klasma.github.io/Logging_0513/tillsyn/A 5371-2024 tillsynsbegäran.docx", "A 5371-2024")</f>
        <v/>
      </c>
      <c r="Y64">
        <f>HYPERLINK("https://klasma.github.io/Logging_0513/tillsynsmail/A 5371-2024 tillsynsbegäran mail.docx", "A 5371-2024")</f>
        <v/>
      </c>
    </row>
    <row r="65" ht="15" customHeight="1">
      <c r="A65" t="inlineStr">
        <is>
          <t>A 56710-2025</t>
        </is>
      </c>
      <c r="B65" s="1" t="n">
        <v>45977</v>
      </c>
      <c r="C65" s="1" t="n">
        <v>46194</v>
      </c>
      <c r="D65" t="inlineStr">
        <is>
          <t>ÖSTERGÖTLANDS LÄN</t>
        </is>
      </c>
      <c r="E65" t="inlineStr">
        <is>
          <t>KINDA</t>
        </is>
      </c>
      <c r="G65" t="n">
        <v>4.8</v>
      </c>
      <c r="H65" t="n">
        <v>1</v>
      </c>
      <c r="I65" t="n">
        <v>1</v>
      </c>
      <c r="J65" t="n">
        <v>0</v>
      </c>
      <c r="K65" t="n">
        <v>0</v>
      </c>
      <c r="L65" t="n">
        <v>0</v>
      </c>
      <c r="M65" t="n">
        <v>0</v>
      </c>
      <c r="N65" t="n">
        <v>0</v>
      </c>
      <c r="O65" t="n">
        <v>0</v>
      </c>
      <c r="P65" t="n">
        <v>0</v>
      </c>
      <c r="Q65" t="n">
        <v>1</v>
      </c>
      <c r="R65" s="2" t="inlineStr">
        <is>
          <t>Ekoxe</t>
        </is>
      </c>
      <c r="S65">
        <f>HYPERLINK("https://klasma.github.io/Logging_0513/artfynd/A 56710-2025 artfynd.xlsx", "A 56710-2025")</f>
        <v/>
      </c>
      <c r="T65">
        <f>HYPERLINK("https://klasma.github.io/Logging_0513/kartor/A 56710-2025 karta.png", "A 56710-2025")</f>
        <v/>
      </c>
      <c r="V65">
        <f>HYPERLINK("https://klasma.github.io/Logging_0513/klagomål/A 56710-2025 FSC-klagomål.docx", "A 56710-2025")</f>
        <v/>
      </c>
      <c r="W65">
        <f>HYPERLINK("https://klasma.github.io/Logging_0513/klagomålsmail/A 56710-2025 FSC-klagomål mail.docx", "A 56710-2025")</f>
        <v/>
      </c>
      <c r="X65">
        <f>HYPERLINK("https://klasma.github.io/Logging_0513/tillsyn/A 56710-2025 tillsynsbegäran.docx", "A 56710-2025")</f>
        <v/>
      </c>
      <c r="Y65">
        <f>HYPERLINK("https://klasma.github.io/Logging_0513/tillsynsmail/A 56710-2025 tillsynsbegäran mail.docx", "A 56710-2025")</f>
        <v/>
      </c>
    </row>
    <row r="66" ht="15" customHeight="1">
      <c r="A66" t="inlineStr">
        <is>
          <t>A 58113-2025</t>
        </is>
      </c>
      <c r="B66" s="1" t="n">
        <v>45982</v>
      </c>
      <c r="C66" s="1" t="n">
        <v>46194</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12170-2022</t>
        </is>
      </c>
      <c r="B67" s="1" t="n">
        <v>44636</v>
      </c>
      <c r="C67" s="1" t="n">
        <v>46194</v>
      </c>
      <c r="D67" t="inlineStr">
        <is>
          <t>ÖSTERGÖTLANDS LÄN</t>
        </is>
      </c>
      <c r="E67" t="inlineStr">
        <is>
          <t>KINDA</t>
        </is>
      </c>
      <c r="F67" t="inlineStr">
        <is>
          <t>Kommuner</t>
        </is>
      </c>
      <c r="G67" t="n">
        <v>1.2</v>
      </c>
      <c r="H67" t="n">
        <v>0</v>
      </c>
      <c r="I67" t="n">
        <v>0</v>
      </c>
      <c r="J67" t="n">
        <v>0</v>
      </c>
      <c r="K67" t="n">
        <v>0</v>
      </c>
      <c r="L67" t="n">
        <v>1</v>
      </c>
      <c r="M67" t="n">
        <v>0</v>
      </c>
      <c r="N67" t="n">
        <v>0</v>
      </c>
      <c r="O67" t="n">
        <v>1</v>
      </c>
      <c r="P67" t="n">
        <v>1</v>
      </c>
      <c r="Q67" t="n">
        <v>1</v>
      </c>
      <c r="R67" s="2" t="inlineStr">
        <is>
          <t>Ask</t>
        </is>
      </c>
      <c r="S67">
        <f>HYPERLINK("https://klasma.github.io/Logging_0513/artfynd/A 12170-2022 artfynd.xlsx", "A 12170-2022")</f>
        <v/>
      </c>
      <c r="T67">
        <f>HYPERLINK("https://klasma.github.io/Logging_0513/kartor/A 12170-2022 karta.png", "A 12170-2022")</f>
        <v/>
      </c>
      <c r="V67">
        <f>HYPERLINK("https://klasma.github.io/Logging_0513/klagomål/A 12170-2022 FSC-klagomål.docx", "A 12170-2022")</f>
        <v/>
      </c>
      <c r="W67">
        <f>HYPERLINK("https://klasma.github.io/Logging_0513/klagomålsmail/A 12170-2022 FSC-klagomål mail.docx", "A 12170-2022")</f>
        <v/>
      </c>
      <c r="X67">
        <f>HYPERLINK("https://klasma.github.io/Logging_0513/tillsyn/A 12170-2022 tillsynsbegäran.docx", "A 12170-2022")</f>
        <v/>
      </c>
      <c r="Y67">
        <f>HYPERLINK("https://klasma.github.io/Logging_0513/tillsynsmail/A 12170-2022 tillsynsbegäran mail.docx", "A 12170-2022")</f>
        <v/>
      </c>
    </row>
    <row r="68" ht="15" customHeight="1">
      <c r="A68" t="inlineStr">
        <is>
          <t>A 24071-2025</t>
        </is>
      </c>
      <c r="B68" s="1" t="n">
        <v>45796</v>
      </c>
      <c r="C68" s="1" t="n">
        <v>46194</v>
      </c>
      <c r="D68" t="inlineStr">
        <is>
          <t>ÖSTERGÖTLANDS LÄN</t>
        </is>
      </c>
      <c r="E68" t="inlineStr">
        <is>
          <t>KINDA</t>
        </is>
      </c>
      <c r="G68" t="n">
        <v>3.1</v>
      </c>
      <c r="H68" t="n">
        <v>0</v>
      </c>
      <c r="I68" t="n">
        <v>0</v>
      </c>
      <c r="J68" t="n">
        <v>0</v>
      </c>
      <c r="K68" t="n">
        <v>1</v>
      </c>
      <c r="L68" t="n">
        <v>0</v>
      </c>
      <c r="M68" t="n">
        <v>0</v>
      </c>
      <c r="N68" t="n">
        <v>0</v>
      </c>
      <c r="O68" t="n">
        <v>1</v>
      </c>
      <c r="P68" t="n">
        <v>1</v>
      </c>
      <c r="Q68" t="n">
        <v>1</v>
      </c>
      <c r="R68" s="2" t="inlineStr">
        <is>
          <t>Mörk ängsmaskros</t>
        </is>
      </c>
      <c r="S68">
        <f>HYPERLINK("https://klasma.github.io/Logging_0513/artfynd/A 24071-2025 artfynd.xlsx", "A 24071-2025")</f>
        <v/>
      </c>
      <c r="T68">
        <f>HYPERLINK("https://klasma.github.io/Logging_0513/kartor/A 24071-2025 karta.png", "A 24071-2025")</f>
        <v/>
      </c>
      <c r="V68">
        <f>HYPERLINK("https://klasma.github.io/Logging_0513/klagomål/A 24071-2025 FSC-klagomål.docx", "A 24071-2025")</f>
        <v/>
      </c>
      <c r="W68">
        <f>HYPERLINK("https://klasma.github.io/Logging_0513/klagomålsmail/A 24071-2025 FSC-klagomål mail.docx", "A 24071-2025")</f>
        <v/>
      </c>
      <c r="X68">
        <f>HYPERLINK("https://klasma.github.io/Logging_0513/tillsyn/A 24071-2025 tillsynsbegäran.docx", "A 24071-2025")</f>
        <v/>
      </c>
      <c r="Y68">
        <f>HYPERLINK("https://klasma.github.io/Logging_0513/tillsynsmail/A 24071-2025 tillsynsbegäran mail.docx", "A 24071-2025")</f>
        <v/>
      </c>
    </row>
    <row r="69" ht="15" customHeight="1">
      <c r="A69" t="inlineStr">
        <is>
          <t>A 27647-2026</t>
        </is>
      </c>
      <c r="B69" s="1" t="n">
        <v>46190</v>
      </c>
      <c r="C69" s="1" t="n">
        <v>46194</v>
      </c>
      <c r="D69" t="inlineStr">
        <is>
          <t>ÖSTERGÖTLANDS LÄN</t>
        </is>
      </c>
      <c r="E69" t="inlineStr">
        <is>
          <t>KINDA</t>
        </is>
      </c>
      <c r="G69" t="n">
        <v>2</v>
      </c>
      <c r="H69" t="n">
        <v>1</v>
      </c>
      <c r="I69" t="n">
        <v>0</v>
      </c>
      <c r="J69" t="n">
        <v>0</v>
      </c>
      <c r="K69" t="n">
        <v>0</v>
      </c>
      <c r="L69" t="n">
        <v>0</v>
      </c>
      <c r="M69" t="n">
        <v>0</v>
      </c>
      <c r="N69" t="n">
        <v>0</v>
      </c>
      <c r="O69" t="n">
        <v>0</v>
      </c>
      <c r="P69" t="n">
        <v>0</v>
      </c>
      <c r="Q69" t="n">
        <v>1</v>
      </c>
      <c r="R69" s="2" t="inlineStr">
        <is>
          <t>Orre</t>
        </is>
      </c>
      <c r="S69">
        <f>HYPERLINK("https://klasma.github.io/Logging_0513/artfynd/A 27647-2026 artfynd.xlsx", "A 27647-2026")</f>
        <v/>
      </c>
      <c r="T69">
        <f>HYPERLINK("https://klasma.github.io/Logging_0513/kartor/A 27647-2026 karta.png", "A 27647-2026")</f>
        <v/>
      </c>
      <c r="V69">
        <f>HYPERLINK("https://klasma.github.io/Logging_0513/klagomål/A 27647-2026 FSC-klagomål.docx", "A 27647-2026")</f>
        <v/>
      </c>
      <c r="W69">
        <f>HYPERLINK("https://klasma.github.io/Logging_0513/klagomålsmail/A 27647-2026 FSC-klagomål mail.docx", "A 27647-2026")</f>
        <v/>
      </c>
      <c r="X69">
        <f>HYPERLINK("https://klasma.github.io/Logging_0513/tillsyn/A 27647-2026 tillsynsbegäran.docx", "A 27647-2026")</f>
        <v/>
      </c>
      <c r="Y69">
        <f>HYPERLINK("https://klasma.github.io/Logging_0513/tillsynsmail/A 27647-2026 tillsynsbegäran mail.docx", "A 27647-2026")</f>
        <v/>
      </c>
      <c r="Z69">
        <f>HYPERLINK("https://klasma.github.io/Logging_0513/fåglar/A 27647-2026 prioriterade fågelarter.docx", "A 27647-2026")</f>
        <v/>
      </c>
    </row>
    <row r="70" ht="15" customHeight="1">
      <c r="A70" t="inlineStr">
        <is>
          <t>A 61779-2025</t>
        </is>
      </c>
      <c r="B70" s="1" t="n">
        <v>46002</v>
      </c>
      <c r="C70" s="1" t="n">
        <v>46194</v>
      </c>
      <c r="D70" t="inlineStr">
        <is>
          <t>ÖSTERGÖTLANDS LÄN</t>
        </is>
      </c>
      <c r="E70" t="inlineStr">
        <is>
          <t>KINDA</t>
        </is>
      </c>
      <c r="G70" t="n">
        <v>1.4</v>
      </c>
      <c r="H70" t="n">
        <v>0</v>
      </c>
      <c r="I70" t="n">
        <v>0</v>
      </c>
      <c r="J70" t="n">
        <v>1</v>
      </c>
      <c r="K70" t="n">
        <v>0</v>
      </c>
      <c r="L70" t="n">
        <v>0</v>
      </c>
      <c r="M70" t="n">
        <v>0</v>
      </c>
      <c r="N70" t="n">
        <v>0</v>
      </c>
      <c r="O70" t="n">
        <v>1</v>
      </c>
      <c r="P70" t="n">
        <v>0</v>
      </c>
      <c r="Q70" t="n">
        <v>1</v>
      </c>
      <c r="R70" s="2" t="inlineStr">
        <is>
          <t>Spretfibbla</t>
        </is>
      </c>
      <c r="S70">
        <f>HYPERLINK("https://klasma.github.io/Logging_0513/artfynd/A 61779-2025 artfynd.xlsx", "A 61779-2025")</f>
        <v/>
      </c>
      <c r="T70">
        <f>HYPERLINK("https://klasma.github.io/Logging_0513/kartor/A 61779-2025 karta.png", "A 61779-2025")</f>
        <v/>
      </c>
      <c r="V70">
        <f>HYPERLINK("https://klasma.github.io/Logging_0513/klagomål/A 61779-2025 FSC-klagomål.docx", "A 61779-2025")</f>
        <v/>
      </c>
      <c r="W70">
        <f>HYPERLINK("https://klasma.github.io/Logging_0513/klagomålsmail/A 61779-2025 FSC-klagomål mail.docx", "A 61779-2025")</f>
        <v/>
      </c>
      <c r="X70">
        <f>HYPERLINK("https://klasma.github.io/Logging_0513/tillsyn/A 61779-2025 tillsynsbegäran.docx", "A 61779-2025")</f>
        <v/>
      </c>
      <c r="Y70">
        <f>HYPERLINK("https://klasma.github.io/Logging_0513/tillsynsmail/A 61779-2025 tillsynsbegäran mail.docx", "A 61779-2025")</f>
        <v/>
      </c>
    </row>
    <row r="71" ht="15" customHeight="1">
      <c r="A71" t="inlineStr">
        <is>
          <t>A 61704-2025</t>
        </is>
      </c>
      <c r="B71" s="1" t="n">
        <v>46002</v>
      </c>
      <c r="C71" s="1" t="n">
        <v>46194</v>
      </c>
      <c r="D71" t="inlineStr">
        <is>
          <t>ÖSTERGÖTLANDS LÄN</t>
        </is>
      </c>
      <c r="E71" t="inlineStr">
        <is>
          <t>KINDA</t>
        </is>
      </c>
      <c r="G71" t="n">
        <v>2.3</v>
      </c>
      <c r="H71" t="n">
        <v>0</v>
      </c>
      <c r="I71" t="n">
        <v>0</v>
      </c>
      <c r="J71" t="n">
        <v>1</v>
      </c>
      <c r="K71" t="n">
        <v>0</v>
      </c>
      <c r="L71" t="n">
        <v>0</v>
      </c>
      <c r="M71" t="n">
        <v>0</v>
      </c>
      <c r="N71" t="n">
        <v>0</v>
      </c>
      <c r="O71" t="n">
        <v>1</v>
      </c>
      <c r="P71" t="n">
        <v>0</v>
      </c>
      <c r="Q71" t="n">
        <v>1</v>
      </c>
      <c r="R71" s="2" t="inlineStr">
        <is>
          <t>Sårläka</t>
        </is>
      </c>
      <c r="S71">
        <f>HYPERLINK("https://klasma.github.io/Logging_0513/artfynd/A 61704-2025 artfynd.xlsx", "A 61704-2025")</f>
        <v/>
      </c>
      <c r="T71">
        <f>HYPERLINK("https://klasma.github.io/Logging_0513/kartor/A 61704-2025 karta.png", "A 61704-2025")</f>
        <v/>
      </c>
      <c r="V71">
        <f>HYPERLINK("https://klasma.github.io/Logging_0513/klagomål/A 61704-2025 FSC-klagomål.docx", "A 61704-2025")</f>
        <v/>
      </c>
      <c r="W71">
        <f>HYPERLINK("https://klasma.github.io/Logging_0513/klagomålsmail/A 61704-2025 FSC-klagomål mail.docx", "A 61704-2025")</f>
        <v/>
      </c>
      <c r="X71">
        <f>HYPERLINK("https://klasma.github.io/Logging_0513/tillsyn/A 61704-2025 tillsynsbegäran.docx", "A 61704-2025")</f>
        <v/>
      </c>
      <c r="Y71">
        <f>HYPERLINK("https://klasma.github.io/Logging_0513/tillsynsmail/A 61704-2025 tillsynsbegäran mail.docx", "A 61704-2025")</f>
        <v/>
      </c>
    </row>
    <row r="72" ht="15" customHeight="1">
      <c r="A72" t="inlineStr">
        <is>
          <t>A 61705-2025</t>
        </is>
      </c>
      <c r="B72" s="1" t="n">
        <v>46002</v>
      </c>
      <c r="C72" s="1" t="n">
        <v>46194</v>
      </c>
      <c r="D72" t="inlineStr">
        <is>
          <t>ÖSTERGÖTLANDS LÄN</t>
        </is>
      </c>
      <c r="E72" t="inlineStr">
        <is>
          <t>KINDA</t>
        </is>
      </c>
      <c r="G72" t="n">
        <v>0.6</v>
      </c>
      <c r="H72" t="n">
        <v>0</v>
      </c>
      <c r="I72" t="n">
        <v>0</v>
      </c>
      <c r="J72" t="n">
        <v>1</v>
      </c>
      <c r="K72" t="n">
        <v>0</v>
      </c>
      <c r="L72" t="n">
        <v>0</v>
      </c>
      <c r="M72" t="n">
        <v>0</v>
      </c>
      <c r="N72" t="n">
        <v>0</v>
      </c>
      <c r="O72" t="n">
        <v>1</v>
      </c>
      <c r="P72" t="n">
        <v>0</v>
      </c>
      <c r="Q72" t="n">
        <v>1</v>
      </c>
      <c r="R72" s="2" t="inlineStr">
        <is>
          <t>Gullpudra</t>
        </is>
      </c>
      <c r="S72">
        <f>HYPERLINK("https://klasma.github.io/Logging_0513/artfynd/A 61705-2025 artfynd.xlsx", "A 61705-2025")</f>
        <v/>
      </c>
      <c r="T72">
        <f>HYPERLINK("https://klasma.github.io/Logging_0513/kartor/A 61705-2025 karta.png", "A 61705-2025")</f>
        <v/>
      </c>
      <c r="V72">
        <f>HYPERLINK("https://klasma.github.io/Logging_0513/klagomål/A 61705-2025 FSC-klagomål.docx", "A 61705-2025")</f>
        <v/>
      </c>
      <c r="W72">
        <f>HYPERLINK("https://klasma.github.io/Logging_0513/klagomålsmail/A 61705-2025 FSC-klagomål mail.docx", "A 61705-2025")</f>
        <v/>
      </c>
      <c r="X72">
        <f>HYPERLINK("https://klasma.github.io/Logging_0513/tillsyn/A 61705-2025 tillsynsbegäran.docx", "A 61705-2025")</f>
        <v/>
      </c>
      <c r="Y72">
        <f>HYPERLINK("https://klasma.github.io/Logging_0513/tillsynsmail/A 61705-2025 tillsynsbegäran mail.docx", "A 61705-2025")</f>
        <v/>
      </c>
    </row>
    <row r="73" ht="15" customHeight="1">
      <c r="A73" t="inlineStr">
        <is>
          <t>A 38015-2023</t>
        </is>
      </c>
      <c r="B73" s="1" t="n">
        <v>45160</v>
      </c>
      <c r="C73" s="1" t="n">
        <v>46194</v>
      </c>
      <c r="D73" t="inlineStr">
        <is>
          <t>ÖSTERGÖTLANDS LÄN</t>
        </is>
      </c>
      <c r="E73" t="inlineStr">
        <is>
          <t>KINDA</t>
        </is>
      </c>
      <c r="F73" t="inlineStr">
        <is>
          <t>Allmännings- och besparingsskogar</t>
        </is>
      </c>
      <c r="G73" t="n">
        <v>11.5</v>
      </c>
      <c r="H73" t="n">
        <v>0</v>
      </c>
      <c r="I73" t="n">
        <v>0</v>
      </c>
      <c r="J73" t="n">
        <v>1</v>
      </c>
      <c r="K73" t="n">
        <v>0</v>
      </c>
      <c r="L73" t="n">
        <v>0</v>
      </c>
      <c r="M73" t="n">
        <v>0</v>
      </c>
      <c r="N73" t="n">
        <v>0</v>
      </c>
      <c r="O73" t="n">
        <v>1</v>
      </c>
      <c r="P73" t="n">
        <v>0</v>
      </c>
      <c r="Q73" t="n">
        <v>1</v>
      </c>
      <c r="R73" s="2" t="inlineStr">
        <is>
          <t>Spindelörtskinnbagge</t>
        </is>
      </c>
      <c r="S73">
        <f>HYPERLINK("https://klasma.github.io/Logging_0513/artfynd/A 38015-2023 artfynd.xlsx", "A 38015-2023")</f>
        <v/>
      </c>
      <c r="T73">
        <f>HYPERLINK("https://klasma.github.io/Logging_0513/kartor/A 38015-2023 karta.png", "A 38015-2023")</f>
        <v/>
      </c>
      <c r="V73">
        <f>HYPERLINK("https://klasma.github.io/Logging_0513/klagomål/A 38015-2023 FSC-klagomål.docx", "A 38015-2023")</f>
        <v/>
      </c>
      <c r="W73">
        <f>HYPERLINK("https://klasma.github.io/Logging_0513/klagomålsmail/A 38015-2023 FSC-klagomål mail.docx", "A 38015-2023")</f>
        <v/>
      </c>
      <c r="X73">
        <f>HYPERLINK("https://klasma.github.io/Logging_0513/tillsyn/A 38015-2023 tillsynsbegäran.docx", "A 38015-2023")</f>
        <v/>
      </c>
      <c r="Y73">
        <f>HYPERLINK("https://klasma.github.io/Logging_0513/tillsynsmail/A 38015-2023 tillsynsbegäran mail.docx", "A 38015-2023")</f>
        <v/>
      </c>
    </row>
    <row r="74" ht="15" customHeight="1">
      <c r="A74" t="inlineStr">
        <is>
          <t>A 23897-2023</t>
        </is>
      </c>
      <c r="B74" s="1" t="n">
        <v>45078</v>
      </c>
      <c r="C74" s="1" t="n">
        <v>46194</v>
      </c>
      <c r="D74" t="inlineStr">
        <is>
          <t>ÖSTERGÖTLANDS LÄN</t>
        </is>
      </c>
      <c r="E74" t="inlineStr">
        <is>
          <t>KINDA</t>
        </is>
      </c>
      <c r="F74" t="inlineStr">
        <is>
          <t>Sveaskog</t>
        </is>
      </c>
      <c r="G74" t="n">
        <v>1.2</v>
      </c>
      <c r="H74" t="n">
        <v>0</v>
      </c>
      <c r="I74" t="n">
        <v>0</v>
      </c>
      <c r="J74" t="n">
        <v>1</v>
      </c>
      <c r="K74" t="n">
        <v>0</v>
      </c>
      <c r="L74" t="n">
        <v>0</v>
      </c>
      <c r="M74" t="n">
        <v>0</v>
      </c>
      <c r="N74" t="n">
        <v>0</v>
      </c>
      <c r="O74" t="n">
        <v>1</v>
      </c>
      <c r="P74" t="n">
        <v>0</v>
      </c>
      <c r="Q74" t="n">
        <v>1</v>
      </c>
      <c r="R74" s="2" t="inlineStr">
        <is>
          <t>Slåtterfibbla</t>
        </is>
      </c>
      <c r="S74">
        <f>HYPERLINK("https://klasma.github.io/Logging_0513/artfynd/A 23897-2023 artfynd.xlsx", "A 23897-2023")</f>
        <v/>
      </c>
      <c r="T74">
        <f>HYPERLINK("https://klasma.github.io/Logging_0513/kartor/A 23897-2023 karta.png", "A 23897-2023")</f>
        <v/>
      </c>
      <c r="V74">
        <f>HYPERLINK("https://klasma.github.io/Logging_0513/klagomål/A 23897-2023 FSC-klagomål.docx", "A 23897-2023")</f>
        <v/>
      </c>
      <c r="W74">
        <f>HYPERLINK("https://klasma.github.io/Logging_0513/klagomålsmail/A 23897-2023 FSC-klagomål mail.docx", "A 23897-2023")</f>
        <v/>
      </c>
      <c r="X74">
        <f>HYPERLINK("https://klasma.github.io/Logging_0513/tillsyn/A 23897-2023 tillsynsbegäran.docx", "A 23897-2023")</f>
        <v/>
      </c>
      <c r="Y74">
        <f>HYPERLINK("https://klasma.github.io/Logging_0513/tillsynsmail/A 23897-2023 tillsynsbegäran mail.docx", "A 23897-2023")</f>
        <v/>
      </c>
    </row>
    <row r="75" ht="15" customHeight="1">
      <c r="A75" t="inlineStr">
        <is>
          <t>A 33003-2024</t>
        </is>
      </c>
      <c r="B75" s="1" t="n">
        <v>45517</v>
      </c>
      <c r="C75" s="1" t="n">
        <v>46194</v>
      </c>
      <c r="D75" t="inlineStr">
        <is>
          <t>ÖSTERGÖTLANDS LÄN</t>
        </is>
      </c>
      <c r="E75" t="inlineStr">
        <is>
          <t>KINDA</t>
        </is>
      </c>
      <c r="G75" t="n">
        <v>2.4</v>
      </c>
      <c r="H75" t="n">
        <v>1</v>
      </c>
      <c r="I75" t="n">
        <v>0</v>
      </c>
      <c r="J75" t="n">
        <v>0</v>
      </c>
      <c r="K75" t="n">
        <v>0</v>
      </c>
      <c r="L75" t="n">
        <v>0</v>
      </c>
      <c r="M75" t="n">
        <v>0</v>
      </c>
      <c r="N75" t="n">
        <v>0</v>
      </c>
      <c r="O75" t="n">
        <v>0</v>
      </c>
      <c r="P75" t="n">
        <v>0</v>
      </c>
      <c r="Q75" t="n">
        <v>1</v>
      </c>
      <c r="R75" s="2" t="inlineStr">
        <is>
          <t>Sävsparv</t>
        </is>
      </c>
      <c r="S75">
        <f>HYPERLINK("https://klasma.github.io/Logging_0513/artfynd/A 33003-2024 artfynd.xlsx", "A 33003-2024")</f>
        <v/>
      </c>
      <c r="T75">
        <f>HYPERLINK("https://klasma.github.io/Logging_0513/kartor/A 33003-2024 karta.png", "A 33003-2024")</f>
        <v/>
      </c>
      <c r="V75">
        <f>HYPERLINK("https://klasma.github.io/Logging_0513/klagomål/A 33003-2024 FSC-klagomål.docx", "A 33003-2024")</f>
        <v/>
      </c>
      <c r="W75">
        <f>HYPERLINK("https://klasma.github.io/Logging_0513/klagomålsmail/A 33003-2024 FSC-klagomål mail.docx", "A 33003-2024")</f>
        <v/>
      </c>
      <c r="X75">
        <f>HYPERLINK("https://klasma.github.io/Logging_0513/tillsyn/A 33003-2024 tillsynsbegäran.docx", "A 33003-2024")</f>
        <v/>
      </c>
      <c r="Y75">
        <f>HYPERLINK("https://klasma.github.io/Logging_0513/tillsynsmail/A 33003-2024 tillsynsbegäran mail.docx", "A 33003-2024")</f>
        <v/>
      </c>
      <c r="Z75">
        <f>HYPERLINK("https://klasma.github.io/Logging_0513/fåglar/A 33003-2024 prioriterade fågelarter.docx", "A 33003-2024")</f>
        <v/>
      </c>
    </row>
    <row r="76" ht="15" customHeight="1">
      <c r="A76" t="inlineStr">
        <is>
          <t>A 7801-2022</t>
        </is>
      </c>
      <c r="B76" s="1" t="n">
        <v>44608</v>
      </c>
      <c r="C76" s="1" t="n">
        <v>46194</v>
      </c>
      <c r="D76" t="inlineStr">
        <is>
          <t>ÖSTERGÖTLANDS LÄN</t>
        </is>
      </c>
      <c r="E76" t="inlineStr">
        <is>
          <t>KINDA</t>
        </is>
      </c>
      <c r="F76" t="inlineStr">
        <is>
          <t>Sveaskog</t>
        </is>
      </c>
      <c r="G76" t="n">
        <v>11.4</v>
      </c>
      <c r="H76" t="n">
        <v>0</v>
      </c>
      <c r="I76" t="n">
        <v>0</v>
      </c>
      <c r="J76" t="n">
        <v>0</v>
      </c>
      <c r="K76" t="n">
        <v>0</v>
      </c>
      <c r="L76" t="n">
        <v>1</v>
      </c>
      <c r="M76" t="n">
        <v>0</v>
      </c>
      <c r="N76" t="n">
        <v>0</v>
      </c>
      <c r="O76" t="n">
        <v>1</v>
      </c>
      <c r="P76" t="n">
        <v>1</v>
      </c>
      <c r="Q76" t="n">
        <v>1</v>
      </c>
      <c r="R76" s="2" t="inlineStr">
        <is>
          <t>Ask</t>
        </is>
      </c>
      <c r="S76">
        <f>HYPERLINK("https://klasma.github.io/Logging_0513/artfynd/A 7801-2022 artfynd.xlsx", "A 7801-2022")</f>
        <v/>
      </c>
      <c r="T76">
        <f>HYPERLINK("https://klasma.github.io/Logging_0513/kartor/A 7801-2022 karta.png", "A 7801-2022")</f>
        <v/>
      </c>
      <c r="V76">
        <f>HYPERLINK("https://klasma.github.io/Logging_0513/klagomål/A 7801-2022 FSC-klagomål.docx", "A 7801-2022")</f>
        <v/>
      </c>
      <c r="W76">
        <f>HYPERLINK("https://klasma.github.io/Logging_0513/klagomålsmail/A 7801-2022 FSC-klagomål mail.docx", "A 7801-2022")</f>
        <v/>
      </c>
      <c r="X76">
        <f>HYPERLINK("https://klasma.github.io/Logging_0513/tillsyn/A 7801-2022 tillsynsbegäran.docx", "A 7801-2022")</f>
        <v/>
      </c>
      <c r="Y76">
        <f>HYPERLINK("https://klasma.github.io/Logging_0513/tillsynsmail/A 7801-2022 tillsynsbegäran mail.docx", "A 7801-2022")</f>
        <v/>
      </c>
    </row>
    <row r="77" ht="15" customHeight="1">
      <c r="A77" t="inlineStr">
        <is>
          <t>A 46145-2023</t>
        </is>
      </c>
      <c r="B77" s="1" t="n">
        <v>45196</v>
      </c>
      <c r="C77" s="1" t="n">
        <v>46194</v>
      </c>
      <c r="D77" t="inlineStr">
        <is>
          <t>ÖSTERGÖTLANDS LÄN</t>
        </is>
      </c>
      <c r="E77" t="inlineStr">
        <is>
          <t>KINDA</t>
        </is>
      </c>
      <c r="G77" t="n">
        <v>4.2</v>
      </c>
      <c r="H77" t="n">
        <v>0</v>
      </c>
      <c r="I77" t="n">
        <v>1</v>
      </c>
      <c r="J77" t="n">
        <v>0</v>
      </c>
      <c r="K77" t="n">
        <v>0</v>
      </c>
      <c r="L77" t="n">
        <v>0</v>
      </c>
      <c r="M77" t="n">
        <v>0</v>
      </c>
      <c r="N77" t="n">
        <v>0</v>
      </c>
      <c r="O77" t="n">
        <v>0</v>
      </c>
      <c r="P77" t="n">
        <v>0</v>
      </c>
      <c r="Q77" t="n">
        <v>1</v>
      </c>
      <c r="R77" s="2" t="inlineStr">
        <is>
          <t>Svart trolldruva</t>
        </is>
      </c>
      <c r="S77">
        <f>HYPERLINK("https://klasma.github.io/Logging_0513/artfynd/A 46145-2023 artfynd.xlsx", "A 46145-2023")</f>
        <v/>
      </c>
      <c r="T77">
        <f>HYPERLINK("https://klasma.github.io/Logging_0513/kartor/A 46145-2023 karta.png", "A 46145-2023")</f>
        <v/>
      </c>
      <c r="V77">
        <f>HYPERLINK("https://klasma.github.io/Logging_0513/klagomål/A 46145-2023 FSC-klagomål.docx", "A 46145-2023")</f>
        <v/>
      </c>
      <c r="W77">
        <f>HYPERLINK("https://klasma.github.io/Logging_0513/klagomålsmail/A 46145-2023 FSC-klagomål mail.docx", "A 46145-2023")</f>
        <v/>
      </c>
      <c r="X77">
        <f>HYPERLINK("https://klasma.github.io/Logging_0513/tillsyn/A 46145-2023 tillsynsbegäran.docx", "A 46145-2023")</f>
        <v/>
      </c>
      <c r="Y77">
        <f>HYPERLINK("https://klasma.github.io/Logging_0513/tillsynsmail/A 46145-2023 tillsynsbegäran mail.docx", "A 46145-2023")</f>
        <v/>
      </c>
    </row>
    <row r="78" ht="15" customHeight="1">
      <c r="A78" t="inlineStr">
        <is>
          <t>A 3752-2026</t>
        </is>
      </c>
      <c r="B78" s="1" t="n">
        <v>46043</v>
      </c>
      <c r="C78" s="1" t="n">
        <v>46194</v>
      </c>
      <c r="D78" t="inlineStr">
        <is>
          <t>ÖSTERGÖTLANDS LÄN</t>
        </is>
      </c>
      <c r="E78" t="inlineStr">
        <is>
          <t>KINDA</t>
        </is>
      </c>
      <c r="G78" t="n">
        <v>1.1</v>
      </c>
      <c r="H78" t="n">
        <v>0</v>
      </c>
      <c r="I78" t="n">
        <v>1</v>
      </c>
      <c r="J78" t="n">
        <v>0</v>
      </c>
      <c r="K78" t="n">
        <v>0</v>
      </c>
      <c r="L78" t="n">
        <v>0</v>
      </c>
      <c r="M78" t="n">
        <v>0</v>
      </c>
      <c r="N78" t="n">
        <v>0</v>
      </c>
      <c r="O78" t="n">
        <v>0</v>
      </c>
      <c r="P78" t="n">
        <v>0</v>
      </c>
      <c r="Q78" t="n">
        <v>1</v>
      </c>
      <c r="R78" s="2" t="inlineStr">
        <is>
          <t>Stubbspretmossa</t>
        </is>
      </c>
      <c r="S78">
        <f>HYPERLINK("https://klasma.github.io/Logging_0513/artfynd/A 3752-2026 artfynd.xlsx", "A 3752-2026")</f>
        <v/>
      </c>
      <c r="T78">
        <f>HYPERLINK("https://klasma.github.io/Logging_0513/kartor/A 3752-2026 karta.png", "A 3752-2026")</f>
        <v/>
      </c>
      <c r="V78">
        <f>HYPERLINK("https://klasma.github.io/Logging_0513/klagomål/A 3752-2026 FSC-klagomål.docx", "A 3752-2026")</f>
        <v/>
      </c>
      <c r="W78">
        <f>HYPERLINK("https://klasma.github.io/Logging_0513/klagomålsmail/A 3752-2026 FSC-klagomål mail.docx", "A 3752-2026")</f>
        <v/>
      </c>
      <c r="X78">
        <f>HYPERLINK("https://klasma.github.io/Logging_0513/tillsyn/A 3752-2026 tillsynsbegäran.docx", "A 3752-2026")</f>
        <v/>
      </c>
      <c r="Y78">
        <f>HYPERLINK("https://klasma.github.io/Logging_0513/tillsynsmail/A 3752-2026 tillsynsbegäran mail.docx", "A 3752-2026")</f>
        <v/>
      </c>
    </row>
    <row r="79" ht="15" customHeight="1">
      <c r="A79" t="inlineStr">
        <is>
          <t>A 1739-2024</t>
        </is>
      </c>
      <c r="B79" s="1" t="n">
        <v>45307</v>
      </c>
      <c r="C79" s="1" t="n">
        <v>46194</v>
      </c>
      <c r="D79" t="inlineStr">
        <is>
          <t>ÖSTERGÖTLANDS LÄN</t>
        </is>
      </c>
      <c r="E79" t="inlineStr">
        <is>
          <t>KINDA</t>
        </is>
      </c>
      <c r="G79" t="n">
        <v>0.7</v>
      </c>
      <c r="H79" t="n">
        <v>0</v>
      </c>
      <c r="I79" t="n">
        <v>0</v>
      </c>
      <c r="J79" t="n">
        <v>1</v>
      </c>
      <c r="K79" t="n">
        <v>0</v>
      </c>
      <c r="L79" t="n">
        <v>0</v>
      </c>
      <c r="M79" t="n">
        <v>0</v>
      </c>
      <c r="N79" t="n">
        <v>0</v>
      </c>
      <c r="O79" t="n">
        <v>1</v>
      </c>
      <c r="P79" t="n">
        <v>0</v>
      </c>
      <c r="Q79" t="n">
        <v>1</v>
      </c>
      <c r="R79" s="2" t="inlineStr">
        <is>
          <t>Skogsklocka</t>
        </is>
      </c>
      <c r="S79">
        <f>HYPERLINK("https://klasma.github.io/Logging_0513/artfynd/A 1739-2024 artfynd.xlsx", "A 1739-2024")</f>
        <v/>
      </c>
      <c r="T79">
        <f>HYPERLINK("https://klasma.github.io/Logging_0513/kartor/A 1739-2024 karta.png", "A 1739-2024")</f>
        <v/>
      </c>
      <c r="V79">
        <f>HYPERLINK("https://klasma.github.io/Logging_0513/klagomål/A 1739-2024 FSC-klagomål.docx", "A 1739-2024")</f>
        <v/>
      </c>
      <c r="W79">
        <f>HYPERLINK("https://klasma.github.io/Logging_0513/klagomålsmail/A 1739-2024 FSC-klagomål mail.docx", "A 1739-2024")</f>
        <v/>
      </c>
      <c r="X79">
        <f>HYPERLINK("https://klasma.github.io/Logging_0513/tillsyn/A 1739-2024 tillsynsbegäran.docx", "A 1739-2024")</f>
        <v/>
      </c>
      <c r="Y79">
        <f>HYPERLINK("https://klasma.github.io/Logging_0513/tillsynsmail/A 1739-2024 tillsynsbegäran mail.docx", "A 1739-2024")</f>
        <v/>
      </c>
    </row>
    <row r="80" ht="15" customHeight="1">
      <c r="A80" t="inlineStr">
        <is>
          <t>A 46757-2022</t>
        </is>
      </c>
      <c r="B80" s="1" t="n">
        <v>44851</v>
      </c>
      <c r="C80" s="1" t="n">
        <v>46194</v>
      </c>
      <c r="D80" t="inlineStr">
        <is>
          <t>ÖSTERGÖTLANDS LÄN</t>
        </is>
      </c>
      <c r="E80" t="inlineStr">
        <is>
          <t>KINDA</t>
        </is>
      </c>
      <c r="G80" t="n">
        <v>1.8</v>
      </c>
      <c r="H80" t="n">
        <v>0</v>
      </c>
      <c r="I80" t="n">
        <v>0</v>
      </c>
      <c r="J80" t="n">
        <v>1</v>
      </c>
      <c r="K80" t="n">
        <v>0</v>
      </c>
      <c r="L80" t="n">
        <v>0</v>
      </c>
      <c r="M80" t="n">
        <v>0</v>
      </c>
      <c r="N80" t="n">
        <v>0</v>
      </c>
      <c r="O80" t="n">
        <v>1</v>
      </c>
      <c r="P80" t="n">
        <v>0</v>
      </c>
      <c r="Q80" t="n">
        <v>1</v>
      </c>
      <c r="R80" s="2" t="inlineStr">
        <is>
          <t>Svedjenäva</t>
        </is>
      </c>
      <c r="S80">
        <f>HYPERLINK("https://klasma.github.io/Logging_0513/artfynd/A 46757-2022 artfynd.xlsx", "A 46757-2022")</f>
        <v/>
      </c>
      <c r="T80">
        <f>HYPERLINK("https://klasma.github.io/Logging_0513/kartor/A 46757-2022 karta.png", "A 46757-2022")</f>
        <v/>
      </c>
      <c r="V80">
        <f>HYPERLINK("https://klasma.github.io/Logging_0513/klagomål/A 46757-2022 FSC-klagomål.docx", "A 46757-2022")</f>
        <v/>
      </c>
      <c r="W80">
        <f>HYPERLINK("https://klasma.github.io/Logging_0513/klagomålsmail/A 46757-2022 FSC-klagomål mail.docx", "A 46757-2022")</f>
        <v/>
      </c>
      <c r="X80">
        <f>HYPERLINK("https://klasma.github.io/Logging_0513/tillsyn/A 46757-2022 tillsynsbegäran.docx", "A 46757-2022")</f>
        <v/>
      </c>
      <c r="Y80">
        <f>HYPERLINK("https://klasma.github.io/Logging_0513/tillsynsmail/A 46757-2022 tillsynsbegäran mail.docx", "A 46757-2022")</f>
        <v/>
      </c>
    </row>
    <row r="81" ht="15" customHeight="1">
      <c r="A81" t="inlineStr">
        <is>
          <t>A 67789-2021</t>
        </is>
      </c>
      <c r="B81" s="1" t="n">
        <v>44525</v>
      </c>
      <c r="C81" s="1" t="n">
        <v>46194</v>
      </c>
      <c r="D81" t="inlineStr">
        <is>
          <t>ÖSTERGÖTLANDS LÄN</t>
        </is>
      </c>
      <c r="E81" t="inlineStr">
        <is>
          <t>KINDA</t>
        </is>
      </c>
      <c r="G81" t="n">
        <v>19.4</v>
      </c>
      <c r="H81" t="n">
        <v>1</v>
      </c>
      <c r="I81" t="n">
        <v>0</v>
      </c>
      <c r="J81" t="n">
        <v>0</v>
      </c>
      <c r="K81" t="n">
        <v>0</v>
      </c>
      <c r="L81" t="n">
        <v>0</v>
      </c>
      <c r="M81" t="n">
        <v>0</v>
      </c>
      <c r="N81" t="n">
        <v>0</v>
      </c>
      <c r="O81" t="n">
        <v>0</v>
      </c>
      <c r="P81" t="n">
        <v>0</v>
      </c>
      <c r="Q81" t="n">
        <v>1</v>
      </c>
      <c r="R81" s="2" t="inlineStr">
        <is>
          <t>Havsörn</t>
        </is>
      </c>
      <c r="S81">
        <f>HYPERLINK("https://klasma.github.io/Logging_0513/artfynd/A 67789-2021 artfynd.xlsx", "A 67789-2021")</f>
        <v/>
      </c>
      <c r="T81">
        <f>HYPERLINK("https://klasma.github.io/Logging_0513/kartor/A 67789-2021 karta.png", "A 67789-2021")</f>
        <v/>
      </c>
      <c r="V81">
        <f>HYPERLINK("https://klasma.github.io/Logging_0513/klagomål/A 67789-2021 FSC-klagomål.docx", "A 67789-2021")</f>
        <v/>
      </c>
      <c r="W81">
        <f>HYPERLINK("https://klasma.github.io/Logging_0513/klagomålsmail/A 67789-2021 FSC-klagomål mail.docx", "A 67789-2021")</f>
        <v/>
      </c>
      <c r="X81">
        <f>HYPERLINK("https://klasma.github.io/Logging_0513/tillsyn/A 67789-2021 tillsynsbegäran.docx", "A 67789-2021")</f>
        <v/>
      </c>
      <c r="Y81">
        <f>HYPERLINK("https://klasma.github.io/Logging_0513/tillsynsmail/A 67789-2021 tillsynsbegäran mail.docx", "A 67789-2021")</f>
        <v/>
      </c>
      <c r="Z81">
        <f>HYPERLINK("https://klasma.github.io/Logging_0513/fåglar/A 67789-2021 prioriterade fågelarter.docx", "A 67789-2021")</f>
        <v/>
      </c>
    </row>
    <row r="82" ht="15" customHeight="1">
      <c r="A82" t="inlineStr">
        <is>
          <t>A 35789-2022</t>
        </is>
      </c>
      <c r="B82" s="1" t="n">
        <v>44801</v>
      </c>
      <c r="C82" s="1" t="n">
        <v>46194</v>
      </c>
      <c r="D82" t="inlineStr">
        <is>
          <t>ÖSTERGÖTLANDS LÄN</t>
        </is>
      </c>
      <c r="E82" t="inlineStr">
        <is>
          <t>KINDA</t>
        </is>
      </c>
      <c r="G82" t="n">
        <v>2.2</v>
      </c>
      <c r="H82" t="n">
        <v>0</v>
      </c>
      <c r="I82" t="n">
        <v>1</v>
      </c>
      <c r="J82" t="n">
        <v>0</v>
      </c>
      <c r="K82" t="n">
        <v>0</v>
      </c>
      <c r="L82" t="n">
        <v>0</v>
      </c>
      <c r="M82" t="n">
        <v>0</v>
      </c>
      <c r="N82" t="n">
        <v>0</v>
      </c>
      <c r="O82" t="n">
        <v>0</v>
      </c>
      <c r="P82" t="n">
        <v>0</v>
      </c>
      <c r="Q82" t="n">
        <v>1</v>
      </c>
      <c r="R82" s="2" t="inlineStr">
        <is>
          <t>Tibast</t>
        </is>
      </c>
      <c r="S82">
        <f>HYPERLINK("https://klasma.github.io/Logging_0513/artfynd/A 35789-2022 artfynd.xlsx", "A 35789-2022")</f>
        <v/>
      </c>
      <c r="T82">
        <f>HYPERLINK("https://klasma.github.io/Logging_0513/kartor/A 35789-2022 karta.png", "A 35789-2022")</f>
        <v/>
      </c>
      <c r="V82">
        <f>HYPERLINK("https://klasma.github.io/Logging_0513/klagomål/A 35789-2022 FSC-klagomål.docx", "A 35789-2022")</f>
        <v/>
      </c>
      <c r="W82">
        <f>HYPERLINK("https://klasma.github.io/Logging_0513/klagomålsmail/A 35789-2022 FSC-klagomål mail.docx", "A 35789-2022")</f>
        <v/>
      </c>
      <c r="X82">
        <f>HYPERLINK("https://klasma.github.io/Logging_0513/tillsyn/A 35789-2022 tillsynsbegäran.docx", "A 35789-2022")</f>
        <v/>
      </c>
      <c r="Y82">
        <f>HYPERLINK("https://klasma.github.io/Logging_0513/tillsynsmail/A 35789-2022 tillsynsbegäran mail.docx", "A 35789-2022")</f>
        <v/>
      </c>
    </row>
    <row r="83" ht="15" customHeight="1">
      <c r="A83" t="inlineStr">
        <is>
          <t>A 25016-2026</t>
        </is>
      </c>
      <c r="B83" s="1" t="n">
        <v>46174</v>
      </c>
      <c r="C83" s="1" t="n">
        <v>46194</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24989-2026</t>
        </is>
      </c>
      <c r="B84" s="1" t="n">
        <v>46174</v>
      </c>
      <c r="C84" s="1" t="n">
        <v>46194</v>
      </c>
      <c r="D84" t="inlineStr">
        <is>
          <t>ÖSTERGÖTLANDS LÄN</t>
        </is>
      </c>
      <c r="E84" t="inlineStr">
        <is>
          <t>KINDA</t>
        </is>
      </c>
      <c r="F84" t="inlineStr">
        <is>
          <t>Övriga Aktiebolag</t>
        </is>
      </c>
      <c r="G84" t="n">
        <v>7.8</v>
      </c>
      <c r="H84" t="n">
        <v>1</v>
      </c>
      <c r="I84" t="n">
        <v>0</v>
      </c>
      <c r="J84" t="n">
        <v>0</v>
      </c>
      <c r="K84" t="n">
        <v>0</v>
      </c>
      <c r="L84" t="n">
        <v>0</v>
      </c>
      <c r="M84" t="n">
        <v>0</v>
      </c>
      <c r="N84" t="n">
        <v>0</v>
      </c>
      <c r="O84" t="n">
        <v>0</v>
      </c>
      <c r="P84" t="n">
        <v>0</v>
      </c>
      <c r="Q84" t="n">
        <v>1</v>
      </c>
      <c r="R84" s="2" t="inlineStr">
        <is>
          <t>Grönvit nattviol</t>
        </is>
      </c>
      <c r="S84">
        <f>HYPERLINK("https://klasma.github.io/Logging_0513/artfynd/A 24989-2026 artfynd.xlsx", "A 24989-2026")</f>
        <v/>
      </c>
      <c r="T84">
        <f>HYPERLINK("https://klasma.github.io/Logging_0513/kartor/A 24989-2026 karta.png", "A 24989-2026")</f>
        <v/>
      </c>
      <c r="V84">
        <f>HYPERLINK("https://klasma.github.io/Logging_0513/klagomål/A 24989-2026 FSC-klagomål.docx", "A 24989-2026")</f>
        <v/>
      </c>
      <c r="W84">
        <f>HYPERLINK("https://klasma.github.io/Logging_0513/klagomålsmail/A 24989-2026 FSC-klagomål mail.docx", "A 24989-2026")</f>
        <v/>
      </c>
      <c r="X84">
        <f>HYPERLINK("https://klasma.github.io/Logging_0513/tillsyn/A 24989-2026 tillsynsbegäran.docx", "A 24989-2026")</f>
        <v/>
      </c>
      <c r="Y84">
        <f>HYPERLINK("https://klasma.github.io/Logging_0513/tillsynsmail/A 24989-2026 tillsynsbegäran mail.docx", "A 24989-2026")</f>
        <v/>
      </c>
    </row>
    <row r="85" ht="15" customHeight="1">
      <c r="A85" t="inlineStr">
        <is>
          <t>A 25186-2026</t>
        </is>
      </c>
      <c r="B85" s="1" t="n">
        <v>46175</v>
      </c>
      <c r="C85" s="1" t="n">
        <v>46194</v>
      </c>
      <c r="D85" t="inlineStr">
        <is>
          <t>ÖSTERGÖTLANDS LÄN</t>
        </is>
      </c>
      <c r="E85" t="inlineStr">
        <is>
          <t>KINDA</t>
        </is>
      </c>
      <c r="G85" t="n">
        <v>6</v>
      </c>
      <c r="H85" t="n">
        <v>1</v>
      </c>
      <c r="I85" t="n">
        <v>0</v>
      </c>
      <c r="J85" t="n">
        <v>0</v>
      </c>
      <c r="K85" t="n">
        <v>0</v>
      </c>
      <c r="L85" t="n">
        <v>0</v>
      </c>
      <c r="M85" t="n">
        <v>0</v>
      </c>
      <c r="N85" t="n">
        <v>0</v>
      </c>
      <c r="O85" t="n">
        <v>0</v>
      </c>
      <c r="P85" t="n">
        <v>0</v>
      </c>
      <c r="Q85" t="n">
        <v>1</v>
      </c>
      <c r="R85" s="2" t="inlineStr">
        <is>
          <t>Fläcknycklar</t>
        </is>
      </c>
      <c r="S85">
        <f>HYPERLINK("https://klasma.github.io/Logging_0513/artfynd/A 25186-2026 artfynd.xlsx", "A 25186-2026")</f>
        <v/>
      </c>
      <c r="T85">
        <f>HYPERLINK("https://klasma.github.io/Logging_0513/kartor/A 25186-2026 karta.png", "A 25186-2026")</f>
        <v/>
      </c>
      <c r="V85">
        <f>HYPERLINK("https://klasma.github.io/Logging_0513/klagomål/A 25186-2026 FSC-klagomål.docx", "A 25186-2026")</f>
        <v/>
      </c>
      <c r="W85">
        <f>HYPERLINK("https://klasma.github.io/Logging_0513/klagomålsmail/A 25186-2026 FSC-klagomål mail.docx", "A 25186-2026")</f>
        <v/>
      </c>
      <c r="X85">
        <f>HYPERLINK("https://klasma.github.io/Logging_0513/tillsyn/A 25186-2026 tillsynsbegäran.docx", "A 25186-2026")</f>
        <v/>
      </c>
      <c r="Y85">
        <f>HYPERLINK("https://klasma.github.io/Logging_0513/tillsynsmail/A 25186-2026 tillsynsbegäran mail.docx", "A 25186-2026")</f>
        <v/>
      </c>
    </row>
    <row r="86" ht="15" customHeight="1">
      <c r="A86" t="inlineStr">
        <is>
          <t>A 35863-2025</t>
        </is>
      </c>
      <c r="B86" s="1" t="n">
        <v>45861</v>
      </c>
      <c r="C86" s="1" t="n">
        <v>46194</v>
      </c>
      <c r="D86" t="inlineStr">
        <is>
          <t>ÖSTERGÖTLANDS LÄN</t>
        </is>
      </c>
      <c r="E86" t="inlineStr">
        <is>
          <t>KINDA</t>
        </is>
      </c>
      <c r="G86" t="n">
        <v>2.8</v>
      </c>
      <c r="H86" t="n">
        <v>0</v>
      </c>
      <c r="I86" t="n">
        <v>1</v>
      </c>
      <c r="J86" t="n">
        <v>0</v>
      </c>
      <c r="K86" t="n">
        <v>0</v>
      </c>
      <c r="L86" t="n">
        <v>0</v>
      </c>
      <c r="M86" t="n">
        <v>0</v>
      </c>
      <c r="N86" t="n">
        <v>0</v>
      </c>
      <c r="O86" t="n">
        <v>0</v>
      </c>
      <c r="P86" t="n">
        <v>0</v>
      </c>
      <c r="Q86" t="n">
        <v>1</v>
      </c>
      <c r="R86" s="2" t="inlineStr">
        <is>
          <t>Tibast</t>
        </is>
      </c>
      <c r="S86">
        <f>HYPERLINK("https://klasma.github.io/Logging_0513/artfynd/A 35863-2025 artfynd.xlsx", "A 35863-2025")</f>
        <v/>
      </c>
      <c r="T86">
        <f>HYPERLINK("https://klasma.github.io/Logging_0513/kartor/A 35863-2025 karta.png", "A 35863-2025")</f>
        <v/>
      </c>
      <c r="V86">
        <f>HYPERLINK("https://klasma.github.io/Logging_0513/klagomål/A 35863-2025 FSC-klagomål.docx", "A 35863-2025")</f>
        <v/>
      </c>
      <c r="W86">
        <f>HYPERLINK("https://klasma.github.io/Logging_0513/klagomålsmail/A 35863-2025 FSC-klagomål mail.docx", "A 35863-2025")</f>
        <v/>
      </c>
      <c r="X86">
        <f>HYPERLINK("https://klasma.github.io/Logging_0513/tillsyn/A 35863-2025 tillsynsbegäran.docx", "A 35863-2025")</f>
        <v/>
      </c>
      <c r="Y86">
        <f>HYPERLINK("https://klasma.github.io/Logging_0513/tillsynsmail/A 35863-2025 tillsynsbegäran mail.docx", "A 35863-2025")</f>
        <v/>
      </c>
    </row>
    <row r="87" ht="15" customHeight="1">
      <c r="A87" t="inlineStr">
        <is>
          <t>A 25414-2026</t>
        </is>
      </c>
      <c r="B87" s="1" t="n">
        <v>46176</v>
      </c>
      <c r="C87" s="1" t="n">
        <v>46194</v>
      </c>
      <c r="D87" t="inlineStr">
        <is>
          <t>ÖSTERGÖTLANDS LÄN</t>
        </is>
      </c>
      <c r="E87" t="inlineStr">
        <is>
          <t>KINDA</t>
        </is>
      </c>
      <c r="G87" t="n">
        <v>6.2</v>
      </c>
      <c r="H87" t="n">
        <v>1</v>
      </c>
      <c r="I87" t="n">
        <v>0</v>
      </c>
      <c r="J87" t="n">
        <v>0</v>
      </c>
      <c r="K87" t="n">
        <v>1</v>
      </c>
      <c r="L87" t="n">
        <v>0</v>
      </c>
      <c r="M87" t="n">
        <v>0</v>
      </c>
      <c r="N87" t="n">
        <v>0</v>
      </c>
      <c r="O87" t="n">
        <v>1</v>
      </c>
      <c r="P87" t="n">
        <v>1</v>
      </c>
      <c r="Q87" t="n">
        <v>1</v>
      </c>
      <c r="R87" s="2" t="inlineStr">
        <is>
          <t>Knärot</t>
        </is>
      </c>
      <c r="S87">
        <f>HYPERLINK("https://klasma.github.io/Logging_0513/artfynd/A 25414-2026 artfynd.xlsx", "A 25414-2026")</f>
        <v/>
      </c>
      <c r="T87">
        <f>HYPERLINK("https://klasma.github.io/Logging_0513/kartor/A 25414-2026 karta.png", "A 25414-2026")</f>
        <v/>
      </c>
      <c r="U87">
        <f>HYPERLINK("https://klasma.github.io/Logging_0513/knärot/A 25414-2026 karta knärot.png", "A 25414-2026")</f>
        <v/>
      </c>
      <c r="V87">
        <f>HYPERLINK("https://klasma.github.io/Logging_0513/klagomål/A 25414-2026 FSC-klagomål.docx", "A 25414-2026")</f>
        <v/>
      </c>
      <c r="W87">
        <f>HYPERLINK("https://klasma.github.io/Logging_0513/klagomålsmail/A 25414-2026 FSC-klagomål mail.docx", "A 25414-2026")</f>
        <v/>
      </c>
      <c r="X87">
        <f>HYPERLINK("https://klasma.github.io/Logging_0513/tillsyn/A 25414-2026 tillsynsbegäran.docx", "A 25414-2026")</f>
        <v/>
      </c>
      <c r="Y87">
        <f>HYPERLINK("https://klasma.github.io/Logging_0513/tillsynsmail/A 25414-2026 tillsynsbegäran mail.docx", "A 25414-2026")</f>
        <v/>
      </c>
    </row>
    <row r="88" ht="15" customHeight="1">
      <c r="A88" t="inlineStr">
        <is>
          <t>A 40987-2025</t>
        </is>
      </c>
      <c r="B88" s="1" t="n">
        <v>45898</v>
      </c>
      <c r="C88" s="1" t="n">
        <v>46194</v>
      </c>
      <c r="D88" t="inlineStr">
        <is>
          <t>ÖSTERGÖTLANDS LÄN</t>
        </is>
      </c>
      <c r="E88" t="inlineStr">
        <is>
          <t>KINDA</t>
        </is>
      </c>
      <c r="G88" t="n">
        <v>1.6</v>
      </c>
      <c r="H88" t="n">
        <v>1</v>
      </c>
      <c r="I88" t="n">
        <v>1</v>
      </c>
      <c r="J88" t="n">
        <v>0</v>
      </c>
      <c r="K88" t="n">
        <v>0</v>
      </c>
      <c r="L88" t="n">
        <v>0</v>
      </c>
      <c r="M88" t="n">
        <v>0</v>
      </c>
      <c r="N88" t="n">
        <v>0</v>
      </c>
      <c r="O88" t="n">
        <v>0</v>
      </c>
      <c r="P88" t="n">
        <v>0</v>
      </c>
      <c r="Q88" t="n">
        <v>1</v>
      </c>
      <c r="R88" s="2" t="inlineStr">
        <is>
          <t>Purpurknipprot</t>
        </is>
      </c>
      <c r="S88">
        <f>HYPERLINK("https://klasma.github.io/Logging_0513/artfynd/A 40987-2025 artfynd.xlsx", "A 40987-2025")</f>
        <v/>
      </c>
      <c r="T88">
        <f>HYPERLINK("https://klasma.github.io/Logging_0513/kartor/A 40987-2025 karta.png", "A 40987-2025")</f>
        <v/>
      </c>
      <c r="V88">
        <f>HYPERLINK("https://klasma.github.io/Logging_0513/klagomål/A 40987-2025 FSC-klagomål.docx", "A 40987-2025")</f>
        <v/>
      </c>
      <c r="W88">
        <f>HYPERLINK("https://klasma.github.io/Logging_0513/klagomålsmail/A 40987-2025 FSC-klagomål mail.docx", "A 40987-2025")</f>
        <v/>
      </c>
      <c r="X88">
        <f>HYPERLINK("https://klasma.github.io/Logging_0513/tillsyn/A 40987-2025 tillsynsbegäran.docx", "A 40987-2025")</f>
        <v/>
      </c>
      <c r="Y88">
        <f>HYPERLINK("https://klasma.github.io/Logging_0513/tillsynsmail/A 40987-2025 tillsynsbegäran mail.docx", "A 40987-2025")</f>
        <v/>
      </c>
    </row>
    <row r="89" ht="15" customHeight="1">
      <c r="A89" t="inlineStr">
        <is>
          <t>A 53239-2023</t>
        </is>
      </c>
      <c r="B89" s="1" t="n">
        <v>45229</v>
      </c>
      <c r="C89" s="1" t="n">
        <v>46194</v>
      </c>
      <c r="D89" t="inlineStr">
        <is>
          <t>ÖSTERGÖTLANDS LÄN</t>
        </is>
      </c>
      <c r="E89" t="inlineStr">
        <is>
          <t>KINDA</t>
        </is>
      </c>
      <c r="F89" t="inlineStr">
        <is>
          <t>Allmännings- och besparingsskogar</t>
        </is>
      </c>
      <c r="G89" t="n">
        <v>10.3</v>
      </c>
      <c r="H89" t="n">
        <v>0</v>
      </c>
      <c r="I89" t="n">
        <v>0</v>
      </c>
      <c r="J89" t="n">
        <v>1</v>
      </c>
      <c r="K89" t="n">
        <v>0</v>
      </c>
      <c r="L89" t="n">
        <v>0</v>
      </c>
      <c r="M89" t="n">
        <v>0</v>
      </c>
      <c r="N89" t="n">
        <v>0</v>
      </c>
      <c r="O89" t="n">
        <v>1</v>
      </c>
      <c r="P89" t="n">
        <v>0</v>
      </c>
      <c r="Q89" t="n">
        <v>1</v>
      </c>
      <c r="R89" s="2" t="inlineStr">
        <is>
          <t>Jungfrulin</t>
        </is>
      </c>
      <c r="S89">
        <f>HYPERLINK("https://klasma.github.io/Logging_0513/artfynd/A 53239-2023 artfynd.xlsx", "A 53239-2023")</f>
        <v/>
      </c>
      <c r="T89">
        <f>HYPERLINK("https://klasma.github.io/Logging_0513/kartor/A 53239-2023 karta.png", "A 53239-2023")</f>
        <v/>
      </c>
      <c r="V89">
        <f>HYPERLINK("https://klasma.github.io/Logging_0513/klagomål/A 53239-2023 FSC-klagomål.docx", "A 53239-2023")</f>
        <v/>
      </c>
      <c r="W89">
        <f>HYPERLINK("https://klasma.github.io/Logging_0513/klagomålsmail/A 53239-2023 FSC-klagomål mail.docx", "A 53239-2023")</f>
        <v/>
      </c>
      <c r="X89">
        <f>HYPERLINK("https://klasma.github.io/Logging_0513/tillsyn/A 53239-2023 tillsynsbegäran.docx", "A 53239-2023")</f>
        <v/>
      </c>
      <c r="Y89">
        <f>HYPERLINK("https://klasma.github.io/Logging_0513/tillsynsmail/A 53239-2023 tillsynsbegäran mail.docx", "A 53239-2023")</f>
        <v/>
      </c>
    </row>
    <row r="90" ht="15" customHeight="1">
      <c r="A90" t="inlineStr">
        <is>
          <t>A 36789-2022</t>
        </is>
      </c>
      <c r="B90" s="1" t="n">
        <v>44805</v>
      </c>
      <c r="C90" s="1" t="n">
        <v>46194</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46194</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46194</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46194</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46194</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46194</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46194</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46194</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47168-2022</t>
        </is>
      </c>
      <c r="B98" s="1" t="n">
        <v>44852</v>
      </c>
      <c r="C98" s="1" t="n">
        <v>46194</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46194</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46194</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46194</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46194</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38948-2021</t>
        </is>
      </c>
      <c r="B103" s="1" t="n">
        <v>44411</v>
      </c>
      <c r="C103" s="1" t="n">
        <v>46194</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46194</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46194</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46194</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46194</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46194</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46194</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46194</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46194</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46194</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46194</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46194</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46194</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46194</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46194</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46194</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46194</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46194</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46194</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46194</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46194</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46194</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46194</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46194</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46194</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46194</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46194</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46194</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46194</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46194</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46194</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23614-2022</t>
        </is>
      </c>
      <c r="B137" s="1" t="n">
        <v>44721</v>
      </c>
      <c r="C137" s="1" t="n">
        <v>46194</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52048-2022</t>
        </is>
      </c>
      <c r="B138" s="1" t="n">
        <v>44873</v>
      </c>
      <c r="C138" s="1" t="n">
        <v>46194</v>
      </c>
      <c r="D138" t="inlineStr">
        <is>
          <t>ÖSTERGÖTLANDS LÄN</t>
        </is>
      </c>
      <c r="E138" t="inlineStr">
        <is>
          <t>KINDA</t>
        </is>
      </c>
      <c r="G138" t="n">
        <v>3.5</v>
      </c>
      <c r="H138" t="n">
        <v>0</v>
      </c>
      <c r="I138" t="n">
        <v>0</v>
      </c>
      <c r="J138" t="n">
        <v>0</v>
      </c>
      <c r="K138" t="n">
        <v>0</v>
      </c>
      <c r="L138" t="n">
        <v>0</v>
      </c>
      <c r="M138" t="n">
        <v>0</v>
      </c>
      <c r="N138" t="n">
        <v>0</v>
      </c>
      <c r="O138" t="n">
        <v>0</v>
      </c>
      <c r="P138" t="n">
        <v>0</v>
      </c>
      <c r="Q138" t="n">
        <v>0</v>
      </c>
      <c r="R138" s="2" t="inlineStr"/>
    </row>
    <row r="139" ht="15" customHeight="1">
      <c r="A139" t="inlineStr">
        <is>
          <t>A 27841-2024</t>
        </is>
      </c>
      <c r="B139" s="1" t="n">
        <v>45475</v>
      </c>
      <c r="C139" s="1" t="n">
        <v>46194</v>
      </c>
      <c r="D139" t="inlineStr">
        <is>
          <t>ÖSTERGÖTLANDS LÄN</t>
        </is>
      </c>
      <c r="E139" t="inlineStr">
        <is>
          <t>KINDA</t>
        </is>
      </c>
      <c r="G139" t="n">
        <v>1</v>
      </c>
      <c r="H139" t="n">
        <v>0</v>
      </c>
      <c r="I139" t="n">
        <v>0</v>
      </c>
      <c r="J139" t="n">
        <v>0</v>
      </c>
      <c r="K139" t="n">
        <v>0</v>
      </c>
      <c r="L139" t="n">
        <v>0</v>
      </c>
      <c r="M139" t="n">
        <v>0</v>
      </c>
      <c r="N139" t="n">
        <v>0</v>
      </c>
      <c r="O139" t="n">
        <v>0</v>
      </c>
      <c r="P139" t="n">
        <v>0</v>
      </c>
      <c r="Q139" t="n">
        <v>0</v>
      </c>
      <c r="R139" s="2" t="inlineStr"/>
    </row>
    <row r="140" ht="15" customHeight="1">
      <c r="A140" t="inlineStr">
        <is>
          <t>A 31831-2023</t>
        </is>
      </c>
      <c r="B140" s="1" t="n">
        <v>45118</v>
      </c>
      <c r="C140" s="1" t="n">
        <v>46194</v>
      </c>
      <c r="D140" t="inlineStr">
        <is>
          <t>ÖSTERGÖTLANDS LÄN</t>
        </is>
      </c>
      <c r="E140" t="inlineStr">
        <is>
          <t>KINDA</t>
        </is>
      </c>
      <c r="G140" t="n">
        <v>1.5</v>
      </c>
      <c r="H140" t="n">
        <v>0</v>
      </c>
      <c r="I140" t="n">
        <v>0</v>
      </c>
      <c r="J140" t="n">
        <v>0</v>
      </c>
      <c r="K140" t="n">
        <v>0</v>
      </c>
      <c r="L140" t="n">
        <v>0</v>
      </c>
      <c r="M140" t="n">
        <v>0</v>
      </c>
      <c r="N140" t="n">
        <v>0</v>
      </c>
      <c r="O140" t="n">
        <v>0</v>
      </c>
      <c r="P140" t="n">
        <v>0</v>
      </c>
      <c r="Q140" t="n">
        <v>0</v>
      </c>
      <c r="R140" s="2" t="inlineStr"/>
    </row>
    <row r="141" ht="15" customHeight="1">
      <c r="A141" t="inlineStr">
        <is>
          <t>A 21246-2023</t>
        </is>
      </c>
      <c r="B141" s="1" t="n">
        <v>45062</v>
      </c>
      <c r="C141" s="1" t="n">
        <v>46194</v>
      </c>
      <c r="D141" t="inlineStr">
        <is>
          <t>ÖSTERGÖTLANDS LÄN</t>
        </is>
      </c>
      <c r="E141" t="inlineStr">
        <is>
          <t>KINDA</t>
        </is>
      </c>
      <c r="G141" t="n">
        <v>5.5</v>
      </c>
      <c r="H141" t="n">
        <v>0</v>
      </c>
      <c r="I141" t="n">
        <v>0</v>
      </c>
      <c r="J141" t="n">
        <v>0</v>
      </c>
      <c r="K141" t="n">
        <v>0</v>
      </c>
      <c r="L141" t="n">
        <v>0</v>
      </c>
      <c r="M141" t="n">
        <v>0</v>
      </c>
      <c r="N141" t="n">
        <v>0</v>
      </c>
      <c r="O141" t="n">
        <v>0</v>
      </c>
      <c r="P141" t="n">
        <v>0</v>
      </c>
      <c r="Q141" t="n">
        <v>0</v>
      </c>
      <c r="R141" s="2" t="inlineStr"/>
    </row>
    <row r="142" ht="15" customHeight="1">
      <c r="A142" t="inlineStr">
        <is>
          <t>A 19897-2022</t>
        </is>
      </c>
      <c r="B142" s="1" t="n">
        <v>44697</v>
      </c>
      <c r="C142" s="1" t="n">
        <v>46194</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37489-2024</t>
        </is>
      </c>
      <c r="B143" s="1" t="n">
        <v>45541</v>
      </c>
      <c r="C143" s="1" t="n">
        <v>46194</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45693-2023</t>
        </is>
      </c>
      <c r="B144" s="1" t="n">
        <v>45195</v>
      </c>
      <c r="C144" s="1" t="n">
        <v>46194</v>
      </c>
      <c r="D144" t="inlineStr">
        <is>
          <t>ÖSTERGÖTLANDS LÄN</t>
        </is>
      </c>
      <c r="E144" t="inlineStr">
        <is>
          <t>KINDA</t>
        </is>
      </c>
      <c r="G144" t="n">
        <v>1.8</v>
      </c>
      <c r="H144" t="n">
        <v>0</v>
      </c>
      <c r="I144" t="n">
        <v>0</v>
      </c>
      <c r="J144" t="n">
        <v>0</v>
      </c>
      <c r="K144" t="n">
        <v>0</v>
      </c>
      <c r="L144" t="n">
        <v>0</v>
      </c>
      <c r="M144" t="n">
        <v>0</v>
      </c>
      <c r="N144" t="n">
        <v>0</v>
      </c>
      <c r="O144" t="n">
        <v>0</v>
      </c>
      <c r="P144" t="n">
        <v>0</v>
      </c>
      <c r="Q144" t="n">
        <v>0</v>
      </c>
      <c r="R144" s="2" t="inlineStr"/>
    </row>
    <row r="145" ht="15" customHeight="1">
      <c r="A145" t="inlineStr">
        <is>
          <t>A 4433-2024</t>
        </is>
      </c>
      <c r="B145" s="1" t="n">
        <v>45327</v>
      </c>
      <c r="C145" s="1" t="n">
        <v>46194</v>
      </c>
      <c r="D145" t="inlineStr">
        <is>
          <t>ÖSTERGÖTLANDS LÄN</t>
        </is>
      </c>
      <c r="E145" t="inlineStr">
        <is>
          <t>KINDA</t>
        </is>
      </c>
      <c r="G145" t="n">
        <v>1.6</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v>
      </c>
      <c r="C146" s="1" t="n">
        <v>46194</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46194</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49096-2022</t>
        </is>
      </c>
      <c r="B148" s="1" t="n">
        <v>44860</v>
      </c>
      <c r="C148" s="1" t="n">
        <v>46194</v>
      </c>
      <c r="D148" t="inlineStr">
        <is>
          <t>ÖSTERGÖTLANDS LÄN</t>
        </is>
      </c>
      <c r="E148" t="inlineStr">
        <is>
          <t>KINDA</t>
        </is>
      </c>
      <c r="G148" t="n">
        <v>5.1</v>
      </c>
      <c r="H148" t="n">
        <v>0</v>
      </c>
      <c r="I148" t="n">
        <v>0</v>
      </c>
      <c r="J148" t="n">
        <v>0</v>
      </c>
      <c r="K148" t="n">
        <v>0</v>
      </c>
      <c r="L148" t="n">
        <v>0</v>
      </c>
      <c r="M148" t="n">
        <v>0</v>
      </c>
      <c r="N148" t="n">
        <v>0</v>
      </c>
      <c r="O148" t="n">
        <v>0</v>
      </c>
      <c r="P148" t="n">
        <v>0</v>
      </c>
      <c r="Q148" t="n">
        <v>0</v>
      </c>
      <c r="R148" s="2" t="inlineStr"/>
    </row>
    <row r="149" ht="15" customHeight="1">
      <c r="A149" t="inlineStr">
        <is>
          <t>A 43857-2023</t>
        </is>
      </c>
      <c r="B149" s="1" t="n">
        <v>45187</v>
      </c>
      <c r="C149" s="1" t="n">
        <v>46194</v>
      </c>
      <c r="D149" t="inlineStr">
        <is>
          <t>ÖSTERGÖTLANDS LÄN</t>
        </is>
      </c>
      <c r="E149" t="inlineStr">
        <is>
          <t>KINDA</t>
        </is>
      </c>
      <c r="G149" t="n">
        <v>2</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46194</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25670-2022</t>
        </is>
      </c>
      <c r="B151" s="1" t="n">
        <v>44733</v>
      </c>
      <c r="C151" s="1" t="n">
        <v>46194</v>
      </c>
      <c r="D151" t="inlineStr">
        <is>
          <t>ÖSTERGÖTLANDS LÄN</t>
        </is>
      </c>
      <c r="E151" t="inlineStr">
        <is>
          <t>KINDA</t>
        </is>
      </c>
      <c r="G151" t="n">
        <v>0.7</v>
      </c>
      <c r="H151" t="n">
        <v>0</v>
      </c>
      <c r="I151" t="n">
        <v>0</v>
      </c>
      <c r="J151" t="n">
        <v>0</v>
      </c>
      <c r="K151" t="n">
        <v>0</v>
      </c>
      <c r="L151" t="n">
        <v>0</v>
      </c>
      <c r="M151" t="n">
        <v>0</v>
      </c>
      <c r="N151" t="n">
        <v>0</v>
      </c>
      <c r="O151" t="n">
        <v>0</v>
      </c>
      <c r="P151" t="n">
        <v>0</v>
      </c>
      <c r="Q151" t="n">
        <v>0</v>
      </c>
      <c r="R151" s="2" t="inlineStr"/>
    </row>
    <row r="152" ht="15" customHeight="1">
      <c r="A152" t="inlineStr">
        <is>
          <t>A 29717-2023</t>
        </is>
      </c>
      <c r="B152" s="1" t="n">
        <v>45107</v>
      </c>
      <c r="C152" s="1" t="n">
        <v>46194</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25490-2023</t>
        </is>
      </c>
      <c r="B153" s="1" t="n">
        <v>45082</v>
      </c>
      <c r="C153" s="1" t="n">
        <v>46194</v>
      </c>
      <c r="D153" t="inlineStr">
        <is>
          <t>ÖSTERGÖTLANDS LÄN</t>
        </is>
      </c>
      <c r="E153" t="inlineStr">
        <is>
          <t>KINDA</t>
        </is>
      </c>
      <c r="G153" t="n">
        <v>2.2</v>
      </c>
      <c r="H153" t="n">
        <v>0</v>
      </c>
      <c r="I153" t="n">
        <v>0</v>
      </c>
      <c r="J153" t="n">
        <v>0</v>
      </c>
      <c r="K153" t="n">
        <v>0</v>
      </c>
      <c r="L153" t="n">
        <v>0</v>
      </c>
      <c r="M153" t="n">
        <v>0</v>
      </c>
      <c r="N153" t="n">
        <v>0</v>
      </c>
      <c r="O153" t="n">
        <v>0</v>
      </c>
      <c r="P153" t="n">
        <v>0</v>
      </c>
      <c r="Q153" t="n">
        <v>0</v>
      </c>
      <c r="R153" s="2" t="inlineStr"/>
    </row>
    <row r="154" ht="15" customHeight="1">
      <c r="A154" t="inlineStr">
        <is>
          <t>A 53493-2022</t>
        </is>
      </c>
      <c r="B154" s="1" t="n">
        <v>44874</v>
      </c>
      <c r="C154" s="1" t="n">
        <v>46194</v>
      </c>
      <c r="D154" t="inlineStr">
        <is>
          <t>ÖSTERGÖTLANDS LÄN</t>
        </is>
      </c>
      <c r="E154" t="inlineStr">
        <is>
          <t>KINDA</t>
        </is>
      </c>
      <c r="G154" t="n">
        <v>1.4</v>
      </c>
      <c r="H154" t="n">
        <v>0</v>
      </c>
      <c r="I154" t="n">
        <v>0</v>
      </c>
      <c r="J154" t="n">
        <v>0</v>
      </c>
      <c r="K154" t="n">
        <v>0</v>
      </c>
      <c r="L154" t="n">
        <v>0</v>
      </c>
      <c r="M154" t="n">
        <v>0</v>
      </c>
      <c r="N154" t="n">
        <v>0</v>
      </c>
      <c r="O154" t="n">
        <v>0</v>
      </c>
      <c r="P154" t="n">
        <v>0</v>
      </c>
      <c r="Q154" t="n">
        <v>0</v>
      </c>
      <c r="R154" s="2" t="inlineStr"/>
    </row>
    <row r="155" ht="15" customHeight="1">
      <c r="A155" t="inlineStr">
        <is>
          <t>A 28043-2024</t>
        </is>
      </c>
      <c r="B155" s="1" t="n">
        <v>45476</v>
      </c>
      <c r="C155" s="1" t="n">
        <v>46194</v>
      </c>
      <c r="D155" t="inlineStr">
        <is>
          <t>ÖSTERGÖTLANDS LÄN</t>
        </is>
      </c>
      <c r="E155" t="inlineStr">
        <is>
          <t>KINDA</t>
        </is>
      </c>
      <c r="G155" t="n">
        <v>1.9</v>
      </c>
      <c r="H155" t="n">
        <v>0</v>
      </c>
      <c r="I155" t="n">
        <v>0</v>
      </c>
      <c r="J155" t="n">
        <v>0</v>
      </c>
      <c r="K155" t="n">
        <v>0</v>
      </c>
      <c r="L155" t="n">
        <v>0</v>
      </c>
      <c r="M155" t="n">
        <v>0</v>
      </c>
      <c r="N155" t="n">
        <v>0</v>
      </c>
      <c r="O155" t="n">
        <v>0</v>
      </c>
      <c r="P155" t="n">
        <v>0</v>
      </c>
      <c r="Q155" t="n">
        <v>0</v>
      </c>
      <c r="R155" s="2" t="inlineStr"/>
    </row>
    <row r="156" ht="15" customHeight="1">
      <c r="A156" t="inlineStr">
        <is>
          <t>A 22687-2022</t>
        </is>
      </c>
      <c r="B156" s="1" t="n">
        <v>44714</v>
      </c>
      <c r="C156" s="1" t="n">
        <v>46194</v>
      </c>
      <c r="D156" t="inlineStr">
        <is>
          <t>ÖSTERGÖTLANDS LÄN</t>
        </is>
      </c>
      <c r="E156" t="inlineStr">
        <is>
          <t>KINDA</t>
        </is>
      </c>
      <c r="G156" t="n">
        <v>0.4</v>
      </c>
      <c r="H156" t="n">
        <v>0</v>
      </c>
      <c r="I156" t="n">
        <v>0</v>
      </c>
      <c r="J156" t="n">
        <v>0</v>
      </c>
      <c r="K156" t="n">
        <v>0</v>
      </c>
      <c r="L156" t="n">
        <v>0</v>
      </c>
      <c r="M156" t="n">
        <v>0</v>
      </c>
      <c r="N156" t="n">
        <v>0</v>
      </c>
      <c r="O156" t="n">
        <v>0</v>
      </c>
      <c r="P156" t="n">
        <v>0</v>
      </c>
      <c r="Q156" t="n">
        <v>0</v>
      </c>
      <c r="R156" s="2" t="inlineStr"/>
    </row>
    <row r="157" ht="15" customHeight="1">
      <c r="A157" t="inlineStr">
        <is>
          <t>A 48520-2024</t>
        </is>
      </c>
      <c r="B157" s="1" t="n">
        <v>45593</v>
      </c>
      <c r="C157" s="1" t="n">
        <v>46194</v>
      </c>
      <c r="D157" t="inlineStr">
        <is>
          <t>ÖSTERGÖTLANDS LÄN</t>
        </is>
      </c>
      <c r="E157" t="inlineStr">
        <is>
          <t>KINDA</t>
        </is>
      </c>
      <c r="G157" t="n">
        <v>4.6</v>
      </c>
      <c r="H157" t="n">
        <v>0</v>
      </c>
      <c r="I157" t="n">
        <v>0</v>
      </c>
      <c r="J157" t="n">
        <v>0</v>
      </c>
      <c r="K157" t="n">
        <v>0</v>
      </c>
      <c r="L157" t="n">
        <v>0</v>
      </c>
      <c r="M157" t="n">
        <v>0</v>
      </c>
      <c r="N157" t="n">
        <v>0</v>
      </c>
      <c r="O157" t="n">
        <v>0</v>
      </c>
      <c r="P157" t="n">
        <v>0</v>
      </c>
      <c r="Q157" t="n">
        <v>0</v>
      </c>
      <c r="R157" s="2" t="inlineStr"/>
    </row>
    <row r="158" ht="15" customHeight="1">
      <c r="A158" t="inlineStr">
        <is>
          <t>A 22813-2024</t>
        </is>
      </c>
      <c r="B158" s="1" t="n">
        <v>45448</v>
      </c>
      <c r="C158" s="1" t="n">
        <v>46194</v>
      </c>
      <c r="D158" t="inlineStr">
        <is>
          <t>ÖSTERGÖTLANDS LÄN</t>
        </is>
      </c>
      <c r="E158" t="inlineStr">
        <is>
          <t>KINDA</t>
        </is>
      </c>
      <c r="F158" t="inlineStr">
        <is>
          <t>Allmännings- och besparingsskogar</t>
        </is>
      </c>
      <c r="G158" t="n">
        <v>6.8</v>
      </c>
      <c r="H158" t="n">
        <v>0</v>
      </c>
      <c r="I158" t="n">
        <v>0</v>
      </c>
      <c r="J158" t="n">
        <v>0</v>
      </c>
      <c r="K158" t="n">
        <v>0</v>
      </c>
      <c r="L158" t="n">
        <v>0</v>
      </c>
      <c r="M158" t="n">
        <v>0</v>
      </c>
      <c r="N158" t="n">
        <v>0</v>
      </c>
      <c r="O158" t="n">
        <v>0</v>
      </c>
      <c r="P158" t="n">
        <v>0</v>
      </c>
      <c r="Q158" t="n">
        <v>0</v>
      </c>
      <c r="R158" s="2" t="inlineStr"/>
    </row>
    <row r="159" ht="15" customHeight="1">
      <c r="A159" t="inlineStr">
        <is>
          <t>A 24023-2024</t>
        </is>
      </c>
      <c r="B159" s="1" t="n">
        <v>45456</v>
      </c>
      <c r="C159" s="1" t="n">
        <v>46194</v>
      </c>
      <c r="D159" t="inlineStr">
        <is>
          <t>ÖSTERGÖTLANDS LÄN</t>
        </is>
      </c>
      <c r="E159" t="inlineStr">
        <is>
          <t>KINDA</t>
        </is>
      </c>
      <c r="G159" t="n">
        <v>7.1</v>
      </c>
      <c r="H159" t="n">
        <v>0</v>
      </c>
      <c r="I159" t="n">
        <v>0</v>
      </c>
      <c r="J159" t="n">
        <v>0</v>
      </c>
      <c r="K159" t="n">
        <v>0</v>
      </c>
      <c r="L159" t="n">
        <v>0</v>
      </c>
      <c r="M159" t="n">
        <v>0</v>
      </c>
      <c r="N159" t="n">
        <v>0</v>
      </c>
      <c r="O159" t="n">
        <v>0</v>
      </c>
      <c r="P159" t="n">
        <v>0</v>
      </c>
      <c r="Q159" t="n">
        <v>0</v>
      </c>
      <c r="R159" s="2" t="inlineStr"/>
    </row>
    <row r="160" ht="15" customHeight="1">
      <c r="A160" t="inlineStr">
        <is>
          <t>A 61946-2022</t>
        </is>
      </c>
      <c r="B160" s="1" t="n">
        <v>44918</v>
      </c>
      <c r="C160" s="1" t="n">
        <v>46194</v>
      </c>
      <c r="D160" t="inlineStr">
        <is>
          <t>ÖSTERGÖTLANDS LÄN</t>
        </is>
      </c>
      <c r="E160" t="inlineStr">
        <is>
          <t>KINDA</t>
        </is>
      </c>
      <c r="G160" t="n">
        <v>11.6</v>
      </c>
      <c r="H160" t="n">
        <v>0</v>
      </c>
      <c r="I160" t="n">
        <v>0</v>
      </c>
      <c r="J160" t="n">
        <v>0</v>
      </c>
      <c r="K160" t="n">
        <v>0</v>
      </c>
      <c r="L160" t="n">
        <v>0</v>
      </c>
      <c r="M160" t="n">
        <v>0</v>
      </c>
      <c r="N160" t="n">
        <v>0</v>
      </c>
      <c r="O160" t="n">
        <v>0</v>
      </c>
      <c r="P160" t="n">
        <v>0</v>
      </c>
      <c r="Q160" t="n">
        <v>0</v>
      </c>
      <c r="R160" s="2" t="inlineStr"/>
    </row>
    <row r="161" ht="15" customHeight="1">
      <c r="A161" t="inlineStr">
        <is>
          <t>A 61962-2022</t>
        </is>
      </c>
      <c r="B161" s="1" t="n">
        <v>44918</v>
      </c>
      <c r="C161" s="1" t="n">
        <v>46194</v>
      </c>
      <c r="D161" t="inlineStr">
        <is>
          <t>ÖSTERGÖTLANDS LÄN</t>
        </is>
      </c>
      <c r="E161" t="inlineStr">
        <is>
          <t>KINDA</t>
        </is>
      </c>
      <c r="G161" t="n">
        <v>2.5</v>
      </c>
      <c r="H161" t="n">
        <v>0</v>
      </c>
      <c r="I161" t="n">
        <v>0</v>
      </c>
      <c r="J161" t="n">
        <v>0</v>
      </c>
      <c r="K161" t="n">
        <v>0</v>
      </c>
      <c r="L161" t="n">
        <v>0</v>
      </c>
      <c r="M161" t="n">
        <v>0</v>
      </c>
      <c r="N161" t="n">
        <v>0</v>
      </c>
      <c r="O161" t="n">
        <v>0</v>
      </c>
      <c r="P161" t="n">
        <v>0</v>
      </c>
      <c r="Q161" t="n">
        <v>0</v>
      </c>
      <c r="R161" s="2" t="inlineStr"/>
    </row>
    <row r="162" ht="15" customHeight="1">
      <c r="A162" t="inlineStr">
        <is>
          <t>A 37068-2024</t>
        </is>
      </c>
      <c r="B162" s="1" t="n">
        <v>45539</v>
      </c>
      <c r="C162" s="1" t="n">
        <v>46194</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62260-2023</t>
        </is>
      </c>
      <c r="B163" s="1" t="n">
        <v>45267</v>
      </c>
      <c r="C163" s="1" t="n">
        <v>46194</v>
      </c>
      <c r="D163" t="inlineStr">
        <is>
          <t>ÖSTERGÖTLANDS LÄN</t>
        </is>
      </c>
      <c r="E163" t="inlineStr">
        <is>
          <t>KINDA</t>
        </is>
      </c>
      <c r="G163" t="n">
        <v>1.4</v>
      </c>
      <c r="H163" t="n">
        <v>0</v>
      </c>
      <c r="I163" t="n">
        <v>0</v>
      </c>
      <c r="J163" t="n">
        <v>0</v>
      </c>
      <c r="K163" t="n">
        <v>0</v>
      </c>
      <c r="L163" t="n">
        <v>0</v>
      </c>
      <c r="M163" t="n">
        <v>0</v>
      </c>
      <c r="N163" t="n">
        <v>0</v>
      </c>
      <c r="O163" t="n">
        <v>0</v>
      </c>
      <c r="P163" t="n">
        <v>0</v>
      </c>
      <c r="Q163" t="n">
        <v>0</v>
      </c>
      <c r="R163" s="2" t="inlineStr"/>
    </row>
    <row r="164" ht="15" customHeight="1">
      <c r="A164" t="inlineStr">
        <is>
          <t>A 13976-2022</t>
        </is>
      </c>
      <c r="B164" s="1" t="n">
        <v>44650</v>
      </c>
      <c r="C164" s="1" t="n">
        <v>46194</v>
      </c>
      <c r="D164" t="inlineStr">
        <is>
          <t>ÖSTERGÖTLANDS LÄN</t>
        </is>
      </c>
      <c r="E164" t="inlineStr">
        <is>
          <t>KINDA</t>
        </is>
      </c>
      <c r="F164" t="inlineStr">
        <is>
          <t>Övriga Aktiebolag</t>
        </is>
      </c>
      <c r="G164" t="n">
        <v>7.4</v>
      </c>
      <c r="H164" t="n">
        <v>0</v>
      </c>
      <c r="I164" t="n">
        <v>0</v>
      </c>
      <c r="J164" t="n">
        <v>0</v>
      </c>
      <c r="K164" t="n">
        <v>0</v>
      </c>
      <c r="L164" t="n">
        <v>0</v>
      </c>
      <c r="M164" t="n">
        <v>0</v>
      </c>
      <c r="N164" t="n">
        <v>0</v>
      </c>
      <c r="O164" t="n">
        <v>0</v>
      </c>
      <c r="P164" t="n">
        <v>0</v>
      </c>
      <c r="Q164" t="n">
        <v>0</v>
      </c>
      <c r="R164" s="2" t="inlineStr"/>
    </row>
    <row r="165" ht="15" customHeight="1">
      <c r="A165" t="inlineStr">
        <is>
          <t>A 5665-2023</t>
        </is>
      </c>
      <c r="B165" s="1" t="n">
        <v>44960</v>
      </c>
      <c r="C165" s="1" t="n">
        <v>46194</v>
      </c>
      <c r="D165" t="inlineStr">
        <is>
          <t>ÖSTERGÖTLANDS LÄN</t>
        </is>
      </c>
      <c r="E165" t="inlineStr">
        <is>
          <t>KINDA</t>
        </is>
      </c>
      <c r="G165" t="n">
        <v>6.7</v>
      </c>
      <c r="H165" t="n">
        <v>0</v>
      </c>
      <c r="I165" t="n">
        <v>0</v>
      </c>
      <c r="J165" t="n">
        <v>0</v>
      </c>
      <c r="K165" t="n">
        <v>0</v>
      </c>
      <c r="L165" t="n">
        <v>0</v>
      </c>
      <c r="M165" t="n">
        <v>0</v>
      </c>
      <c r="N165" t="n">
        <v>0</v>
      </c>
      <c r="O165" t="n">
        <v>0</v>
      </c>
      <c r="P165" t="n">
        <v>0</v>
      </c>
      <c r="Q165" t="n">
        <v>0</v>
      </c>
      <c r="R165" s="2" t="inlineStr"/>
    </row>
    <row r="166" ht="15" customHeight="1">
      <c r="A166" t="inlineStr">
        <is>
          <t>A 28068-2024</t>
        </is>
      </c>
      <c r="B166" s="1" t="n">
        <v>45476</v>
      </c>
      <c r="C166" s="1" t="n">
        <v>46194</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21071-2024</t>
        </is>
      </c>
      <c r="B167" s="1" t="n">
        <v>45439</v>
      </c>
      <c r="C167" s="1" t="n">
        <v>46194</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23248-2022</t>
        </is>
      </c>
      <c r="B168" s="1" t="n">
        <v>44720</v>
      </c>
      <c r="C168" s="1" t="n">
        <v>46194</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57194-2023</t>
        </is>
      </c>
      <c r="B169" s="1" t="n">
        <v>45245</v>
      </c>
      <c r="C169" s="1" t="n">
        <v>46194</v>
      </c>
      <c r="D169" t="inlineStr">
        <is>
          <t>ÖSTERGÖTLANDS LÄN</t>
        </is>
      </c>
      <c r="E169" t="inlineStr">
        <is>
          <t>KINDA</t>
        </is>
      </c>
      <c r="G169" t="n">
        <v>0.8</v>
      </c>
      <c r="H169" t="n">
        <v>0</v>
      </c>
      <c r="I169" t="n">
        <v>0</v>
      </c>
      <c r="J169" t="n">
        <v>0</v>
      </c>
      <c r="K169" t="n">
        <v>0</v>
      </c>
      <c r="L169" t="n">
        <v>0</v>
      </c>
      <c r="M169" t="n">
        <v>0</v>
      </c>
      <c r="N169" t="n">
        <v>0</v>
      </c>
      <c r="O169" t="n">
        <v>0</v>
      </c>
      <c r="P169" t="n">
        <v>0</v>
      </c>
      <c r="Q169" t="n">
        <v>0</v>
      </c>
      <c r="R169" s="2" t="inlineStr"/>
    </row>
    <row r="170" ht="15" customHeight="1">
      <c r="A170" t="inlineStr">
        <is>
          <t>A 9182-2024</t>
        </is>
      </c>
      <c r="B170" s="1" t="n">
        <v>45358</v>
      </c>
      <c r="C170" s="1" t="n">
        <v>46194</v>
      </c>
      <c r="D170" t="inlineStr">
        <is>
          <t>ÖSTERGÖTLANDS LÄN</t>
        </is>
      </c>
      <c r="E170" t="inlineStr">
        <is>
          <t>KINDA</t>
        </is>
      </c>
      <c r="G170" t="n">
        <v>3.7</v>
      </c>
      <c r="H170" t="n">
        <v>0</v>
      </c>
      <c r="I170" t="n">
        <v>0</v>
      </c>
      <c r="J170" t="n">
        <v>0</v>
      </c>
      <c r="K170" t="n">
        <v>0</v>
      </c>
      <c r="L170" t="n">
        <v>0</v>
      </c>
      <c r="M170" t="n">
        <v>0</v>
      </c>
      <c r="N170" t="n">
        <v>0</v>
      </c>
      <c r="O170" t="n">
        <v>0</v>
      </c>
      <c r="P170" t="n">
        <v>0</v>
      </c>
      <c r="Q170" t="n">
        <v>0</v>
      </c>
      <c r="R170" s="2" t="inlineStr"/>
    </row>
    <row r="171" ht="15" customHeight="1">
      <c r="A171" t="inlineStr">
        <is>
          <t>A 61961-2022</t>
        </is>
      </c>
      <c r="B171" s="1" t="n">
        <v>44918</v>
      </c>
      <c r="C171" s="1" t="n">
        <v>46194</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3908-2023</t>
        </is>
      </c>
      <c r="B172" s="1" t="n">
        <v>44952</v>
      </c>
      <c r="C172" s="1" t="n">
        <v>46194</v>
      </c>
      <c r="D172" t="inlineStr">
        <is>
          <t>ÖSTERGÖTLANDS LÄN</t>
        </is>
      </c>
      <c r="E172" t="inlineStr">
        <is>
          <t>KINDA</t>
        </is>
      </c>
      <c r="G172" t="n">
        <v>2.3</v>
      </c>
      <c r="H172" t="n">
        <v>0</v>
      </c>
      <c r="I172" t="n">
        <v>0</v>
      </c>
      <c r="J172" t="n">
        <v>0</v>
      </c>
      <c r="K172" t="n">
        <v>0</v>
      </c>
      <c r="L172" t="n">
        <v>0</v>
      </c>
      <c r="M172" t="n">
        <v>0</v>
      </c>
      <c r="N172" t="n">
        <v>0</v>
      </c>
      <c r="O172" t="n">
        <v>0</v>
      </c>
      <c r="P172" t="n">
        <v>0</v>
      </c>
      <c r="Q172" t="n">
        <v>0</v>
      </c>
      <c r="R172" s="2" t="inlineStr"/>
    </row>
    <row r="173" ht="15" customHeight="1">
      <c r="A173" t="inlineStr">
        <is>
          <t>A 60826-2023</t>
        </is>
      </c>
      <c r="B173" s="1" t="n">
        <v>45260</v>
      </c>
      <c r="C173" s="1" t="n">
        <v>46194</v>
      </c>
      <c r="D173" t="inlineStr">
        <is>
          <t>ÖSTERGÖTLANDS LÄN</t>
        </is>
      </c>
      <c r="E173" t="inlineStr">
        <is>
          <t>KINDA</t>
        </is>
      </c>
      <c r="G173" t="n">
        <v>1.4</v>
      </c>
      <c r="H173" t="n">
        <v>0</v>
      </c>
      <c r="I173" t="n">
        <v>0</v>
      </c>
      <c r="J173" t="n">
        <v>0</v>
      </c>
      <c r="K173" t="n">
        <v>0</v>
      </c>
      <c r="L173" t="n">
        <v>0</v>
      </c>
      <c r="M173" t="n">
        <v>0</v>
      </c>
      <c r="N173" t="n">
        <v>0</v>
      </c>
      <c r="O173" t="n">
        <v>0</v>
      </c>
      <c r="P173" t="n">
        <v>0</v>
      </c>
      <c r="Q173" t="n">
        <v>0</v>
      </c>
      <c r="R173" s="2" t="inlineStr"/>
    </row>
    <row r="174" ht="15" customHeight="1">
      <c r="A174" t="inlineStr">
        <is>
          <t>A 34871-2024</t>
        </is>
      </c>
      <c r="B174" s="1" t="n">
        <v>45527</v>
      </c>
      <c r="C174" s="1" t="n">
        <v>46194</v>
      </c>
      <c r="D174" t="inlineStr">
        <is>
          <t>ÖSTERGÖTLANDS LÄN</t>
        </is>
      </c>
      <c r="E174" t="inlineStr">
        <is>
          <t>KINDA</t>
        </is>
      </c>
      <c r="G174" t="n">
        <v>0.8</v>
      </c>
      <c r="H174" t="n">
        <v>0</v>
      </c>
      <c r="I174" t="n">
        <v>0</v>
      </c>
      <c r="J174" t="n">
        <v>0</v>
      </c>
      <c r="K174" t="n">
        <v>0</v>
      </c>
      <c r="L174" t="n">
        <v>0</v>
      </c>
      <c r="M174" t="n">
        <v>0</v>
      </c>
      <c r="N174" t="n">
        <v>0</v>
      </c>
      <c r="O174" t="n">
        <v>0</v>
      </c>
      <c r="P174" t="n">
        <v>0</v>
      </c>
      <c r="Q174" t="n">
        <v>0</v>
      </c>
      <c r="R174" s="2" t="inlineStr"/>
    </row>
    <row r="175" ht="15" customHeight="1">
      <c r="A175" t="inlineStr">
        <is>
          <t>A 33562-2022</t>
        </is>
      </c>
      <c r="B175" s="1" t="n">
        <v>44789</v>
      </c>
      <c r="C175" s="1" t="n">
        <v>46194</v>
      </c>
      <c r="D175" t="inlineStr">
        <is>
          <t>ÖSTERGÖTLANDS LÄN</t>
        </is>
      </c>
      <c r="E175" t="inlineStr">
        <is>
          <t>KINDA</t>
        </is>
      </c>
      <c r="G175" t="n">
        <v>0</v>
      </c>
      <c r="H175" t="n">
        <v>0</v>
      </c>
      <c r="I175" t="n">
        <v>0</v>
      </c>
      <c r="J175" t="n">
        <v>0</v>
      </c>
      <c r="K175" t="n">
        <v>0</v>
      </c>
      <c r="L175" t="n">
        <v>0</v>
      </c>
      <c r="M175" t="n">
        <v>0</v>
      </c>
      <c r="N175" t="n">
        <v>0</v>
      </c>
      <c r="O175" t="n">
        <v>0</v>
      </c>
      <c r="P175" t="n">
        <v>0</v>
      </c>
      <c r="Q175" t="n">
        <v>0</v>
      </c>
      <c r="R175" s="2" t="inlineStr"/>
    </row>
    <row r="176" ht="15" customHeight="1">
      <c r="A176" t="inlineStr">
        <is>
          <t>A 33043-2024</t>
        </is>
      </c>
      <c r="B176" s="1" t="n">
        <v>45517</v>
      </c>
      <c r="C176" s="1" t="n">
        <v>46194</v>
      </c>
      <c r="D176" t="inlineStr">
        <is>
          <t>ÖSTERGÖTLANDS LÄN</t>
        </is>
      </c>
      <c r="E176" t="inlineStr">
        <is>
          <t>KINDA</t>
        </is>
      </c>
      <c r="G176" t="n">
        <v>0.8</v>
      </c>
      <c r="H176" t="n">
        <v>0</v>
      </c>
      <c r="I176" t="n">
        <v>0</v>
      </c>
      <c r="J176" t="n">
        <v>0</v>
      </c>
      <c r="K176" t="n">
        <v>0</v>
      </c>
      <c r="L176" t="n">
        <v>0</v>
      </c>
      <c r="M176" t="n">
        <v>0</v>
      </c>
      <c r="N176" t="n">
        <v>0</v>
      </c>
      <c r="O176" t="n">
        <v>0</v>
      </c>
      <c r="P176" t="n">
        <v>0</v>
      </c>
      <c r="Q176" t="n">
        <v>0</v>
      </c>
      <c r="R176" s="2" t="inlineStr"/>
    </row>
    <row r="177" ht="15" customHeight="1">
      <c r="A177" t="inlineStr">
        <is>
          <t>A 13769-2023</t>
        </is>
      </c>
      <c r="B177" s="1" t="n">
        <v>45007</v>
      </c>
      <c r="C177" s="1" t="n">
        <v>46194</v>
      </c>
      <c r="D177" t="inlineStr">
        <is>
          <t>ÖSTERGÖTLANDS LÄN</t>
        </is>
      </c>
      <c r="E177" t="inlineStr">
        <is>
          <t>KINDA</t>
        </is>
      </c>
      <c r="G177" t="n">
        <v>3.8</v>
      </c>
      <c r="H177" t="n">
        <v>0</v>
      </c>
      <c r="I177" t="n">
        <v>0</v>
      </c>
      <c r="J177" t="n">
        <v>0</v>
      </c>
      <c r="K177" t="n">
        <v>0</v>
      </c>
      <c r="L177" t="n">
        <v>0</v>
      </c>
      <c r="M177" t="n">
        <v>0</v>
      </c>
      <c r="N177" t="n">
        <v>0</v>
      </c>
      <c r="O177" t="n">
        <v>0</v>
      </c>
      <c r="P177" t="n">
        <v>0</v>
      </c>
      <c r="Q177" t="n">
        <v>0</v>
      </c>
      <c r="R177" s="2" t="inlineStr"/>
    </row>
    <row r="178" ht="15" customHeight="1">
      <c r="A178" t="inlineStr">
        <is>
          <t>A 31849-2023</t>
        </is>
      </c>
      <c r="B178" s="1" t="n">
        <v>45118</v>
      </c>
      <c r="C178" s="1" t="n">
        <v>46194</v>
      </c>
      <c r="D178" t="inlineStr">
        <is>
          <t>ÖSTERGÖTLANDS LÄN</t>
        </is>
      </c>
      <c r="E178" t="inlineStr">
        <is>
          <t>KINDA</t>
        </is>
      </c>
      <c r="G178" t="n">
        <v>3</v>
      </c>
      <c r="H178" t="n">
        <v>0</v>
      </c>
      <c r="I178" t="n">
        <v>0</v>
      </c>
      <c r="J178" t="n">
        <v>0</v>
      </c>
      <c r="K178" t="n">
        <v>0</v>
      </c>
      <c r="L178" t="n">
        <v>0</v>
      </c>
      <c r="M178" t="n">
        <v>0</v>
      </c>
      <c r="N178" t="n">
        <v>0</v>
      </c>
      <c r="O178" t="n">
        <v>0</v>
      </c>
      <c r="P178" t="n">
        <v>0</v>
      </c>
      <c r="Q178" t="n">
        <v>0</v>
      </c>
      <c r="R178" s="2" t="inlineStr"/>
    </row>
    <row r="179" ht="15" customHeight="1">
      <c r="A179" t="inlineStr">
        <is>
          <t>A 10935-2023</t>
        </is>
      </c>
      <c r="B179" s="1" t="n">
        <v>44991</v>
      </c>
      <c r="C179" s="1" t="n">
        <v>46194</v>
      </c>
      <c r="D179" t="inlineStr">
        <is>
          <t>ÖSTERGÖTLANDS LÄN</t>
        </is>
      </c>
      <c r="E179" t="inlineStr">
        <is>
          <t>KINDA</t>
        </is>
      </c>
      <c r="G179" t="n">
        <v>3.2</v>
      </c>
      <c r="H179" t="n">
        <v>0</v>
      </c>
      <c r="I179" t="n">
        <v>0</v>
      </c>
      <c r="J179" t="n">
        <v>0</v>
      </c>
      <c r="K179" t="n">
        <v>0</v>
      </c>
      <c r="L179" t="n">
        <v>0</v>
      </c>
      <c r="M179" t="n">
        <v>0</v>
      </c>
      <c r="N179" t="n">
        <v>0</v>
      </c>
      <c r="O179" t="n">
        <v>0</v>
      </c>
      <c r="P179" t="n">
        <v>0</v>
      </c>
      <c r="Q179" t="n">
        <v>0</v>
      </c>
      <c r="R179" s="2" t="inlineStr"/>
    </row>
    <row r="180" ht="15" customHeight="1">
      <c r="A180" t="inlineStr">
        <is>
          <t>A 29445-2024</t>
        </is>
      </c>
      <c r="B180" s="1" t="n">
        <v>45483</v>
      </c>
      <c r="C180" s="1" t="n">
        <v>46194</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35650-2022</t>
        </is>
      </c>
      <c r="B181" s="1" t="n">
        <v>44799</v>
      </c>
      <c r="C181" s="1" t="n">
        <v>46194</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35654-2022</t>
        </is>
      </c>
      <c r="B182" s="1" t="n">
        <v>44799</v>
      </c>
      <c r="C182" s="1" t="n">
        <v>46194</v>
      </c>
      <c r="D182" t="inlineStr">
        <is>
          <t>ÖSTERGÖTLANDS LÄN</t>
        </is>
      </c>
      <c r="E182" t="inlineStr">
        <is>
          <t>KINDA</t>
        </is>
      </c>
      <c r="G182" t="n">
        <v>3</v>
      </c>
      <c r="H182" t="n">
        <v>0</v>
      </c>
      <c r="I182" t="n">
        <v>0</v>
      </c>
      <c r="J182" t="n">
        <v>0</v>
      </c>
      <c r="K182" t="n">
        <v>0</v>
      </c>
      <c r="L182" t="n">
        <v>0</v>
      </c>
      <c r="M182" t="n">
        <v>0</v>
      </c>
      <c r="N182" t="n">
        <v>0</v>
      </c>
      <c r="O182" t="n">
        <v>0</v>
      </c>
      <c r="P182" t="n">
        <v>0</v>
      </c>
      <c r="Q182" t="n">
        <v>0</v>
      </c>
      <c r="R182" s="2" t="inlineStr"/>
    </row>
    <row r="183" ht="15" customHeight="1">
      <c r="A183" t="inlineStr">
        <is>
          <t>A 48386-2021</t>
        </is>
      </c>
      <c r="B183" s="1" t="n">
        <v>44451</v>
      </c>
      <c r="C183" s="1" t="n">
        <v>46194</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13673-2024</t>
        </is>
      </c>
      <c r="B184" s="1" t="n">
        <v>45390</v>
      </c>
      <c r="C184" s="1" t="n">
        <v>46194</v>
      </c>
      <c r="D184" t="inlineStr">
        <is>
          <t>ÖSTERGÖTLANDS LÄN</t>
        </is>
      </c>
      <c r="E184" t="inlineStr">
        <is>
          <t>KINDA</t>
        </is>
      </c>
      <c r="F184" t="inlineStr">
        <is>
          <t>Övriga Aktiebolag</t>
        </is>
      </c>
      <c r="G184" t="n">
        <v>0.9</v>
      </c>
      <c r="H184" t="n">
        <v>0</v>
      </c>
      <c r="I184" t="n">
        <v>0</v>
      </c>
      <c r="J184" t="n">
        <v>0</v>
      </c>
      <c r="K184" t="n">
        <v>0</v>
      </c>
      <c r="L184" t="n">
        <v>0</v>
      </c>
      <c r="M184" t="n">
        <v>0</v>
      </c>
      <c r="N184" t="n">
        <v>0</v>
      </c>
      <c r="O184" t="n">
        <v>0</v>
      </c>
      <c r="P184" t="n">
        <v>0</v>
      </c>
      <c r="Q184" t="n">
        <v>0</v>
      </c>
      <c r="R184" s="2" t="inlineStr"/>
    </row>
    <row r="185" ht="15" customHeight="1">
      <c r="A185" t="inlineStr">
        <is>
          <t>A 9465-2022</t>
        </is>
      </c>
      <c r="B185" s="1" t="n">
        <v>44616</v>
      </c>
      <c r="C185" s="1" t="n">
        <v>46194</v>
      </c>
      <c r="D185" t="inlineStr">
        <is>
          <t>ÖSTERGÖTLANDS LÄN</t>
        </is>
      </c>
      <c r="E185" t="inlineStr">
        <is>
          <t>KINDA</t>
        </is>
      </c>
      <c r="G185" t="n">
        <v>1.9</v>
      </c>
      <c r="H185" t="n">
        <v>0</v>
      </c>
      <c r="I185" t="n">
        <v>0</v>
      </c>
      <c r="J185" t="n">
        <v>0</v>
      </c>
      <c r="K185" t="n">
        <v>0</v>
      </c>
      <c r="L185" t="n">
        <v>0</v>
      </c>
      <c r="M185" t="n">
        <v>0</v>
      </c>
      <c r="N185" t="n">
        <v>0</v>
      </c>
      <c r="O185" t="n">
        <v>0</v>
      </c>
      <c r="P185" t="n">
        <v>0</v>
      </c>
      <c r="Q185" t="n">
        <v>0</v>
      </c>
      <c r="R185" s="2" t="inlineStr"/>
    </row>
    <row r="186" ht="15" customHeight="1">
      <c r="A186" t="inlineStr">
        <is>
          <t>A 60824-2023</t>
        </is>
      </c>
      <c r="B186" s="1" t="n">
        <v>45260</v>
      </c>
      <c r="C186" s="1" t="n">
        <v>46194</v>
      </c>
      <c r="D186" t="inlineStr">
        <is>
          <t>ÖSTERGÖTLANDS LÄN</t>
        </is>
      </c>
      <c r="E186" t="inlineStr">
        <is>
          <t>KINDA</t>
        </is>
      </c>
      <c r="G186" t="n">
        <v>3.1</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46194</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5706-2024</t>
        </is>
      </c>
      <c r="B188" s="1" t="n">
        <v>45334</v>
      </c>
      <c r="C188" s="1" t="n">
        <v>46194</v>
      </c>
      <c r="D188" t="inlineStr">
        <is>
          <t>ÖSTERGÖTLANDS LÄN</t>
        </is>
      </c>
      <c r="E188" t="inlineStr">
        <is>
          <t>KINDA</t>
        </is>
      </c>
      <c r="G188" t="n">
        <v>5.3</v>
      </c>
      <c r="H188" t="n">
        <v>0</v>
      </c>
      <c r="I188" t="n">
        <v>0</v>
      </c>
      <c r="J188" t="n">
        <v>0</v>
      </c>
      <c r="K188" t="n">
        <v>0</v>
      </c>
      <c r="L188" t="n">
        <v>0</v>
      </c>
      <c r="M188" t="n">
        <v>0</v>
      </c>
      <c r="N188" t="n">
        <v>0</v>
      </c>
      <c r="O188" t="n">
        <v>0</v>
      </c>
      <c r="P188" t="n">
        <v>0</v>
      </c>
      <c r="Q188" t="n">
        <v>0</v>
      </c>
      <c r="R188" s="2" t="inlineStr"/>
    </row>
    <row r="189" ht="15" customHeight="1">
      <c r="A189" t="inlineStr">
        <is>
          <t>A 62491-2023</t>
        </is>
      </c>
      <c r="B189" s="1" t="n">
        <v>45267</v>
      </c>
      <c r="C189" s="1" t="n">
        <v>46194</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35218-2023</t>
        </is>
      </c>
      <c r="B190" s="1" t="n">
        <v>45145</v>
      </c>
      <c r="C190" s="1" t="n">
        <v>46194</v>
      </c>
      <c r="D190" t="inlineStr">
        <is>
          <t>ÖSTERGÖTLANDS LÄN</t>
        </is>
      </c>
      <c r="E190" t="inlineStr">
        <is>
          <t>KINDA</t>
        </is>
      </c>
      <c r="G190" t="n">
        <v>0.7</v>
      </c>
      <c r="H190" t="n">
        <v>0</v>
      </c>
      <c r="I190" t="n">
        <v>0</v>
      </c>
      <c r="J190" t="n">
        <v>0</v>
      </c>
      <c r="K190" t="n">
        <v>0</v>
      </c>
      <c r="L190" t="n">
        <v>0</v>
      </c>
      <c r="M190" t="n">
        <v>0</v>
      </c>
      <c r="N190" t="n">
        <v>0</v>
      </c>
      <c r="O190" t="n">
        <v>0</v>
      </c>
      <c r="P190" t="n">
        <v>0</v>
      </c>
      <c r="Q190" t="n">
        <v>0</v>
      </c>
      <c r="R190" s="2" t="inlineStr"/>
    </row>
    <row r="191" ht="15" customHeight="1">
      <c r="A191" t="inlineStr">
        <is>
          <t>A 14817-2023</t>
        </is>
      </c>
      <c r="B191" s="1" t="n">
        <v>45014</v>
      </c>
      <c r="C191" s="1" t="n">
        <v>46194</v>
      </c>
      <c r="D191" t="inlineStr">
        <is>
          <t>ÖSTERGÖTLANDS LÄN</t>
        </is>
      </c>
      <c r="E191" t="inlineStr">
        <is>
          <t>KINDA</t>
        </is>
      </c>
      <c r="G191" t="n">
        <v>0.5</v>
      </c>
      <c r="H191" t="n">
        <v>0</v>
      </c>
      <c r="I191" t="n">
        <v>0</v>
      </c>
      <c r="J191" t="n">
        <v>0</v>
      </c>
      <c r="K191" t="n">
        <v>0</v>
      </c>
      <c r="L191" t="n">
        <v>0</v>
      </c>
      <c r="M191" t="n">
        <v>0</v>
      </c>
      <c r="N191" t="n">
        <v>0</v>
      </c>
      <c r="O191" t="n">
        <v>0</v>
      </c>
      <c r="P191" t="n">
        <v>0</v>
      </c>
      <c r="Q191" t="n">
        <v>0</v>
      </c>
      <c r="R191" s="2" t="inlineStr"/>
    </row>
    <row r="192" ht="15" customHeight="1">
      <c r="A192" t="inlineStr">
        <is>
          <t>A 27648-2023</t>
        </is>
      </c>
      <c r="B192" s="1" t="n">
        <v>45097</v>
      </c>
      <c r="C192" s="1" t="n">
        <v>46194</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57457-2021</t>
        </is>
      </c>
      <c r="B193" s="1" t="n">
        <v>44483</v>
      </c>
      <c r="C193" s="1" t="n">
        <v>46194</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37880-2022</t>
        </is>
      </c>
      <c r="B194" s="1" t="n">
        <v>44811</v>
      </c>
      <c r="C194" s="1" t="n">
        <v>46194</v>
      </c>
      <c r="D194" t="inlineStr">
        <is>
          <t>ÖSTERGÖTLANDS LÄN</t>
        </is>
      </c>
      <c r="E194" t="inlineStr">
        <is>
          <t>KINDA</t>
        </is>
      </c>
      <c r="G194" t="n">
        <v>4.1</v>
      </c>
      <c r="H194" t="n">
        <v>0</v>
      </c>
      <c r="I194" t="n">
        <v>0</v>
      </c>
      <c r="J194" t="n">
        <v>0</v>
      </c>
      <c r="K194" t="n">
        <v>0</v>
      </c>
      <c r="L194" t="n">
        <v>0</v>
      </c>
      <c r="M194" t="n">
        <v>0</v>
      </c>
      <c r="N194" t="n">
        <v>0</v>
      </c>
      <c r="O194" t="n">
        <v>0</v>
      </c>
      <c r="P194" t="n">
        <v>0</v>
      </c>
      <c r="Q194" t="n">
        <v>0</v>
      </c>
      <c r="R194" s="2" t="inlineStr"/>
    </row>
    <row r="195" ht="15" customHeight="1">
      <c r="A195" t="inlineStr">
        <is>
          <t>A 57497-2021</t>
        </is>
      </c>
      <c r="B195" s="1" t="n">
        <v>44483</v>
      </c>
      <c r="C195" s="1" t="n">
        <v>46194</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49443-2021</t>
        </is>
      </c>
      <c r="B196" s="1" t="n">
        <v>44454</v>
      </c>
      <c r="C196" s="1" t="n">
        <v>46194</v>
      </c>
      <c r="D196" t="inlineStr">
        <is>
          <t>ÖSTERGÖTLANDS LÄN</t>
        </is>
      </c>
      <c r="E196" t="inlineStr">
        <is>
          <t>KINDA</t>
        </is>
      </c>
      <c r="G196" t="n">
        <v>1.7</v>
      </c>
      <c r="H196" t="n">
        <v>0</v>
      </c>
      <c r="I196" t="n">
        <v>0</v>
      </c>
      <c r="J196" t="n">
        <v>0</v>
      </c>
      <c r="K196" t="n">
        <v>0</v>
      </c>
      <c r="L196" t="n">
        <v>0</v>
      </c>
      <c r="M196" t="n">
        <v>0</v>
      </c>
      <c r="N196" t="n">
        <v>0</v>
      </c>
      <c r="O196" t="n">
        <v>0</v>
      </c>
      <c r="P196" t="n">
        <v>0</v>
      </c>
      <c r="Q196" t="n">
        <v>0</v>
      </c>
      <c r="R196" s="2" t="inlineStr"/>
    </row>
    <row r="197" ht="15" customHeight="1">
      <c r="A197" t="inlineStr">
        <is>
          <t>A 9573-2024</t>
        </is>
      </c>
      <c r="B197" s="1" t="n">
        <v>45360</v>
      </c>
      <c r="C197" s="1" t="n">
        <v>46194</v>
      </c>
      <c r="D197" t="inlineStr">
        <is>
          <t>ÖSTERGÖTLANDS LÄN</t>
        </is>
      </c>
      <c r="E197" t="inlineStr">
        <is>
          <t>KINDA</t>
        </is>
      </c>
      <c r="G197" t="n">
        <v>0.3</v>
      </c>
      <c r="H197" t="n">
        <v>0</v>
      </c>
      <c r="I197" t="n">
        <v>0</v>
      </c>
      <c r="J197" t="n">
        <v>0</v>
      </c>
      <c r="K197" t="n">
        <v>0</v>
      </c>
      <c r="L197" t="n">
        <v>0</v>
      </c>
      <c r="M197" t="n">
        <v>0</v>
      </c>
      <c r="N197" t="n">
        <v>0</v>
      </c>
      <c r="O197" t="n">
        <v>0</v>
      </c>
      <c r="P197" t="n">
        <v>0</v>
      </c>
      <c r="Q197" t="n">
        <v>0</v>
      </c>
      <c r="R197" s="2" t="inlineStr"/>
    </row>
    <row r="198" ht="15" customHeight="1">
      <c r="A198" t="inlineStr">
        <is>
          <t>A 9578-2024</t>
        </is>
      </c>
      <c r="B198" s="1" t="n">
        <v>45360</v>
      </c>
      <c r="C198" s="1" t="n">
        <v>46194</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24067-2022</t>
        </is>
      </c>
      <c r="B199" s="1" t="n">
        <v>44725</v>
      </c>
      <c r="C199" s="1" t="n">
        <v>46194</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27966-2023</t>
        </is>
      </c>
      <c r="B200" s="1" t="n">
        <v>45098</v>
      </c>
      <c r="C200" s="1" t="n">
        <v>46194</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34627-2023</t>
        </is>
      </c>
      <c r="B201" s="1" t="n">
        <v>45139</v>
      </c>
      <c r="C201" s="1" t="n">
        <v>46194</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16611-2023</t>
        </is>
      </c>
      <c r="B202" s="1" t="n">
        <v>45030</v>
      </c>
      <c r="C202" s="1" t="n">
        <v>46194</v>
      </c>
      <c r="D202" t="inlineStr">
        <is>
          <t>ÖSTERGÖTLANDS LÄN</t>
        </is>
      </c>
      <c r="E202" t="inlineStr">
        <is>
          <t>KINDA</t>
        </is>
      </c>
      <c r="G202" t="n">
        <v>4.3</v>
      </c>
      <c r="H202" t="n">
        <v>0</v>
      </c>
      <c r="I202" t="n">
        <v>0</v>
      </c>
      <c r="J202" t="n">
        <v>0</v>
      </c>
      <c r="K202" t="n">
        <v>0</v>
      </c>
      <c r="L202" t="n">
        <v>0</v>
      </c>
      <c r="M202" t="n">
        <v>0</v>
      </c>
      <c r="N202" t="n">
        <v>0</v>
      </c>
      <c r="O202" t="n">
        <v>0</v>
      </c>
      <c r="P202" t="n">
        <v>0</v>
      </c>
      <c r="Q202" t="n">
        <v>0</v>
      </c>
      <c r="R202" s="2" t="inlineStr"/>
    </row>
    <row r="203" ht="15" customHeight="1">
      <c r="A203" t="inlineStr">
        <is>
          <t>A 10806-2024</t>
        </is>
      </c>
      <c r="B203" s="1" t="n">
        <v>45369</v>
      </c>
      <c r="C203" s="1" t="n">
        <v>46194</v>
      </c>
      <c r="D203" t="inlineStr">
        <is>
          <t>ÖSTERGÖTLANDS LÄN</t>
        </is>
      </c>
      <c r="E203" t="inlineStr">
        <is>
          <t>KINDA</t>
        </is>
      </c>
      <c r="G203" t="n">
        <v>4.2</v>
      </c>
      <c r="H203" t="n">
        <v>0</v>
      </c>
      <c r="I203" t="n">
        <v>0</v>
      </c>
      <c r="J203" t="n">
        <v>0</v>
      </c>
      <c r="K203" t="n">
        <v>0</v>
      </c>
      <c r="L203" t="n">
        <v>0</v>
      </c>
      <c r="M203" t="n">
        <v>0</v>
      </c>
      <c r="N203" t="n">
        <v>0</v>
      </c>
      <c r="O203" t="n">
        <v>0</v>
      </c>
      <c r="P203" t="n">
        <v>0</v>
      </c>
      <c r="Q203" t="n">
        <v>0</v>
      </c>
      <c r="R203" s="2" t="inlineStr"/>
    </row>
    <row r="204" ht="15" customHeight="1">
      <c r="A204" t="inlineStr">
        <is>
          <t>A 10823-2024</t>
        </is>
      </c>
      <c r="B204" s="1" t="n">
        <v>45369</v>
      </c>
      <c r="C204" s="1" t="n">
        <v>46194</v>
      </c>
      <c r="D204" t="inlineStr">
        <is>
          <t>ÖSTERGÖTLANDS LÄN</t>
        </is>
      </c>
      <c r="E204" t="inlineStr">
        <is>
          <t>KINDA</t>
        </is>
      </c>
      <c r="G204" t="n">
        <v>0.5</v>
      </c>
      <c r="H204" t="n">
        <v>0</v>
      </c>
      <c r="I204" t="n">
        <v>0</v>
      </c>
      <c r="J204" t="n">
        <v>0</v>
      </c>
      <c r="K204" t="n">
        <v>0</v>
      </c>
      <c r="L204" t="n">
        <v>0</v>
      </c>
      <c r="M204" t="n">
        <v>0</v>
      </c>
      <c r="N204" t="n">
        <v>0</v>
      </c>
      <c r="O204" t="n">
        <v>0</v>
      </c>
      <c r="P204" t="n">
        <v>0</v>
      </c>
      <c r="Q204" t="n">
        <v>0</v>
      </c>
      <c r="R204" s="2" t="inlineStr"/>
    </row>
    <row r="205" ht="15" customHeight="1">
      <c r="A205" t="inlineStr">
        <is>
          <t>A 43069-2024</t>
        </is>
      </c>
      <c r="B205" s="1" t="n">
        <v>45567</v>
      </c>
      <c r="C205" s="1" t="n">
        <v>46194</v>
      </c>
      <c r="D205" t="inlineStr">
        <is>
          <t>ÖSTERGÖTLANDS LÄN</t>
        </is>
      </c>
      <c r="E205" t="inlineStr">
        <is>
          <t>KINDA</t>
        </is>
      </c>
      <c r="G205" t="n">
        <v>4.1</v>
      </c>
      <c r="H205" t="n">
        <v>0</v>
      </c>
      <c r="I205" t="n">
        <v>0</v>
      </c>
      <c r="J205" t="n">
        <v>0</v>
      </c>
      <c r="K205" t="n">
        <v>0</v>
      </c>
      <c r="L205" t="n">
        <v>0</v>
      </c>
      <c r="M205" t="n">
        <v>0</v>
      </c>
      <c r="N205" t="n">
        <v>0</v>
      </c>
      <c r="O205" t="n">
        <v>0</v>
      </c>
      <c r="P205" t="n">
        <v>0</v>
      </c>
      <c r="Q205" t="n">
        <v>0</v>
      </c>
      <c r="R205" s="2" t="inlineStr"/>
    </row>
    <row r="206" ht="15" customHeight="1">
      <c r="A206" t="inlineStr">
        <is>
          <t>A 51836-2021</t>
        </is>
      </c>
      <c r="B206" s="1" t="n">
        <v>44462</v>
      </c>
      <c r="C206" s="1" t="n">
        <v>46194</v>
      </c>
      <c r="D206" t="inlineStr">
        <is>
          <t>ÖSTERGÖTLANDS LÄN</t>
        </is>
      </c>
      <c r="E206" t="inlineStr">
        <is>
          <t>KINDA</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35104-2023</t>
        </is>
      </c>
      <c r="B207" s="1" t="n">
        <v>45145</v>
      </c>
      <c r="C207" s="1" t="n">
        <v>46194</v>
      </c>
      <c r="D207" t="inlineStr">
        <is>
          <t>ÖSTERGÖTLANDS LÄN</t>
        </is>
      </c>
      <c r="E207" t="inlineStr">
        <is>
          <t>KINDA</t>
        </is>
      </c>
      <c r="G207" t="n">
        <v>2.6</v>
      </c>
      <c r="H207" t="n">
        <v>0</v>
      </c>
      <c r="I207" t="n">
        <v>0</v>
      </c>
      <c r="J207" t="n">
        <v>0</v>
      </c>
      <c r="K207" t="n">
        <v>0</v>
      </c>
      <c r="L207" t="n">
        <v>0</v>
      </c>
      <c r="M207" t="n">
        <v>0</v>
      </c>
      <c r="N207" t="n">
        <v>0</v>
      </c>
      <c r="O207" t="n">
        <v>0</v>
      </c>
      <c r="P207" t="n">
        <v>0</v>
      </c>
      <c r="Q207" t="n">
        <v>0</v>
      </c>
      <c r="R207" s="2" t="inlineStr"/>
    </row>
    <row r="208" ht="15" customHeight="1">
      <c r="A208" t="inlineStr">
        <is>
          <t>A 43074-2024</t>
        </is>
      </c>
      <c r="B208" s="1" t="n">
        <v>45567</v>
      </c>
      <c r="C208" s="1" t="n">
        <v>46194</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34139-2021</t>
        </is>
      </c>
      <c r="B209" s="1" t="n">
        <v>44379</v>
      </c>
      <c r="C209" s="1" t="n">
        <v>46194</v>
      </c>
      <c r="D209" t="inlineStr">
        <is>
          <t>ÖSTERGÖTLANDS LÄN</t>
        </is>
      </c>
      <c r="E209" t="inlineStr">
        <is>
          <t>KINDA</t>
        </is>
      </c>
      <c r="G209" t="n">
        <v>2.2</v>
      </c>
      <c r="H209" t="n">
        <v>0</v>
      </c>
      <c r="I209" t="n">
        <v>0</v>
      </c>
      <c r="J209" t="n">
        <v>0</v>
      </c>
      <c r="K209" t="n">
        <v>0</v>
      </c>
      <c r="L209" t="n">
        <v>0</v>
      </c>
      <c r="M209" t="n">
        <v>0</v>
      </c>
      <c r="N209" t="n">
        <v>0</v>
      </c>
      <c r="O209" t="n">
        <v>0</v>
      </c>
      <c r="P209" t="n">
        <v>0</v>
      </c>
      <c r="Q209" t="n">
        <v>0</v>
      </c>
      <c r="R209" s="2" t="inlineStr"/>
    </row>
    <row r="210" ht="15" customHeight="1">
      <c r="A210" t="inlineStr">
        <is>
          <t>A 15110-2022</t>
        </is>
      </c>
      <c r="B210" s="1" t="n">
        <v>44657</v>
      </c>
      <c r="C210" s="1" t="n">
        <v>46194</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45450-2024</t>
        </is>
      </c>
      <c r="B211" s="1" t="n">
        <v>45576</v>
      </c>
      <c r="C211" s="1" t="n">
        <v>46194</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4368-2025</t>
        </is>
      </c>
      <c r="B212" s="1" t="n">
        <v>45686</v>
      </c>
      <c r="C212" s="1" t="n">
        <v>46194</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21795-2024</t>
        </is>
      </c>
      <c r="B213" s="1" t="n">
        <v>45442</v>
      </c>
      <c r="C213" s="1" t="n">
        <v>46194</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12269-2023</t>
        </is>
      </c>
      <c r="B214" s="1" t="n">
        <v>44998</v>
      </c>
      <c r="C214" s="1" t="n">
        <v>46194</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51830-2024</t>
        </is>
      </c>
      <c r="B215" s="1" t="n">
        <v>45607</v>
      </c>
      <c r="C215" s="1" t="n">
        <v>46194</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35213-2023</t>
        </is>
      </c>
      <c r="B216" s="1" t="n">
        <v>45145</v>
      </c>
      <c r="C216" s="1" t="n">
        <v>46194</v>
      </c>
      <c r="D216" t="inlineStr">
        <is>
          <t>ÖSTERGÖTLANDS LÄN</t>
        </is>
      </c>
      <c r="E216" t="inlineStr">
        <is>
          <t>KINDA</t>
        </is>
      </c>
      <c r="G216" t="n">
        <v>2.4</v>
      </c>
      <c r="H216" t="n">
        <v>0</v>
      </c>
      <c r="I216" t="n">
        <v>0</v>
      </c>
      <c r="J216" t="n">
        <v>0</v>
      </c>
      <c r="K216" t="n">
        <v>0</v>
      </c>
      <c r="L216" t="n">
        <v>0</v>
      </c>
      <c r="M216" t="n">
        <v>0</v>
      </c>
      <c r="N216" t="n">
        <v>0</v>
      </c>
      <c r="O216" t="n">
        <v>0</v>
      </c>
      <c r="P216" t="n">
        <v>0</v>
      </c>
      <c r="Q216" t="n">
        <v>0</v>
      </c>
      <c r="R216" s="2" t="inlineStr"/>
    </row>
    <row r="217" ht="15" customHeight="1">
      <c r="A217" t="inlineStr">
        <is>
          <t>A 57894-2021</t>
        </is>
      </c>
      <c r="B217" s="1" t="n">
        <v>44486</v>
      </c>
      <c r="C217" s="1" t="n">
        <v>46194</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71098-2021</t>
        </is>
      </c>
      <c r="B218" s="1" t="n">
        <v>44539</v>
      </c>
      <c r="C218" s="1" t="n">
        <v>46194</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5197-2022</t>
        </is>
      </c>
      <c r="B219" s="1" t="n">
        <v>44594</v>
      </c>
      <c r="C219" s="1" t="n">
        <v>46194</v>
      </c>
      <c r="D219" t="inlineStr">
        <is>
          <t>ÖSTERGÖTLANDS LÄN</t>
        </is>
      </c>
      <c r="E219" t="inlineStr">
        <is>
          <t>KINDA</t>
        </is>
      </c>
      <c r="G219" t="n">
        <v>2.6</v>
      </c>
      <c r="H219" t="n">
        <v>0</v>
      </c>
      <c r="I219" t="n">
        <v>0</v>
      </c>
      <c r="J219" t="n">
        <v>0</v>
      </c>
      <c r="K219" t="n">
        <v>0</v>
      </c>
      <c r="L219" t="n">
        <v>0</v>
      </c>
      <c r="M219" t="n">
        <v>0</v>
      </c>
      <c r="N219" t="n">
        <v>0</v>
      </c>
      <c r="O219" t="n">
        <v>0</v>
      </c>
      <c r="P219" t="n">
        <v>0</v>
      </c>
      <c r="Q219" t="n">
        <v>0</v>
      </c>
      <c r="R219" s="2" t="inlineStr"/>
    </row>
    <row r="220" ht="15" customHeight="1">
      <c r="A220" t="inlineStr">
        <is>
          <t>A 41657-2024</t>
        </is>
      </c>
      <c r="B220" s="1" t="n">
        <v>45560</v>
      </c>
      <c r="C220" s="1" t="n">
        <v>46194</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8233-2023</t>
        </is>
      </c>
      <c r="B221" s="1" t="n">
        <v>44974</v>
      </c>
      <c r="C221" s="1" t="n">
        <v>46194</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7216-2023</t>
        </is>
      </c>
      <c r="B222" s="1" t="n">
        <v>44970</v>
      </c>
      <c r="C222" s="1" t="n">
        <v>46194</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6098-2023</t>
        </is>
      </c>
      <c r="B223" s="1" t="n">
        <v>44964</v>
      </c>
      <c r="C223" s="1" t="n">
        <v>46194</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53239-2024</t>
        </is>
      </c>
      <c r="B224" s="1" t="n">
        <v>45613</v>
      </c>
      <c r="C224" s="1" t="n">
        <v>46194</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74446-2021</t>
        </is>
      </c>
      <c r="B225" s="1" t="n">
        <v>44560</v>
      </c>
      <c r="C225" s="1" t="n">
        <v>46194</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12461-2024</t>
        </is>
      </c>
      <c r="B226" s="1" t="n">
        <v>45379</v>
      </c>
      <c r="C226" s="1" t="n">
        <v>46194</v>
      </c>
      <c r="D226" t="inlineStr">
        <is>
          <t>ÖSTERGÖTLANDS LÄN</t>
        </is>
      </c>
      <c r="E226" t="inlineStr">
        <is>
          <t>KINDA</t>
        </is>
      </c>
      <c r="G226" t="n">
        <v>1.9</v>
      </c>
      <c r="H226" t="n">
        <v>0</v>
      </c>
      <c r="I226" t="n">
        <v>0</v>
      </c>
      <c r="J226" t="n">
        <v>0</v>
      </c>
      <c r="K226" t="n">
        <v>0</v>
      </c>
      <c r="L226" t="n">
        <v>0</v>
      </c>
      <c r="M226" t="n">
        <v>0</v>
      </c>
      <c r="N226" t="n">
        <v>0</v>
      </c>
      <c r="O226" t="n">
        <v>0</v>
      </c>
      <c r="P226" t="n">
        <v>0</v>
      </c>
      <c r="Q226" t="n">
        <v>0</v>
      </c>
      <c r="R226" s="2" t="inlineStr"/>
    </row>
    <row r="227" ht="15" customHeight="1">
      <c r="A227" t="inlineStr">
        <is>
          <t>A 53319-2023</t>
        </is>
      </c>
      <c r="B227" s="1" t="n">
        <v>45229</v>
      </c>
      <c r="C227" s="1" t="n">
        <v>46194</v>
      </c>
      <c r="D227" t="inlineStr">
        <is>
          <t>ÖSTERGÖTLANDS LÄN</t>
        </is>
      </c>
      <c r="E227" t="inlineStr">
        <is>
          <t>KINDA</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24454-2023</t>
        </is>
      </c>
      <c r="B228" s="1" t="n">
        <v>45082</v>
      </c>
      <c r="C228" s="1" t="n">
        <v>46194</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47724-2024</t>
        </is>
      </c>
      <c r="B229" s="1" t="n">
        <v>45588</v>
      </c>
      <c r="C229" s="1" t="n">
        <v>46194</v>
      </c>
      <c r="D229" t="inlineStr">
        <is>
          <t>ÖSTERGÖTLANDS LÄN</t>
        </is>
      </c>
      <c r="E229" t="inlineStr">
        <is>
          <t>KINDA</t>
        </is>
      </c>
      <c r="G229" t="n">
        <v>2.6</v>
      </c>
      <c r="H229" t="n">
        <v>0</v>
      </c>
      <c r="I229" t="n">
        <v>0</v>
      </c>
      <c r="J229" t="n">
        <v>0</v>
      </c>
      <c r="K229" t="n">
        <v>0</v>
      </c>
      <c r="L229" t="n">
        <v>0</v>
      </c>
      <c r="M229" t="n">
        <v>0</v>
      </c>
      <c r="N229" t="n">
        <v>0</v>
      </c>
      <c r="O229" t="n">
        <v>0</v>
      </c>
      <c r="P229" t="n">
        <v>0</v>
      </c>
      <c r="Q229" t="n">
        <v>0</v>
      </c>
      <c r="R229" s="2" t="inlineStr"/>
    </row>
    <row r="230" ht="15" customHeight="1">
      <c r="A230" t="inlineStr">
        <is>
          <t>A 44303-2023</t>
        </is>
      </c>
      <c r="B230" s="1" t="n">
        <v>45188</v>
      </c>
      <c r="C230" s="1" t="n">
        <v>46194</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44278-2022</t>
        </is>
      </c>
      <c r="B231" s="1" t="n">
        <v>44839</v>
      </c>
      <c r="C231" s="1" t="n">
        <v>46194</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34882-2023</t>
        </is>
      </c>
      <c r="B232" s="1" t="n">
        <v>45141</v>
      </c>
      <c r="C232" s="1" t="n">
        <v>46194</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61960-2022</t>
        </is>
      </c>
      <c r="B233" s="1" t="n">
        <v>44918</v>
      </c>
      <c r="C233" s="1" t="n">
        <v>46194</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46194</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54671-2023</t>
        </is>
      </c>
      <c r="B235" s="1" t="n">
        <v>45235</v>
      </c>
      <c r="C235" s="1" t="n">
        <v>46194</v>
      </c>
      <c r="D235" t="inlineStr">
        <is>
          <t>ÖSTERGÖTLANDS LÄN</t>
        </is>
      </c>
      <c r="E235" t="inlineStr">
        <is>
          <t>KINDA</t>
        </is>
      </c>
      <c r="G235" t="n">
        <v>10.8</v>
      </c>
      <c r="H235" t="n">
        <v>0</v>
      </c>
      <c r="I235" t="n">
        <v>0</v>
      </c>
      <c r="J235" t="n">
        <v>0</v>
      </c>
      <c r="K235" t="n">
        <v>0</v>
      </c>
      <c r="L235" t="n">
        <v>0</v>
      </c>
      <c r="M235" t="n">
        <v>0</v>
      </c>
      <c r="N235" t="n">
        <v>0</v>
      </c>
      <c r="O235" t="n">
        <v>0</v>
      </c>
      <c r="P235" t="n">
        <v>0</v>
      </c>
      <c r="Q235" t="n">
        <v>0</v>
      </c>
      <c r="R235" s="2" t="inlineStr"/>
    </row>
    <row r="236" ht="15" customHeight="1">
      <c r="A236" t="inlineStr">
        <is>
          <t>A 37831-2023</t>
        </is>
      </c>
      <c r="B236" s="1" t="n">
        <v>45160</v>
      </c>
      <c r="C236" s="1" t="n">
        <v>46194</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13064-2024</t>
        </is>
      </c>
      <c r="B237" s="1" t="n">
        <v>45385</v>
      </c>
      <c r="C237" s="1" t="n">
        <v>46194</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37397-2024</t>
        </is>
      </c>
      <c r="B238" s="1" t="n">
        <v>45540</v>
      </c>
      <c r="C238" s="1" t="n">
        <v>46194</v>
      </c>
      <c r="D238" t="inlineStr">
        <is>
          <t>ÖSTERGÖTLANDS LÄN</t>
        </is>
      </c>
      <c r="E238" t="inlineStr">
        <is>
          <t>KINDA</t>
        </is>
      </c>
      <c r="G238" t="n">
        <v>1.2</v>
      </c>
      <c r="H238" t="n">
        <v>0</v>
      </c>
      <c r="I238" t="n">
        <v>0</v>
      </c>
      <c r="J238" t="n">
        <v>0</v>
      </c>
      <c r="K238" t="n">
        <v>0</v>
      </c>
      <c r="L238" t="n">
        <v>0</v>
      </c>
      <c r="M238" t="n">
        <v>0</v>
      </c>
      <c r="N238" t="n">
        <v>0</v>
      </c>
      <c r="O238" t="n">
        <v>0</v>
      </c>
      <c r="P238" t="n">
        <v>0</v>
      </c>
      <c r="Q238" t="n">
        <v>0</v>
      </c>
      <c r="R238" s="2" t="inlineStr"/>
    </row>
    <row r="239" ht="15" customHeight="1">
      <c r="A239" t="inlineStr">
        <is>
          <t>A 13782-2023</t>
        </is>
      </c>
      <c r="B239" s="1" t="n">
        <v>45007</v>
      </c>
      <c r="C239" s="1" t="n">
        <v>46194</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57690-2021</t>
        </is>
      </c>
      <c r="B240" s="1" t="n">
        <v>44484</v>
      </c>
      <c r="C240" s="1" t="n">
        <v>46194</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24844-2024</t>
        </is>
      </c>
      <c r="B241" s="1" t="n">
        <v>45461</v>
      </c>
      <c r="C241" s="1" t="n">
        <v>46194</v>
      </c>
      <c r="D241" t="inlineStr">
        <is>
          <t>ÖSTERGÖTLANDS LÄN</t>
        </is>
      </c>
      <c r="E241" t="inlineStr">
        <is>
          <t>KINDA</t>
        </is>
      </c>
      <c r="G241" t="n">
        <v>0.9</v>
      </c>
      <c r="H241" t="n">
        <v>0</v>
      </c>
      <c r="I241" t="n">
        <v>0</v>
      </c>
      <c r="J241" t="n">
        <v>0</v>
      </c>
      <c r="K241" t="n">
        <v>0</v>
      </c>
      <c r="L241" t="n">
        <v>0</v>
      </c>
      <c r="M241" t="n">
        <v>0</v>
      </c>
      <c r="N241" t="n">
        <v>0</v>
      </c>
      <c r="O241" t="n">
        <v>0</v>
      </c>
      <c r="P241" t="n">
        <v>0</v>
      </c>
      <c r="Q241" t="n">
        <v>0</v>
      </c>
      <c r="R241" s="2" t="inlineStr"/>
    </row>
    <row r="242" ht="15" customHeight="1">
      <c r="A242" t="inlineStr">
        <is>
          <t>A 7749-2024</t>
        </is>
      </c>
      <c r="B242" s="1" t="n">
        <v>45349</v>
      </c>
      <c r="C242" s="1" t="n">
        <v>46194</v>
      </c>
      <c r="D242" t="inlineStr">
        <is>
          <t>ÖSTERGÖTLANDS LÄN</t>
        </is>
      </c>
      <c r="E242" t="inlineStr">
        <is>
          <t>KINDA</t>
        </is>
      </c>
      <c r="F242" t="inlineStr">
        <is>
          <t>Övriga Aktiebolag</t>
        </is>
      </c>
      <c r="G242" t="n">
        <v>3.9</v>
      </c>
      <c r="H242" t="n">
        <v>0</v>
      </c>
      <c r="I242" t="n">
        <v>0</v>
      </c>
      <c r="J242" t="n">
        <v>0</v>
      </c>
      <c r="K242" t="n">
        <v>0</v>
      </c>
      <c r="L242" t="n">
        <v>0</v>
      </c>
      <c r="M242" t="n">
        <v>0</v>
      </c>
      <c r="N242" t="n">
        <v>0</v>
      </c>
      <c r="O242" t="n">
        <v>0</v>
      </c>
      <c r="P242" t="n">
        <v>0</v>
      </c>
      <c r="Q242" t="n">
        <v>0</v>
      </c>
      <c r="R242" s="2" t="inlineStr"/>
    </row>
    <row r="243" ht="15" customHeight="1">
      <c r="A243" t="inlineStr">
        <is>
          <t>A 2644-2025</t>
        </is>
      </c>
      <c r="B243" s="1" t="n">
        <v>45676</v>
      </c>
      <c r="C243" s="1" t="n">
        <v>46194</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2967-2024</t>
        </is>
      </c>
      <c r="B244" s="1" t="n">
        <v>45315</v>
      </c>
      <c r="C244" s="1" t="n">
        <v>46194</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51047-2022</t>
        </is>
      </c>
      <c r="B245" s="1" t="n">
        <v>44868</v>
      </c>
      <c r="C245" s="1" t="n">
        <v>46194</v>
      </c>
      <c r="D245" t="inlineStr">
        <is>
          <t>ÖSTERGÖTLANDS LÄN</t>
        </is>
      </c>
      <c r="E245" t="inlineStr">
        <is>
          <t>KINDA</t>
        </is>
      </c>
      <c r="G245" t="n">
        <v>0.9</v>
      </c>
      <c r="H245" t="n">
        <v>0</v>
      </c>
      <c r="I245" t="n">
        <v>0</v>
      </c>
      <c r="J245" t="n">
        <v>0</v>
      </c>
      <c r="K245" t="n">
        <v>0</v>
      </c>
      <c r="L245" t="n">
        <v>0</v>
      </c>
      <c r="M245" t="n">
        <v>0</v>
      </c>
      <c r="N245" t="n">
        <v>0</v>
      </c>
      <c r="O245" t="n">
        <v>0</v>
      </c>
      <c r="P245" t="n">
        <v>0</v>
      </c>
      <c r="Q245" t="n">
        <v>0</v>
      </c>
      <c r="R245" s="2" t="inlineStr"/>
    </row>
    <row r="246" ht="15" customHeight="1">
      <c r="A246" t="inlineStr">
        <is>
          <t>A 17366-2023</t>
        </is>
      </c>
      <c r="B246" s="1" t="n">
        <v>45035</v>
      </c>
      <c r="C246" s="1" t="n">
        <v>46194</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20829-2022</t>
        </is>
      </c>
      <c r="B247" s="1" t="n">
        <v>44701</v>
      </c>
      <c r="C247" s="1" t="n">
        <v>46194</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57767-2022</t>
        </is>
      </c>
      <c r="B248" s="1" t="n">
        <v>44897</v>
      </c>
      <c r="C248" s="1" t="n">
        <v>46194</v>
      </c>
      <c r="D248" t="inlineStr">
        <is>
          <t>ÖSTERGÖTLANDS LÄN</t>
        </is>
      </c>
      <c r="E248" t="inlineStr">
        <is>
          <t>KINDA</t>
        </is>
      </c>
      <c r="G248" t="n">
        <v>6</v>
      </c>
      <c r="H248" t="n">
        <v>0</v>
      </c>
      <c r="I248" t="n">
        <v>0</v>
      </c>
      <c r="J248" t="n">
        <v>0</v>
      </c>
      <c r="K248" t="n">
        <v>0</v>
      </c>
      <c r="L248" t="n">
        <v>0</v>
      </c>
      <c r="M248" t="n">
        <v>0</v>
      </c>
      <c r="N248" t="n">
        <v>0</v>
      </c>
      <c r="O248" t="n">
        <v>0</v>
      </c>
      <c r="P248" t="n">
        <v>0</v>
      </c>
      <c r="Q248" t="n">
        <v>0</v>
      </c>
      <c r="R248" s="2" t="inlineStr"/>
    </row>
    <row r="249" ht="15" customHeight="1">
      <c r="A249" t="inlineStr">
        <is>
          <t>A 19545-2023</t>
        </is>
      </c>
      <c r="B249" s="1" t="n">
        <v>45049</v>
      </c>
      <c r="C249" s="1" t="n">
        <v>46194</v>
      </c>
      <c r="D249" t="inlineStr">
        <is>
          <t>ÖSTERGÖTLANDS LÄN</t>
        </is>
      </c>
      <c r="E249" t="inlineStr">
        <is>
          <t>KINDA</t>
        </is>
      </c>
      <c r="G249" t="n">
        <v>2.6</v>
      </c>
      <c r="H249" t="n">
        <v>0</v>
      </c>
      <c r="I249" t="n">
        <v>0</v>
      </c>
      <c r="J249" t="n">
        <v>0</v>
      </c>
      <c r="K249" t="n">
        <v>0</v>
      </c>
      <c r="L249" t="n">
        <v>0</v>
      </c>
      <c r="M249" t="n">
        <v>0</v>
      </c>
      <c r="N249" t="n">
        <v>0</v>
      </c>
      <c r="O249" t="n">
        <v>0</v>
      </c>
      <c r="P249" t="n">
        <v>0</v>
      </c>
      <c r="Q249" t="n">
        <v>0</v>
      </c>
      <c r="R249" s="2" t="inlineStr"/>
    </row>
    <row r="250" ht="15" customHeight="1">
      <c r="A250" t="inlineStr">
        <is>
          <t>A 21716-2024</t>
        </is>
      </c>
      <c r="B250" s="1" t="n">
        <v>45442</v>
      </c>
      <c r="C250" s="1" t="n">
        <v>46194</v>
      </c>
      <c r="D250" t="inlineStr">
        <is>
          <t>ÖSTERGÖTLANDS LÄN</t>
        </is>
      </c>
      <c r="E250" t="inlineStr">
        <is>
          <t>KINDA</t>
        </is>
      </c>
      <c r="G250" t="n">
        <v>0.2</v>
      </c>
      <c r="H250" t="n">
        <v>0</v>
      </c>
      <c r="I250" t="n">
        <v>0</v>
      </c>
      <c r="J250" t="n">
        <v>0</v>
      </c>
      <c r="K250" t="n">
        <v>0</v>
      </c>
      <c r="L250" t="n">
        <v>0</v>
      </c>
      <c r="M250" t="n">
        <v>0</v>
      </c>
      <c r="N250" t="n">
        <v>0</v>
      </c>
      <c r="O250" t="n">
        <v>0</v>
      </c>
      <c r="P250" t="n">
        <v>0</v>
      </c>
      <c r="Q250" t="n">
        <v>0</v>
      </c>
      <c r="R250" s="2" t="inlineStr"/>
    </row>
    <row r="251" ht="15" customHeight="1">
      <c r="A251" t="inlineStr">
        <is>
          <t>A 17172-2022</t>
        </is>
      </c>
      <c r="B251" s="1" t="n">
        <v>44677</v>
      </c>
      <c r="C251" s="1" t="n">
        <v>46194</v>
      </c>
      <c r="D251" t="inlineStr">
        <is>
          <t>ÖSTERGÖTLANDS LÄN</t>
        </is>
      </c>
      <c r="E251" t="inlineStr">
        <is>
          <t>KINDA</t>
        </is>
      </c>
      <c r="G251" t="n">
        <v>2.9</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46194</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9577-2024</t>
        </is>
      </c>
      <c r="B253" s="1" t="n">
        <v>45360</v>
      </c>
      <c r="C253" s="1" t="n">
        <v>46194</v>
      </c>
      <c r="D253" t="inlineStr">
        <is>
          <t>ÖSTERGÖTLANDS LÄN</t>
        </is>
      </c>
      <c r="E253" t="inlineStr">
        <is>
          <t>KINDA</t>
        </is>
      </c>
      <c r="G253" t="n">
        <v>1.3</v>
      </c>
      <c r="H253" t="n">
        <v>0</v>
      </c>
      <c r="I253" t="n">
        <v>0</v>
      </c>
      <c r="J253" t="n">
        <v>0</v>
      </c>
      <c r="K253" t="n">
        <v>0</v>
      </c>
      <c r="L253" t="n">
        <v>0</v>
      </c>
      <c r="M253" t="n">
        <v>0</v>
      </c>
      <c r="N253" t="n">
        <v>0</v>
      </c>
      <c r="O253" t="n">
        <v>0</v>
      </c>
      <c r="P253" t="n">
        <v>0</v>
      </c>
      <c r="Q253" t="n">
        <v>0</v>
      </c>
      <c r="R253" s="2" t="inlineStr"/>
    </row>
    <row r="254" ht="15" customHeight="1">
      <c r="A254" t="inlineStr">
        <is>
          <t>A 4914-2023</t>
        </is>
      </c>
      <c r="B254" s="1" t="n">
        <v>44958</v>
      </c>
      <c r="C254" s="1" t="n">
        <v>46194</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60343-2023</t>
        </is>
      </c>
      <c r="B255" s="1" t="n">
        <v>45259</v>
      </c>
      <c r="C255" s="1" t="n">
        <v>46194</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2638-2024</t>
        </is>
      </c>
      <c r="B256" s="1" t="n">
        <v>45314</v>
      </c>
      <c r="C256" s="1" t="n">
        <v>46194</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26146-2024</t>
        </is>
      </c>
      <c r="B257" s="1" t="n">
        <v>45468</v>
      </c>
      <c r="C257" s="1" t="n">
        <v>46194</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61987-2023</t>
        </is>
      </c>
      <c r="B258" s="1" t="n">
        <v>45266</v>
      </c>
      <c r="C258" s="1" t="n">
        <v>46194</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46194</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22703-2023</t>
        </is>
      </c>
      <c r="B260" s="1" t="n">
        <v>45071</v>
      </c>
      <c r="C260" s="1" t="n">
        <v>46194</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5649-2023</t>
        </is>
      </c>
      <c r="B261" s="1" t="n">
        <v>44960</v>
      </c>
      <c r="C261" s="1" t="n">
        <v>46194</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15303-2024</t>
        </is>
      </c>
      <c r="B262" s="1" t="n">
        <v>45400</v>
      </c>
      <c r="C262" s="1" t="n">
        <v>46194</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9568-2023</t>
        </is>
      </c>
      <c r="B263" s="1" t="n">
        <v>44982</v>
      </c>
      <c r="C263" s="1" t="n">
        <v>46194</v>
      </c>
      <c r="D263" t="inlineStr">
        <is>
          <t>ÖSTERGÖTLANDS LÄN</t>
        </is>
      </c>
      <c r="E263" t="inlineStr">
        <is>
          <t>KINDA</t>
        </is>
      </c>
      <c r="G263" t="n">
        <v>3</v>
      </c>
      <c r="H263" t="n">
        <v>0</v>
      </c>
      <c r="I263" t="n">
        <v>0</v>
      </c>
      <c r="J263" t="n">
        <v>0</v>
      </c>
      <c r="K263" t="n">
        <v>0</v>
      </c>
      <c r="L263" t="n">
        <v>0</v>
      </c>
      <c r="M263" t="n">
        <v>0</v>
      </c>
      <c r="N263" t="n">
        <v>0</v>
      </c>
      <c r="O263" t="n">
        <v>0</v>
      </c>
      <c r="P263" t="n">
        <v>0</v>
      </c>
      <c r="Q263" t="n">
        <v>0</v>
      </c>
      <c r="R263" s="2" t="inlineStr"/>
    </row>
    <row r="264" ht="15" customHeight="1">
      <c r="A264" t="inlineStr">
        <is>
          <t>A 9576-2024</t>
        </is>
      </c>
      <c r="B264" s="1" t="n">
        <v>45360</v>
      </c>
      <c r="C264" s="1" t="n">
        <v>46194</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9600-2024</t>
        </is>
      </c>
      <c r="B265" s="1" t="n">
        <v>45361</v>
      </c>
      <c r="C265" s="1" t="n">
        <v>46194</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25626-2022</t>
        </is>
      </c>
      <c r="B266" s="1" t="n">
        <v>44732</v>
      </c>
      <c r="C266" s="1" t="n">
        <v>46194</v>
      </c>
      <c r="D266" t="inlineStr">
        <is>
          <t>ÖSTERGÖTLANDS LÄN</t>
        </is>
      </c>
      <c r="E266" t="inlineStr">
        <is>
          <t>KINDA</t>
        </is>
      </c>
      <c r="G266" t="n">
        <v>7</v>
      </c>
      <c r="H266" t="n">
        <v>0</v>
      </c>
      <c r="I266" t="n">
        <v>0</v>
      </c>
      <c r="J266" t="n">
        <v>0</v>
      </c>
      <c r="K266" t="n">
        <v>0</v>
      </c>
      <c r="L266" t="n">
        <v>0</v>
      </c>
      <c r="M266" t="n">
        <v>0</v>
      </c>
      <c r="N266" t="n">
        <v>0</v>
      </c>
      <c r="O266" t="n">
        <v>0</v>
      </c>
      <c r="P266" t="n">
        <v>0</v>
      </c>
      <c r="Q266" t="n">
        <v>0</v>
      </c>
      <c r="R266" s="2" t="inlineStr"/>
    </row>
    <row r="267" ht="15" customHeight="1">
      <c r="A267" t="inlineStr">
        <is>
          <t>A 6104-2022</t>
        </is>
      </c>
      <c r="B267" s="1" t="n">
        <v>44599</v>
      </c>
      <c r="C267" s="1" t="n">
        <v>46194</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2966-2024</t>
        </is>
      </c>
      <c r="B268" s="1" t="n">
        <v>45315</v>
      </c>
      <c r="C268" s="1" t="n">
        <v>46194</v>
      </c>
      <c r="D268" t="inlineStr">
        <is>
          <t>ÖSTERGÖTLANDS LÄN</t>
        </is>
      </c>
      <c r="E268" t="inlineStr">
        <is>
          <t>KINDA</t>
        </is>
      </c>
      <c r="G268" t="n">
        <v>1.5</v>
      </c>
      <c r="H268" t="n">
        <v>0</v>
      </c>
      <c r="I268" t="n">
        <v>0</v>
      </c>
      <c r="J268" t="n">
        <v>0</v>
      </c>
      <c r="K268" t="n">
        <v>0</v>
      </c>
      <c r="L268" t="n">
        <v>0</v>
      </c>
      <c r="M268" t="n">
        <v>0</v>
      </c>
      <c r="N268" t="n">
        <v>0</v>
      </c>
      <c r="O268" t="n">
        <v>0</v>
      </c>
      <c r="P268" t="n">
        <v>0</v>
      </c>
      <c r="Q268" t="n">
        <v>0</v>
      </c>
      <c r="R268" s="2" t="inlineStr"/>
    </row>
    <row r="269" ht="15" customHeight="1">
      <c r="A269" t="inlineStr">
        <is>
          <t>A 48811-2024</t>
        </is>
      </c>
      <c r="B269" s="1" t="n">
        <v>45593</v>
      </c>
      <c r="C269" s="1" t="n">
        <v>46194</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52991-2023</t>
        </is>
      </c>
      <c r="B270" s="1" t="n">
        <v>45226</v>
      </c>
      <c r="C270" s="1" t="n">
        <v>46194</v>
      </c>
      <c r="D270" t="inlineStr">
        <is>
          <t>ÖSTERGÖTLANDS LÄN</t>
        </is>
      </c>
      <c r="E270" t="inlineStr">
        <is>
          <t>KINDA</t>
        </is>
      </c>
      <c r="G270" t="n">
        <v>3.8</v>
      </c>
      <c r="H270" t="n">
        <v>0</v>
      </c>
      <c r="I270" t="n">
        <v>0</v>
      </c>
      <c r="J270" t="n">
        <v>0</v>
      </c>
      <c r="K270" t="n">
        <v>0</v>
      </c>
      <c r="L270" t="n">
        <v>0</v>
      </c>
      <c r="M270" t="n">
        <v>0</v>
      </c>
      <c r="N270" t="n">
        <v>0</v>
      </c>
      <c r="O270" t="n">
        <v>0</v>
      </c>
      <c r="P270" t="n">
        <v>0</v>
      </c>
      <c r="Q270" t="n">
        <v>0</v>
      </c>
      <c r="R270" s="2" t="inlineStr"/>
    </row>
    <row r="271" ht="15" customHeight="1">
      <c r="A271" t="inlineStr">
        <is>
          <t>A 45457-2024</t>
        </is>
      </c>
      <c r="B271" s="1" t="n">
        <v>45576</v>
      </c>
      <c r="C271" s="1" t="n">
        <v>46194</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61954-2022</t>
        </is>
      </c>
      <c r="B272" s="1" t="n">
        <v>44918</v>
      </c>
      <c r="C272" s="1" t="n">
        <v>46194</v>
      </c>
      <c r="D272" t="inlineStr">
        <is>
          <t>ÖSTERGÖTLANDS LÄN</t>
        </is>
      </c>
      <c r="E272" t="inlineStr">
        <is>
          <t>KINDA</t>
        </is>
      </c>
      <c r="G272" t="n">
        <v>6.2</v>
      </c>
      <c r="H272" t="n">
        <v>0</v>
      </c>
      <c r="I272" t="n">
        <v>0</v>
      </c>
      <c r="J272" t="n">
        <v>0</v>
      </c>
      <c r="K272" t="n">
        <v>0</v>
      </c>
      <c r="L272" t="n">
        <v>0</v>
      </c>
      <c r="M272" t="n">
        <v>0</v>
      </c>
      <c r="N272" t="n">
        <v>0</v>
      </c>
      <c r="O272" t="n">
        <v>0</v>
      </c>
      <c r="P272" t="n">
        <v>0</v>
      </c>
      <c r="Q272" t="n">
        <v>0</v>
      </c>
      <c r="R272" s="2" t="inlineStr"/>
    </row>
    <row r="273" ht="15" customHeight="1">
      <c r="A273" t="inlineStr">
        <is>
          <t>A 39090-2025</t>
        </is>
      </c>
      <c r="B273" s="1" t="n">
        <v>45888</v>
      </c>
      <c r="C273" s="1" t="n">
        <v>46194</v>
      </c>
      <c r="D273" t="inlineStr">
        <is>
          <t>ÖSTERGÖTLANDS LÄN</t>
        </is>
      </c>
      <c r="E273" t="inlineStr">
        <is>
          <t>KINDA</t>
        </is>
      </c>
      <c r="G273" t="n">
        <v>5.4</v>
      </c>
      <c r="H273" t="n">
        <v>0</v>
      </c>
      <c r="I273" t="n">
        <v>0</v>
      </c>
      <c r="J273" t="n">
        <v>0</v>
      </c>
      <c r="K273" t="n">
        <v>0</v>
      </c>
      <c r="L273" t="n">
        <v>0</v>
      </c>
      <c r="M273" t="n">
        <v>0</v>
      </c>
      <c r="N273" t="n">
        <v>0</v>
      </c>
      <c r="O273" t="n">
        <v>0</v>
      </c>
      <c r="P273" t="n">
        <v>0</v>
      </c>
      <c r="Q273" t="n">
        <v>0</v>
      </c>
      <c r="R273" s="2" t="inlineStr"/>
    </row>
    <row r="274" ht="15" customHeight="1">
      <c r="A274" t="inlineStr">
        <is>
          <t>A 5707-2024</t>
        </is>
      </c>
      <c r="B274" s="1" t="n">
        <v>45334</v>
      </c>
      <c r="C274" s="1" t="n">
        <v>46194</v>
      </c>
      <c r="D274" t="inlineStr">
        <is>
          <t>ÖSTERGÖTLANDS LÄN</t>
        </is>
      </c>
      <c r="E274" t="inlineStr">
        <is>
          <t>KINDA</t>
        </is>
      </c>
      <c r="G274" t="n">
        <v>6.2</v>
      </c>
      <c r="H274" t="n">
        <v>0</v>
      </c>
      <c r="I274" t="n">
        <v>0</v>
      </c>
      <c r="J274" t="n">
        <v>0</v>
      </c>
      <c r="K274" t="n">
        <v>0</v>
      </c>
      <c r="L274" t="n">
        <v>0</v>
      </c>
      <c r="M274" t="n">
        <v>0</v>
      </c>
      <c r="N274" t="n">
        <v>0</v>
      </c>
      <c r="O274" t="n">
        <v>0</v>
      </c>
      <c r="P274" t="n">
        <v>0</v>
      </c>
      <c r="Q274" t="n">
        <v>0</v>
      </c>
      <c r="R274" s="2" t="inlineStr"/>
    </row>
    <row r="275" ht="15" customHeight="1">
      <c r="A275" t="inlineStr">
        <is>
          <t>A 3820-2024</t>
        </is>
      </c>
      <c r="B275" s="1" t="n">
        <v>45321</v>
      </c>
      <c r="C275" s="1" t="n">
        <v>46194</v>
      </c>
      <c r="D275" t="inlineStr">
        <is>
          <t>ÖSTERGÖTLANDS LÄN</t>
        </is>
      </c>
      <c r="E275" t="inlineStr">
        <is>
          <t>KINDA</t>
        </is>
      </c>
      <c r="G275" t="n">
        <v>3.4</v>
      </c>
      <c r="H275" t="n">
        <v>0</v>
      </c>
      <c r="I275" t="n">
        <v>0</v>
      </c>
      <c r="J275" t="n">
        <v>0</v>
      </c>
      <c r="K275" t="n">
        <v>0</v>
      </c>
      <c r="L275" t="n">
        <v>0</v>
      </c>
      <c r="M275" t="n">
        <v>0</v>
      </c>
      <c r="N275" t="n">
        <v>0</v>
      </c>
      <c r="O275" t="n">
        <v>0</v>
      </c>
      <c r="P275" t="n">
        <v>0</v>
      </c>
      <c r="Q275" t="n">
        <v>0</v>
      </c>
      <c r="R275" s="2" t="inlineStr"/>
    </row>
    <row r="276" ht="15" customHeight="1">
      <c r="A276" t="inlineStr">
        <is>
          <t>A 48386-2024</t>
        </is>
      </c>
      <c r="B276" s="1" t="n">
        <v>45590</v>
      </c>
      <c r="C276" s="1" t="n">
        <v>46194</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39246-2025</t>
        </is>
      </c>
      <c r="B277" s="1" t="n">
        <v>45889</v>
      </c>
      <c r="C277" s="1" t="n">
        <v>46194</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51294-2022</t>
        </is>
      </c>
      <c r="B278" s="1" t="n">
        <v>44868</v>
      </c>
      <c r="C278" s="1" t="n">
        <v>46194</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42084-2024</t>
        </is>
      </c>
      <c r="B279" s="1" t="n">
        <v>45562</v>
      </c>
      <c r="C279" s="1" t="n">
        <v>46194</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44139-2024</t>
        </is>
      </c>
      <c r="B280" s="1" t="n">
        <v>45572</v>
      </c>
      <c r="C280" s="1" t="n">
        <v>46194</v>
      </c>
      <c r="D280" t="inlineStr">
        <is>
          <t>ÖSTERGÖTLANDS LÄN</t>
        </is>
      </c>
      <c r="E280" t="inlineStr">
        <is>
          <t>KINDA</t>
        </is>
      </c>
      <c r="G280" t="n">
        <v>3.6</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46194</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29726-2022</t>
        </is>
      </c>
      <c r="B282" s="1" t="n">
        <v>44755</v>
      </c>
      <c r="C282" s="1" t="n">
        <v>46194</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24711-2023</t>
        </is>
      </c>
      <c r="B283" s="1" t="n">
        <v>45078</v>
      </c>
      <c r="C283" s="1" t="n">
        <v>46194</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37196-2024</t>
        </is>
      </c>
      <c r="B284" s="1" t="n">
        <v>45539</v>
      </c>
      <c r="C284" s="1" t="n">
        <v>46194</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133-2024</t>
        </is>
      </c>
      <c r="B285" s="1" t="n">
        <v>45294</v>
      </c>
      <c r="C285" s="1" t="n">
        <v>46194</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57449-2021</t>
        </is>
      </c>
      <c r="B286" s="1" t="n">
        <v>44483</v>
      </c>
      <c r="C286" s="1" t="n">
        <v>46194</v>
      </c>
      <c r="D286" t="inlineStr">
        <is>
          <t>ÖSTERGÖTLANDS LÄN</t>
        </is>
      </c>
      <c r="E286" t="inlineStr">
        <is>
          <t>KINDA</t>
        </is>
      </c>
      <c r="G286" t="n">
        <v>5.3</v>
      </c>
      <c r="H286" t="n">
        <v>0</v>
      </c>
      <c r="I286" t="n">
        <v>0</v>
      </c>
      <c r="J286" t="n">
        <v>0</v>
      </c>
      <c r="K286" t="n">
        <v>0</v>
      </c>
      <c r="L286" t="n">
        <v>0</v>
      </c>
      <c r="M286" t="n">
        <v>0</v>
      </c>
      <c r="N286" t="n">
        <v>0</v>
      </c>
      <c r="O286" t="n">
        <v>0</v>
      </c>
      <c r="P286" t="n">
        <v>0</v>
      </c>
      <c r="Q286" t="n">
        <v>0</v>
      </c>
      <c r="R286" s="2" t="inlineStr"/>
    </row>
    <row r="287" ht="15" customHeight="1">
      <c r="A287" t="inlineStr">
        <is>
          <t>A 9203-2023</t>
        </is>
      </c>
      <c r="B287" s="1" t="n">
        <v>44977</v>
      </c>
      <c r="C287" s="1" t="n">
        <v>46194</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2430-2025</t>
        </is>
      </c>
      <c r="B288" s="1" t="n">
        <v>45674</v>
      </c>
      <c r="C288" s="1" t="n">
        <v>46194</v>
      </c>
      <c r="D288" t="inlineStr">
        <is>
          <t>ÖSTERGÖTLANDS LÄN</t>
        </is>
      </c>
      <c r="E288" t="inlineStr">
        <is>
          <t>KINDA</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39242-2024</t>
        </is>
      </c>
      <c r="B289" s="1" t="n">
        <v>45551</v>
      </c>
      <c r="C289" s="1" t="n">
        <v>46194</v>
      </c>
      <c r="D289" t="inlineStr">
        <is>
          <t>ÖSTERGÖTLANDS LÄN</t>
        </is>
      </c>
      <c r="E289" t="inlineStr">
        <is>
          <t>KINDA</t>
        </is>
      </c>
      <c r="G289" t="n">
        <v>3.9</v>
      </c>
      <c r="H289" t="n">
        <v>0</v>
      </c>
      <c r="I289" t="n">
        <v>0</v>
      </c>
      <c r="J289" t="n">
        <v>0</v>
      </c>
      <c r="K289" t="n">
        <v>0</v>
      </c>
      <c r="L289" t="n">
        <v>0</v>
      </c>
      <c r="M289" t="n">
        <v>0</v>
      </c>
      <c r="N289" t="n">
        <v>0</v>
      </c>
      <c r="O289" t="n">
        <v>0</v>
      </c>
      <c r="P289" t="n">
        <v>0</v>
      </c>
      <c r="Q289" t="n">
        <v>0</v>
      </c>
      <c r="R289" s="2" t="inlineStr"/>
    </row>
    <row r="290" ht="15" customHeight="1">
      <c r="A290" t="inlineStr">
        <is>
          <t>A 3907-2023</t>
        </is>
      </c>
      <c r="B290" s="1" t="n">
        <v>44952</v>
      </c>
      <c r="C290" s="1" t="n">
        <v>46194</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46925-2023</t>
        </is>
      </c>
      <c r="B291" s="1" t="n">
        <v>45201</v>
      </c>
      <c r="C291" s="1" t="n">
        <v>46194</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8228-2025</t>
        </is>
      </c>
      <c r="B292" s="1" t="n">
        <v>45708</v>
      </c>
      <c r="C292" s="1" t="n">
        <v>46194</v>
      </c>
      <c r="D292" t="inlineStr">
        <is>
          <t>ÖSTERGÖTLANDS LÄN</t>
        </is>
      </c>
      <c r="E292" t="inlineStr">
        <is>
          <t>KINDA</t>
        </is>
      </c>
      <c r="G292" t="n">
        <v>4.8</v>
      </c>
      <c r="H292" t="n">
        <v>0</v>
      </c>
      <c r="I292" t="n">
        <v>0</v>
      </c>
      <c r="J292" t="n">
        <v>0</v>
      </c>
      <c r="K292" t="n">
        <v>0</v>
      </c>
      <c r="L292" t="n">
        <v>0</v>
      </c>
      <c r="M292" t="n">
        <v>0</v>
      </c>
      <c r="N292" t="n">
        <v>0</v>
      </c>
      <c r="O292" t="n">
        <v>0</v>
      </c>
      <c r="P292" t="n">
        <v>0</v>
      </c>
      <c r="Q292" t="n">
        <v>0</v>
      </c>
      <c r="R292" s="2" t="inlineStr"/>
    </row>
    <row r="293" ht="15" customHeight="1">
      <c r="A293" t="inlineStr">
        <is>
          <t>A 8229-2025</t>
        </is>
      </c>
      <c r="B293" s="1" t="n">
        <v>45708</v>
      </c>
      <c r="C293" s="1" t="n">
        <v>46194</v>
      </c>
      <c r="D293" t="inlineStr">
        <is>
          <t>ÖSTERGÖTLANDS LÄN</t>
        </is>
      </c>
      <c r="E293" t="inlineStr">
        <is>
          <t>KINDA</t>
        </is>
      </c>
      <c r="G293" t="n">
        <v>2.8</v>
      </c>
      <c r="H293" t="n">
        <v>0</v>
      </c>
      <c r="I293" t="n">
        <v>0</v>
      </c>
      <c r="J293" t="n">
        <v>0</v>
      </c>
      <c r="K293" t="n">
        <v>0</v>
      </c>
      <c r="L293" t="n">
        <v>0</v>
      </c>
      <c r="M293" t="n">
        <v>0</v>
      </c>
      <c r="N293" t="n">
        <v>0</v>
      </c>
      <c r="O293" t="n">
        <v>0</v>
      </c>
      <c r="P293" t="n">
        <v>0</v>
      </c>
      <c r="Q293" t="n">
        <v>0</v>
      </c>
      <c r="R293" s="2" t="inlineStr"/>
    </row>
    <row r="294" ht="15" customHeight="1">
      <c r="A294" t="inlineStr">
        <is>
          <t>A 32978-2024</t>
        </is>
      </c>
      <c r="B294" s="1" t="n">
        <v>45517</v>
      </c>
      <c r="C294" s="1" t="n">
        <v>46194</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4555-2023</t>
        </is>
      </c>
      <c r="B295" s="1" t="n">
        <v>44956</v>
      </c>
      <c r="C295" s="1" t="n">
        <v>46194</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61544-2024</t>
        </is>
      </c>
      <c r="B296" s="1" t="n">
        <v>45646</v>
      </c>
      <c r="C296" s="1" t="n">
        <v>46194</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29794-2024</t>
        </is>
      </c>
      <c r="B297" s="1" t="n">
        <v>45485</v>
      </c>
      <c r="C297" s="1" t="n">
        <v>46194</v>
      </c>
      <c r="D297" t="inlineStr">
        <is>
          <t>ÖSTERGÖTLANDS LÄN</t>
        </is>
      </c>
      <c r="E297" t="inlineStr">
        <is>
          <t>KINDA</t>
        </is>
      </c>
      <c r="G297" t="n">
        <v>2.1</v>
      </c>
      <c r="H297" t="n">
        <v>0</v>
      </c>
      <c r="I297" t="n">
        <v>0</v>
      </c>
      <c r="J297" t="n">
        <v>0</v>
      </c>
      <c r="K297" t="n">
        <v>0</v>
      </c>
      <c r="L297" t="n">
        <v>0</v>
      </c>
      <c r="M297" t="n">
        <v>0</v>
      </c>
      <c r="N297" t="n">
        <v>0</v>
      </c>
      <c r="O297" t="n">
        <v>0</v>
      </c>
      <c r="P297" t="n">
        <v>0</v>
      </c>
      <c r="Q297" t="n">
        <v>0</v>
      </c>
      <c r="R297" s="2" t="inlineStr"/>
    </row>
    <row r="298" ht="15" customHeight="1">
      <c r="A298" t="inlineStr">
        <is>
          <t>A 27959-2024</t>
        </is>
      </c>
      <c r="B298" s="1" t="n">
        <v>45476</v>
      </c>
      <c r="C298" s="1" t="n">
        <v>46194</v>
      </c>
      <c r="D298" t="inlineStr">
        <is>
          <t>ÖSTERGÖTLANDS LÄN</t>
        </is>
      </c>
      <c r="E298" t="inlineStr">
        <is>
          <t>KINDA</t>
        </is>
      </c>
      <c r="G298" t="n">
        <v>0.6</v>
      </c>
      <c r="H298" t="n">
        <v>0</v>
      </c>
      <c r="I298" t="n">
        <v>0</v>
      </c>
      <c r="J298" t="n">
        <v>0</v>
      </c>
      <c r="K298" t="n">
        <v>0</v>
      </c>
      <c r="L298" t="n">
        <v>0</v>
      </c>
      <c r="M298" t="n">
        <v>0</v>
      </c>
      <c r="N298" t="n">
        <v>0</v>
      </c>
      <c r="O298" t="n">
        <v>0</v>
      </c>
      <c r="P298" t="n">
        <v>0</v>
      </c>
      <c r="Q298" t="n">
        <v>0</v>
      </c>
      <c r="R298" s="2" t="inlineStr"/>
    </row>
    <row r="299" ht="15" customHeight="1">
      <c r="A299" t="inlineStr">
        <is>
          <t>A 26625-2022</t>
        </is>
      </c>
      <c r="B299" s="1" t="n">
        <v>44739</v>
      </c>
      <c r="C299" s="1" t="n">
        <v>46194</v>
      </c>
      <c r="D299" t="inlineStr">
        <is>
          <t>ÖSTERGÖTLANDS LÄN</t>
        </is>
      </c>
      <c r="E299" t="inlineStr">
        <is>
          <t>KINDA</t>
        </is>
      </c>
      <c r="G299" t="n">
        <v>3.2</v>
      </c>
      <c r="H299" t="n">
        <v>0</v>
      </c>
      <c r="I299" t="n">
        <v>0</v>
      </c>
      <c r="J299" t="n">
        <v>0</v>
      </c>
      <c r="K299" t="n">
        <v>0</v>
      </c>
      <c r="L299" t="n">
        <v>0</v>
      </c>
      <c r="M299" t="n">
        <v>0</v>
      </c>
      <c r="N299" t="n">
        <v>0</v>
      </c>
      <c r="O299" t="n">
        <v>0</v>
      </c>
      <c r="P299" t="n">
        <v>0</v>
      </c>
      <c r="Q299" t="n">
        <v>0</v>
      </c>
      <c r="R299" s="2" t="inlineStr"/>
    </row>
    <row r="300" ht="15" customHeight="1">
      <c r="A300" t="inlineStr">
        <is>
          <t>A 32285-2023</t>
        </is>
      </c>
      <c r="B300" s="1" t="n">
        <v>45120</v>
      </c>
      <c r="C300" s="1" t="n">
        <v>46194</v>
      </c>
      <c r="D300" t="inlineStr">
        <is>
          <t>ÖSTERGÖTLANDS LÄN</t>
        </is>
      </c>
      <c r="E300" t="inlineStr">
        <is>
          <t>KINDA</t>
        </is>
      </c>
      <c r="G300" t="n">
        <v>0.2</v>
      </c>
      <c r="H300" t="n">
        <v>0</v>
      </c>
      <c r="I300" t="n">
        <v>0</v>
      </c>
      <c r="J300" t="n">
        <v>0</v>
      </c>
      <c r="K300" t="n">
        <v>0</v>
      </c>
      <c r="L300" t="n">
        <v>0</v>
      </c>
      <c r="M300" t="n">
        <v>0</v>
      </c>
      <c r="N300" t="n">
        <v>0</v>
      </c>
      <c r="O300" t="n">
        <v>0</v>
      </c>
      <c r="P300" t="n">
        <v>0</v>
      </c>
      <c r="Q300" t="n">
        <v>0</v>
      </c>
      <c r="R300" s="2" t="inlineStr"/>
    </row>
    <row r="301" ht="15" customHeight="1">
      <c r="A301" t="inlineStr">
        <is>
          <t>A 23883-2023</t>
        </is>
      </c>
      <c r="B301" s="1" t="n">
        <v>45078</v>
      </c>
      <c r="C301" s="1" t="n">
        <v>46194</v>
      </c>
      <c r="D301" t="inlineStr">
        <is>
          <t>ÖSTERGÖTLANDS LÄN</t>
        </is>
      </c>
      <c r="E301" t="inlineStr">
        <is>
          <t>KINDA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38130-2023</t>
        </is>
      </c>
      <c r="B302" s="1" t="n">
        <v>45161</v>
      </c>
      <c r="C302" s="1" t="n">
        <v>46194</v>
      </c>
      <c r="D302" t="inlineStr">
        <is>
          <t>ÖSTERGÖTLANDS LÄN</t>
        </is>
      </c>
      <c r="E302" t="inlineStr">
        <is>
          <t>KINDA</t>
        </is>
      </c>
      <c r="G302" t="n">
        <v>1.4</v>
      </c>
      <c r="H302" t="n">
        <v>0</v>
      </c>
      <c r="I302" t="n">
        <v>0</v>
      </c>
      <c r="J302" t="n">
        <v>0</v>
      </c>
      <c r="K302" t="n">
        <v>0</v>
      </c>
      <c r="L302" t="n">
        <v>0</v>
      </c>
      <c r="M302" t="n">
        <v>0</v>
      </c>
      <c r="N302" t="n">
        <v>0</v>
      </c>
      <c r="O302" t="n">
        <v>0</v>
      </c>
      <c r="P302" t="n">
        <v>0</v>
      </c>
      <c r="Q302" t="n">
        <v>0</v>
      </c>
      <c r="R302" s="2" t="inlineStr"/>
    </row>
    <row r="303" ht="15" customHeight="1">
      <c r="A303" t="inlineStr">
        <is>
          <t>A 38132-2023</t>
        </is>
      </c>
      <c r="B303" s="1" t="n">
        <v>45161</v>
      </c>
      <c r="C303" s="1" t="n">
        <v>46194</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38133-2023</t>
        </is>
      </c>
      <c r="B304" s="1" t="n">
        <v>45161</v>
      </c>
      <c r="C304" s="1" t="n">
        <v>46194</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55950-2023</t>
        </is>
      </c>
      <c r="B305" s="1" t="n">
        <v>45240</v>
      </c>
      <c r="C305" s="1" t="n">
        <v>46194</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3911-2023</t>
        </is>
      </c>
      <c r="B306" s="1" t="n">
        <v>44952</v>
      </c>
      <c r="C306" s="1" t="n">
        <v>46194</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36942-2023</t>
        </is>
      </c>
      <c r="B307" s="1" t="n">
        <v>45154</v>
      </c>
      <c r="C307" s="1" t="n">
        <v>46194</v>
      </c>
      <c r="D307" t="inlineStr">
        <is>
          <t>ÖSTERGÖTLANDS LÄN</t>
        </is>
      </c>
      <c r="E307" t="inlineStr">
        <is>
          <t>KINDA</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38596-2023</t>
        </is>
      </c>
      <c r="B308" s="1" t="n">
        <v>45162</v>
      </c>
      <c r="C308" s="1" t="n">
        <v>46194</v>
      </c>
      <c r="D308" t="inlineStr">
        <is>
          <t>ÖSTERGÖTLANDS LÄN</t>
        </is>
      </c>
      <c r="E308" t="inlineStr">
        <is>
          <t>KINDA</t>
        </is>
      </c>
      <c r="F308" t="inlineStr">
        <is>
          <t>Allmännings- och besparingsskogar</t>
        </is>
      </c>
      <c r="G308" t="n">
        <v>12.2</v>
      </c>
      <c r="H308" t="n">
        <v>0</v>
      </c>
      <c r="I308" t="n">
        <v>0</v>
      </c>
      <c r="J308" t="n">
        <v>0</v>
      </c>
      <c r="K308" t="n">
        <v>0</v>
      </c>
      <c r="L308" t="n">
        <v>0</v>
      </c>
      <c r="M308" t="n">
        <v>0</v>
      </c>
      <c r="N308" t="n">
        <v>0</v>
      </c>
      <c r="O308" t="n">
        <v>0</v>
      </c>
      <c r="P308" t="n">
        <v>0</v>
      </c>
      <c r="Q308" t="n">
        <v>0</v>
      </c>
      <c r="R308" s="2" t="inlineStr"/>
    </row>
    <row r="309" ht="15" customHeight="1">
      <c r="A309" t="inlineStr">
        <is>
          <t>A 61955-2022</t>
        </is>
      </c>
      <c r="B309" s="1" t="n">
        <v>44918</v>
      </c>
      <c r="C309" s="1" t="n">
        <v>46194</v>
      </c>
      <c r="D309" t="inlineStr">
        <is>
          <t>ÖSTERGÖTLANDS LÄN</t>
        </is>
      </c>
      <c r="E309" t="inlineStr">
        <is>
          <t>KINDA</t>
        </is>
      </c>
      <c r="G309" t="n">
        <v>6.4</v>
      </c>
      <c r="H309" t="n">
        <v>0</v>
      </c>
      <c r="I309" t="n">
        <v>0</v>
      </c>
      <c r="J309" t="n">
        <v>0</v>
      </c>
      <c r="K309" t="n">
        <v>0</v>
      </c>
      <c r="L309" t="n">
        <v>0</v>
      </c>
      <c r="M309" t="n">
        <v>0</v>
      </c>
      <c r="N309" t="n">
        <v>0</v>
      </c>
      <c r="O309" t="n">
        <v>0</v>
      </c>
      <c r="P309" t="n">
        <v>0</v>
      </c>
      <c r="Q309" t="n">
        <v>0</v>
      </c>
      <c r="R309" s="2" t="inlineStr"/>
    </row>
    <row r="310" ht="15" customHeight="1">
      <c r="A310" t="inlineStr">
        <is>
          <t>A 13968-2023</t>
        </is>
      </c>
      <c r="B310" s="1" t="n">
        <v>45008</v>
      </c>
      <c r="C310" s="1" t="n">
        <v>46194</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29092-2025</t>
        </is>
      </c>
      <c r="B311" s="1" t="n">
        <v>45821</v>
      </c>
      <c r="C311" s="1" t="n">
        <v>46194</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57500-2024</t>
        </is>
      </c>
      <c r="B312" s="1" t="n">
        <v>45629</v>
      </c>
      <c r="C312" s="1" t="n">
        <v>46194</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43432-2023</t>
        </is>
      </c>
      <c r="B313" s="1" t="n">
        <v>45184</v>
      </c>
      <c r="C313" s="1" t="n">
        <v>46194</v>
      </c>
      <c r="D313" t="inlineStr">
        <is>
          <t>ÖSTERGÖTLANDS LÄN</t>
        </is>
      </c>
      <c r="E313" t="inlineStr">
        <is>
          <t>KINDA</t>
        </is>
      </c>
      <c r="G313" t="n">
        <v>2.8</v>
      </c>
      <c r="H313" t="n">
        <v>0</v>
      </c>
      <c r="I313" t="n">
        <v>0</v>
      </c>
      <c r="J313" t="n">
        <v>0</v>
      </c>
      <c r="K313" t="n">
        <v>0</v>
      </c>
      <c r="L313" t="n">
        <v>0</v>
      </c>
      <c r="M313" t="n">
        <v>0</v>
      </c>
      <c r="N313" t="n">
        <v>0</v>
      </c>
      <c r="O313" t="n">
        <v>0</v>
      </c>
      <c r="P313" t="n">
        <v>0</v>
      </c>
      <c r="Q313" t="n">
        <v>0</v>
      </c>
      <c r="R313" s="2" t="inlineStr"/>
    </row>
    <row r="314" ht="15" customHeight="1">
      <c r="A314" t="inlineStr">
        <is>
          <t>A 57987-2024</t>
        </is>
      </c>
      <c r="B314" s="1" t="n">
        <v>45631</v>
      </c>
      <c r="C314" s="1" t="n">
        <v>46194</v>
      </c>
      <c r="D314" t="inlineStr">
        <is>
          <t>ÖSTERGÖTLANDS LÄN</t>
        </is>
      </c>
      <c r="E314" t="inlineStr">
        <is>
          <t>KINDA</t>
        </is>
      </c>
      <c r="G314" t="n">
        <v>0.7</v>
      </c>
      <c r="H314" t="n">
        <v>0</v>
      </c>
      <c r="I314" t="n">
        <v>0</v>
      </c>
      <c r="J314" t="n">
        <v>0</v>
      </c>
      <c r="K314" t="n">
        <v>0</v>
      </c>
      <c r="L314" t="n">
        <v>0</v>
      </c>
      <c r="M314" t="n">
        <v>0</v>
      </c>
      <c r="N314" t="n">
        <v>0</v>
      </c>
      <c r="O314" t="n">
        <v>0</v>
      </c>
      <c r="P314" t="n">
        <v>0</v>
      </c>
      <c r="Q314" t="n">
        <v>0</v>
      </c>
      <c r="R314" s="2" t="inlineStr"/>
    </row>
    <row r="315" ht="15" customHeight="1">
      <c r="A315" t="inlineStr">
        <is>
          <t>A 9399-2023</t>
        </is>
      </c>
      <c r="B315" s="1" t="n">
        <v>44981</v>
      </c>
      <c r="C315" s="1" t="n">
        <v>46194</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15568-2023</t>
        </is>
      </c>
      <c r="B316" s="1" t="n">
        <v>45020</v>
      </c>
      <c r="C316" s="1" t="n">
        <v>46194</v>
      </c>
      <c r="D316" t="inlineStr">
        <is>
          <t>ÖSTERGÖTLANDS LÄN</t>
        </is>
      </c>
      <c r="E316" t="inlineStr">
        <is>
          <t>KINDA</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32610-2023</t>
        </is>
      </c>
      <c r="B317" s="1" t="n">
        <v>45111</v>
      </c>
      <c r="C317" s="1" t="n">
        <v>46194</v>
      </c>
      <c r="D317" t="inlineStr">
        <is>
          <t>ÖSTERGÖTLANDS LÄN</t>
        </is>
      </c>
      <c r="E317" t="inlineStr">
        <is>
          <t>KINDA</t>
        </is>
      </c>
      <c r="G317" t="n">
        <v>8.9</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v>
      </c>
      <c r="C318" s="1" t="n">
        <v>46194</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v>
      </c>
      <c r="C319" s="1" t="n">
        <v>46194</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54484-2022</t>
        </is>
      </c>
      <c r="B320" s="1" t="n">
        <v>44882</v>
      </c>
      <c r="C320" s="1" t="n">
        <v>46194</v>
      </c>
      <c r="D320" t="inlineStr">
        <is>
          <t>ÖSTERGÖTLANDS LÄN</t>
        </is>
      </c>
      <c r="E320" t="inlineStr">
        <is>
          <t>KINDA</t>
        </is>
      </c>
      <c r="G320" t="n">
        <v>0.3</v>
      </c>
      <c r="H320" t="n">
        <v>0</v>
      </c>
      <c r="I320" t="n">
        <v>0</v>
      </c>
      <c r="J320" t="n">
        <v>0</v>
      </c>
      <c r="K320" t="n">
        <v>0</v>
      </c>
      <c r="L320" t="n">
        <v>0</v>
      </c>
      <c r="M320" t="n">
        <v>0</v>
      </c>
      <c r="N320" t="n">
        <v>0</v>
      </c>
      <c r="O320" t="n">
        <v>0</v>
      </c>
      <c r="P320" t="n">
        <v>0</v>
      </c>
      <c r="Q320" t="n">
        <v>0</v>
      </c>
      <c r="R320" s="2" t="inlineStr"/>
    </row>
    <row r="321" ht="15" customHeight="1">
      <c r="A321" t="inlineStr">
        <is>
          <t>A 32825-2021</t>
        </is>
      </c>
      <c r="B321" s="1" t="n">
        <v>44375</v>
      </c>
      <c r="C321" s="1" t="n">
        <v>46194</v>
      </c>
      <c r="D321" t="inlineStr">
        <is>
          <t>ÖSTERGÖTLANDS LÄN</t>
        </is>
      </c>
      <c r="E321" t="inlineStr">
        <is>
          <t>KINDA</t>
        </is>
      </c>
      <c r="G321" t="n">
        <v>0.7</v>
      </c>
      <c r="H321" t="n">
        <v>0</v>
      </c>
      <c r="I321" t="n">
        <v>0</v>
      </c>
      <c r="J321" t="n">
        <v>0</v>
      </c>
      <c r="K321" t="n">
        <v>0</v>
      </c>
      <c r="L321" t="n">
        <v>0</v>
      </c>
      <c r="M321" t="n">
        <v>0</v>
      </c>
      <c r="N321" t="n">
        <v>0</v>
      </c>
      <c r="O321" t="n">
        <v>0</v>
      </c>
      <c r="P321" t="n">
        <v>0</v>
      </c>
      <c r="Q321" t="n">
        <v>0</v>
      </c>
      <c r="R321" s="2" t="inlineStr"/>
    </row>
    <row r="322" ht="15" customHeight="1">
      <c r="A322" t="inlineStr">
        <is>
          <t>A 343-2025</t>
        </is>
      </c>
      <c r="B322" s="1" t="n">
        <v>45660</v>
      </c>
      <c r="C322" s="1" t="n">
        <v>46194</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34127-2021</t>
        </is>
      </c>
      <c r="B323" s="1" t="n">
        <v>44379</v>
      </c>
      <c r="C323" s="1" t="n">
        <v>46194</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19645-2025</t>
        </is>
      </c>
      <c r="B324" s="1" t="n">
        <v>45770</v>
      </c>
      <c r="C324" s="1" t="n">
        <v>46194</v>
      </c>
      <c r="D324" t="inlineStr">
        <is>
          <t>ÖSTERGÖTLANDS LÄN</t>
        </is>
      </c>
      <c r="E324" t="inlineStr">
        <is>
          <t>KINDA</t>
        </is>
      </c>
      <c r="F324" t="inlineStr">
        <is>
          <t>Allmännings- och besparingsskogar</t>
        </is>
      </c>
      <c r="G324" t="n">
        <v>2.4</v>
      </c>
      <c r="H324" t="n">
        <v>0</v>
      </c>
      <c r="I324" t="n">
        <v>0</v>
      </c>
      <c r="J324" t="n">
        <v>0</v>
      </c>
      <c r="K324" t="n">
        <v>0</v>
      </c>
      <c r="L324" t="n">
        <v>0</v>
      </c>
      <c r="M324" t="n">
        <v>0</v>
      </c>
      <c r="N324" t="n">
        <v>0</v>
      </c>
      <c r="O324" t="n">
        <v>0</v>
      </c>
      <c r="P324" t="n">
        <v>0</v>
      </c>
      <c r="Q324" t="n">
        <v>0</v>
      </c>
      <c r="R324" s="2" t="inlineStr"/>
    </row>
    <row r="325" ht="15" customHeight="1">
      <c r="A325" t="inlineStr">
        <is>
          <t>A 35152-2024</t>
        </is>
      </c>
      <c r="B325" s="1" t="n">
        <v>45530</v>
      </c>
      <c r="C325" s="1" t="n">
        <v>46194</v>
      </c>
      <c r="D325" t="inlineStr">
        <is>
          <t>ÖSTERGÖTLANDS LÄN</t>
        </is>
      </c>
      <c r="E325" t="inlineStr">
        <is>
          <t>KINDA</t>
        </is>
      </c>
      <c r="G325" t="n">
        <v>2.8</v>
      </c>
      <c r="H325" t="n">
        <v>0</v>
      </c>
      <c r="I325" t="n">
        <v>0</v>
      </c>
      <c r="J325" t="n">
        <v>0</v>
      </c>
      <c r="K325" t="n">
        <v>0</v>
      </c>
      <c r="L325" t="n">
        <v>0</v>
      </c>
      <c r="M325" t="n">
        <v>0</v>
      </c>
      <c r="N325" t="n">
        <v>0</v>
      </c>
      <c r="O325" t="n">
        <v>0</v>
      </c>
      <c r="P325" t="n">
        <v>0</v>
      </c>
      <c r="Q325" t="n">
        <v>0</v>
      </c>
      <c r="R325" s="2" t="inlineStr"/>
    </row>
    <row r="326" ht="15" customHeight="1">
      <c r="A326" t="inlineStr">
        <is>
          <t>A 16610-2023</t>
        </is>
      </c>
      <c r="B326" s="1" t="n">
        <v>45030</v>
      </c>
      <c r="C326" s="1" t="n">
        <v>46194</v>
      </c>
      <c r="D326" t="inlineStr">
        <is>
          <t>ÖSTERGÖTLANDS LÄN</t>
        </is>
      </c>
      <c r="E326" t="inlineStr">
        <is>
          <t>KINDA</t>
        </is>
      </c>
      <c r="G326" t="n">
        <v>3.4</v>
      </c>
      <c r="H326" t="n">
        <v>0</v>
      </c>
      <c r="I326" t="n">
        <v>0</v>
      </c>
      <c r="J326" t="n">
        <v>0</v>
      </c>
      <c r="K326" t="n">
        <v>0</v>
      </c>
      <c r="L326" t="n">
        <v>0</v>
      </c>
      <c r="M326" t="n">
        <v>0</v>
      </c>
      <c r="N326" t="n">
        <v>0</v>
      </c>
      <c r="O326" t="n">
        <v>0</v>
      </c>
      <c r="P326" t="n">
        <v>0</v>
      </c>
      <c r="Q326" t="n">
        <v>0</v>
      </c>
      <c r="R326" s="2" t="inlineStr"/>
    </row>
    <row r="327" ht="15" customHeight="1">
      <c r="A327" t="inlineStr">
        <is>
          <t>A 24748-2023</t>
        </is>
      </c>
      <c r="B327" s="1" t="n">
        <v>45078</v>
      </c>
      <c r="C327" s="1" t="n">
        <v>46194</v>
      </c>
      <c r="D327" t="inlineStr">
        <is>
          <t>ÖSTERGÖTLANDS LÄN</t>
        </is>
      </c>
      <c r="E327" t="inlineStr">
        <is>
          <t>KINDA</t>
        </is>
      </c>
      <c r="G327" t="n">
        <v>0.6</v>
      </c>
      <c r="H327" t="n">
        <v>0</v>
      </c>
      <c r="I327" t="n">
        <v>0</v>
      </c>
      <c r="J327" t="n">
        <v>0</v>
      </c>
      <c r="K327" t="n">
        <v>0</v>
      </c>
      <c r="L327" t="n">
        <v>0</v>
      </c>
      <c r="M327" t="n">
        <v>0</v>
      </c>
      <c r="N327" t="n">
        <v>0</v>
      </c>
      <c r="O327" t="n">
        <v>0</v>
      </c>
      <c r="P327" t="n">
        <v>0</v>
      </c>
      <c r="Q327" t="n">
        <v>0</v>
      </c>
      <c r="R327" s="2" t="inlineStr"/>
    </row>
    <row r="328" ht="15" customHeight="1">
      <c r="A328" t="inlineStr">
        <is>
          <t>A 44633-2025</t>
        </is>
      </c>
      <c r="B328" s="1" t="n">
        <v>45917</v>
      </c>
      <c r="C328" s="1" t="n">
        <v>46194</v>
      </c>
      <c r="D328" t="inlineStr">
        <is>
          <t>ÖSTERGÖTLANDS LÄN</t>
        </is>
      </c>
      <c r="E328" t="inlineStr">
        <is>
          <t>KINDA</t>
        </is>
      </c>
      <c r="G328" t="n">
        <v>5.1</v>
      </c>
      <c r="H328" t="n">
        <v>0</v>
      </c>
      <c r="I328" t="n">
        <v>0</v>
      </c>
      <c r="J328" t="n">
        <v>0</v>
      </c>
      <c r="K328" t="n">
        <v>0</v>
      </c>
      <c r="L328" t="n">
        <v>0</v>
      </c>
      <c r="M328" t="n">
        <v>0</v>
      </c>
      <c r="N328" t="n">
        <v>0</v>
      </c>
      <c r="O328" t="n">
        <v>0</v>
      </c>
      <c r="P328" t="n">
        <v>0</v>
      </c>
      <c r="Q328" t="n">
        <v>0</v>
      </c>
      <c r="R328" s="2" t="inlineStr"/>
    </row>
    <row r="329" ht="15" customHeight="1">
      <c r="A329" t="inlineStr">
        <is>
          <t>A 767-2025</t>
        </is>
      </c>
      <c r="B329" s="1" t="n">
        <v>45665</v>
      </c>
      <c r="C329" s="1" t="n">
        <v>46194</v>
      </c>
      <c r="D329" t="inlineStr">
        <is>
          <t>ÖSTERGÖTLANDS LÄN</t>
        </is>
      </c>
      <c r="E329" t="inlineStr">
        <is>
          <t>KINDA</t>
        </is>
      </c>
      <c r="G329" t="n">
        <v>5</v>
      </c>
      <c r="H329" t="n">
        <v>0</v>
      </c>
      <c r="I329" t="n">
        <v>0</v>
      </c>
      <c r="J329" t="n">
        <v>0</v>
      </c>
      <c r="K329" t="n">
        <v>0</v>
      </c>
      <c r="L329" t="n">
        <v>0</v>
      </c>
      <c r="M329" t="n">
        <v>0</v>
      </c>
      <c r="N329" t="n">
        <v>0</v>
      </c>
      <c r="O329" t="n">
        <v>0</v>
      </c>
      <c r="P329" t="n">
        <v>0</v>
      </c>
      <c r="Q329" t="n">
        <v>0</v>
      </c>
      <c r="R329" s="2" t="inlineStr"/>
    </row>
    <row r="330" ht="15" customHeight="1">
      <c r="A330" t="inlineStr">
        <is>
          <t>A 20711-2025</t>
        </is>
      </c>
      <c r="B330" s="1" t="n">
        <v>45776</v>
      </c>
      <c r="C330" s="1" t="n">
        <v>46194</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39099-2025</t>
        </is>
      </c>
      <c r="B331" s="1" t="n">
        <v>45888</v>
      </c>
      <c r="C331" s="1" t="n">
        <v>46194</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41450-2022</t>
        </is>
      </c>
      <c r="B332" s="1" t="n">
        <v>44826</v>
      </c>
      <c r="C332" s="1" t="n">
        <v>46194</v>
      </c>
      <c r="D332" t="inlineStr">
        <is>
          <t>ÖSTERGÖTLANDS LÄN</t>
        </is>
      </c>
      <c r="E332" t="inlineStr">
        <is>
          <t>KINDA</t>
        </is>
      </c>
      <c r="G332" t="n">
        <v>1.3</v>
      </c>
      <c r="H332" t="n">
        <v>0</v>
      </c>
      <c r="I332" t="n">
        <v>0</v>
      </c>
      <c r="J332" t="n">
        <v>0</v>
      </c>
      <c r="K332" t="n">
        <v>0</v>
      </c>
      <c r="L332" t="n">
        <v>0</v>
      </c>
      <c r="M332" t="n">
        <v>0</v>
      </c>
      <c r="N332" t="n">
        <v>0</v>
      </c>
      <c r="O332" t="n">
        <v>0</v>
      </c>
      <c r="P332" t="n">
        <v>0</v>
      </c>
      <c r="Q332" t="n">
        <v>0</v>
      </c>
      <c r="R332" s="2" t="inlineStr"/>
    </row>
    <row r="333" ht="15" customHeight="1">
      <c r="A333" t="inlineStr">
        <is>
          <t>A 43007-2025</t>
        </is>
      </c>
      <c r="B333" s="1" t="n">
        <v>45909</v>
      </c>
      <c r="C333" s="1" t="n">
        <v>46194</v>
      </c>
      <c r="D333" t="inlineStr">
        <is>
          <t>ÖSTERGÖTLANDS LÄN</t>
        </is>
      </c>
      <c r="E333" t="inlineStr">
        <is>
          <t>KINDA</t>
        </is>
      </c>
      <c r="G333" t="n">
        <v>1.1</v>
      </c>
      <c r="H333" t="n">
        <v>0</v>
      </c>
      <c r="I333" t="n">
        <v>0</v>
      </c>
      <c r="J333" t="n">
        <v>0</v>
      </c>
      <c r="K333" t="n">
        <v>0</v>
      </c>
      <c r="L333" t="n">
        <v>0</v>
      </c>
      <c r="M333" t="n">
        <v>0</v>
      </c>
      <c r="N333" t="n">
        <v>0</v>
      </c>
      <c r="O333" t="n">
        <v>0</v>
      </c>
      <c r="P333" t="n">
        <v>0</v>
      </c>
      <c r="Q333" t="n">
        <v>0</v>
      </c>
      <c r="R333" s="2" t="inlineStr"/>
    </row>
    <row r="334" ht="15" customHeight="1">
      <c r="A334" t="inlineStr">
        <is>
          <t>A 1876-2025</t>
        </is>
      </c>
      <c r="B334" s="1" t="n">
        <v>45671</v>
      </c>
      <c r="C334" s="1" t="n">
        <v>46194</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54345-2022</t>
        </is>
      </c>
      <c r="B335" s="1" t="n">
        <v>44882</v>
      </c>
      <c r="C335" s="1" t="n">
        <v>46194</v>
      </c>
      <c r="D335" t="inlineStr">
        <is>
          <t>ÖSTERGÖTLANDS LÄN</t>
        </is>
      </c>
      <c r="E335" t="inlineStr">
        <is>
          <t>KINDA</t>
        </is>
      </c>
      <c r="G335" t="n">
        <v>0.1</v>
      </c>
      <c r="H335" t="n">
        <v>0</v>
      </c>
      <c r="I335" t="n">
        <v>0</v>
      </c>
      <c r="J335" t="n">
        <v>0</v>
      </c>
      <c r="K335" t="n">
        <v>0</v>
      </c>
      <c r="L335" t="n">
        <v>0</v>
      </c>
      <c r="M335" t="n">
        <v>0</v>
      </c>
      <c r="N335" t="n">
        <v>0</v>
      </c>
      <c r="O335" t="n">
        <v>0</v>
      </c>
      <c r="P335" t="n">
        <v>0</v>
      </c>
      <c r="Q335" t="n">
        <v>0</v>
      </c>
      <c r="R335" s="2" t="inlineStr"/>
    </row>
    <row r="336" ht="15" customHeight="1">
      <c r="A336" t="inlineStr">
        <is>
          <t>A 1503-2023</t>
        </is>
      </c>
      <c r="B336" s="1" t="n">
        <v>44935</v>
      </c>
      <c r="C336" s="1" t="n">
        <v>46194</v>
      </c>
      <c r="D336" t="inlineStr">
        <is>
          <t>ÖSTERGÖTLANDS LÄN</t>
        </is>
      </c>
      <c r="E336" t="inlineStr">
        <is>
          <t>KINDA</t>
        </is>
      </c>
      <c r="G336" t="n">
        <v>0.7</v>
      </c>
      <c r="H336" t="n">
        <v>0</v>
      </c>
      <c r="I336" t="n">
        <v>0</v>
      </c>
      <c r="J336" t="n">
        <v>0</v>
      </c>
      <c r="K336" t="n">
        <v>0</v>
      </c>
      <c r="L336" t="n">
        <v>0</v>
      </c>
      <c r="M336" t="n">
        <v>0</v>
      </c>
      <c r="N336" t="n">
        <v>0</v>
      </c>
      <c r="O336" t="n">
        <v>0</v>
      </c>
      <c r="P336" t="n">
        <v>0</v>
      </c>
      <c r="Q336" t="n">
        <v>0</v>
      </c>
      <c r="R336" s="2" t="inlineStr"/>
    </row>
    <row r="337" ht="15" customHeight="1">
      <c r="A337" t="inlineStr">
        <is>
          <t>A 9702-2022</t>
        </is>
      </c>
      <c r="B337" s="1" t="n">
        <v>44617</v>
      </c>
      <c r="C337" s="1" t="n">
        <v>46194</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18410-2023</t>
        </is>
      </c>
      <c r="B338" s="1" t="n">
        <v>45042</v>
      </c>
      <c r="C338" s="1" t="n">
        <v>46194</v>
      </c>
      <c r="D338" t="inlineStr">
        <is>
          <t>ÖSTERGÖTLANDS LÄN</t>
        </is>
      </c>
      <c r="E338" t="inlineStr">
        <is>
          <t>KINDA</t>
        </is>
      </c>
      <c r="G338" t="n">
        <v>5.6</v>
      </c>
      <c r="H338" t="n">
        <v>0</v>
      </c>
      <c r="I338" t="n">
        <v>0</v>
      </c>
      <c r="J338" t="n">
        <v>0</v>
      </c>
      <c r="K338" t="n">
        <v>0</v>
      </c>
      <c r="L338" t="n">
        <v>0</v>
      </c>
      <c r="M338" t="n">
        <v>0</v>
      </c>
      <c r="N338" t="n">
        <v>0</v>
      </c>
      <c r="O338" t="n">
        <v>0</v>
      </c>
      <c r="P338" t="n">
        <v>0</v>
      </c>
      <c r="Q338" t="n">
        <v>0</v>
      </c>
      <c r="R338" s="2" t="inlineStr"/>
    </row>
    <row r="339" ht="15" customHeight="1">
      <c r="A339" t="inlineStr">
        <is>
          <t>A 4659-2023</t>
        </is>
      </c>
      <c r="B339" s="1" t="n">
        <v>44952</v>
      </c>
      <c r="C339" s="1" t="n">
        <v>46194</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55511-2025</t>
        </is>
      </c>
      <c r="B340" s="1" t="n">
        <v>45971</v>
      </c>
      <c r="C340" s="1" t="n">
        <v>46194</v>
      </c>
      <c r="D340" t="inlineStr">
        <is>
          <t>ÖSTERGÖTLANDS LÄN</t>
        </is>
      </c>
      <c r="E340" t="inlineStr">
        <is>
          <t>KINDA</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25410-2026</t>
        </is>
      </c>
      <c r="B341" s="1" t="n">
        <v>46176</v>
      </c>
      <c r="C341" s="1" t="n">
        <v>46194</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9615-2024</t>
        </is>
      </c>
      <c r="B342" s="1" t="n">
        <v>45361</v>
      </c>
      <c r="C342" s="1" t="n">
        <v>46194</v>
      </c>
      <c r="D342" t="inlineStr">
        <is>
          <t>ÖSTERGÖTLANDS LÄN</t>
        </is>
      </c>
      <c r="E342" t="inlineStr">
        <is>
          <t>KINDA</t>
        </is>
      </c>
      <c r="G342" t="n">
        <v>2.2</v>
      </c>
      <c r="H342" t="n">
        <v>0</v>
      </c>
      <c r="I342" t="n">
        <v>0</v>
      </c>
      <c r="J342" t="n">
        <v>0</v>
      </c>
      <c r="K342" t="n">
        <v>0</v>
      </c>
      <c r="L342" t="n">
        <v>0</v>
      </c>
      <c r="M342" t="n">
        <v>0</v>
      </c>
      <c r="N342" t="n">
        <v>0</v>
      </c>
      <c r="O342" t="n">
        <v>0</v>
      </c>
      <c r="P342" t="n">
        <v>0</v>
      </c>
      <c r="Q342" t="n">
        <v>0</v>
      </c>
      <c r="R342" s="2" t="inlineStr"/>
    </row>
    <row r="343" ht="15" customHeight="1">
      <c r="A343" t="inlineStr">
        <is>
          <t>A 10621-2023</t>
        </is>
      </c>
      <c r="B343" s="1" t="n">
        <v>44988</v>
      </c>
      <c r="C343" s="1" t="n">
        <v>46194</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46890-2025</t>
        </is>
      </c>
      <c r="B344" s="1" t="n">
        <v>45929</v>
      </c>
      <c r="C344" s="1" t="n">
        <v>46194</v>
      </c>
      <c r="D344" t="inlineStr">
        <is>
          <t>ÖSTERGÖTLANDS LÄN</t>
        </is>
      </c>
      <c r="E344" t="inlineStr">
        <is>
          <t>KINDA</t>
        </is>
      </c>
      <c r="G344" t="n">
        <v>3.8</v>
      </c>
      <c r="H344" t="n">
        <v>0</v>
      </c>
      <c r="I344" t="n">
        <v>0</v>
      </c>
      <c r="J344" t="n">
        <v>0</v>
      </c>
      <c r="K344" t="n">
        <v>0</v>
      </c>
      <c r="L344" t="n">
        <v>0</v>
      </c>
      <c r="M344" t="n">
        <v>0</v>
      </c>
      <c r="N344" t="n">
        <v>0</v>
      </c>
      <c r="O344" t="n">
        <v>0</v>
      </c>
      <c r="P344" t="n">
        <v>0</v>
      </c>
      <c r="Q344" t="n">
        <v>0</v>
      </c>
      <c r="R344" s="2" t="inlineStr"/>
    </row>
    <row r="345" ht="15" customHeight="1">
      <c r="A345" t="inlineStr">
        <is>
          <t>A 46918-2022</t>
        </is>
      </c>
      <c r="B345" s="1" t="n">
        <v>44851</v>
      </c>
      <c r="C345" s="1" t="n">
        <v>46194</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17047-2025</t>
        </is>
      </c>
      <c r="B346" s="1" t="n">
        <v>45755</v>
      </c>
      <c r="C346" s="1" t="n">
        <v>46194</v>
      </c>
      <c r="D346" t="inlineStr">
        <is>
          <t>ÖSTERGÖTLANDS LÄN</t>
        </is>
      </c>
      <c r="E346" t="inlineStr">
        <is>
          <t>KINDA</t>
        </is>
      </c>
      <c r="G346" t="n">
        <v>2.4</v>
      </c>
      <c r="H346" t="n">
        <v>0</v>
      </c>
      <c r="I346" t="n">
        <v>0</v>
      </c>
      <c r="J346" t="n">
        <v>0</v>
      </c>
      <c r="K346" t="n">
        <v>0</v>
      </c>
      <c r="L346" t="n">
        <v>0</v>
      </c>
      <c r="M346" t="n">
        <v>0</v>
      </c>
      <c r="N346" t="n">
        <v>0</v>
      </c>
      <c r="O346" t="n">
        <v>0</v>
      </c>
      <c r="P346" t="n">
        <v>0</v>
      </c>
      <c r="Q346" t="n">
        <v>0</v>
      </c>
      <c r="R346" s="2" t="inlineStr"/>
    </row>
    <row r="347" ht="15" customHeight="1">
      <c r="A347" t="inlineStr">
        <is>
          <t>A 650-2023</t>
        </is>
      </c>
      <c r="B347" s="1" t="n">
        <v>44930</v>
      </c>
      <c r="C347" s="1" t="n">
        <v>46194</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17046-2025</t>
        </is>
      </c>
      <c r="B348" s="1" t="n">
        <v>45755</v>
      </c>
      <c r="C348" s="1" t="n">
        <v>46194</v>
      </c>
      <c r="D348" t="inlineStr">
        <is>
          <t>ÖSTERGÖTLANDS LÄN</t>
        </is>
      </c>
      <c r="E348" t="inlineStr">
        <is>
          <t>KINDA</t>
        </is>
      </c>
      <c r="G348" t="n">
        <v>1</v>
      </c>
      <c r="H348" t="n">
        <v>0</v>
      </c>
      <c r="I348" t="n">
        <v>0</v>
      </c>
      <c r="J348" t="n">
        <v>0</v>
      </c>
      <c r="K348" t="n">
        <v>0</v>
      </c>
      <c r="L348" t="n">
        <v>0</v>
      </c>
      <c r="M348" t="n">
        <v>0</v>
      </c>
      <c r="N348" t="n">
        <v>0</v>
      </c>
      <c r="O348" t="n">
        <v>0</v>
      </c>
      <c r="P348" t="n">
        <v>0</v>
      </c>
      <c r="Q348" t="n">
        <v>0</v>
      </c>
      <c r="R348" s="2" t="inlineStr"/>
    </row>
    <row r="349" ht="15" customHeight="1">
      <c r="A349" t="inlineStr">
        <is>
          <t>A 58289-2024</t>
        </is>
      </c>
      <c r="B349" s="1" t="n">
        <v>45632</v>
      </c>
      <c r="C349" s="1" t="n">
        <v>46194</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22044-2025</t>
        </is>
      </c>
      <c r="B350" s="1" t="n">
        <v>45785</v>
      </c>
      <c r="C350" s="1" t="n">
        <v>46194</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8318-2025</t>
        </is>
      </c>
      <c r="B351" s="1" t="n">
        <v>45708</v>
      </c>
      <c r="C351" s="1" t="n">
        <v>46194</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34661-2024</t>
        </is>
      </c>
      <c r="B352" s="1" t="n">
        <v>45526</v>
      </c>
      <c r="C352" s="1" t="n">
        <v>46194</v>
      </c>
      <c r="D352" t="inlineStr">
        <is>
          <t>ÖSTERGÖTLANDS LÄN</t>
        </is>
      </c>
      <c r="E352" t="inlineStr">
        <is>
          <t>KINDA</t>
        </is>
      </c>
      <c r="G352" t="n">
        <v>2.1</v>
      </c>
      <c r="H352" t="n">
        <v>0</v>
      </c>
      <c r="I352" t="n">
        <v>0</v>
      </c>
      <c r="J352" t="n">
        <v>0</v>
      </c>
      <c r="K352" t="n">
        <v>0</v>
      </c>
      <c r="L352" t="n">
        <v>0</v>
      </c>
      <c r="M352" t="n">
        <v>0</v>
      </c>
      <c r="N352" t="n">
        <v>0</v>
      </c>
      <c r="O352" t="n">
        <v>0</v>
      </c>
      <c r="P352" t="n">
        <v>0</v>
      </c>
      <c r="Q352" t="n">
        <v>0</v>
      </c>
      <c r="R352" s="2" t="inlineStr"/>
    </row>
    <row r="353" ht="15" customHeight="1">
      <c r="A353" t="inlineStr">
        <is>
          <t>A 59573-2022</t>
        </is>
      </c>
      <c r="B353" s="1" t="n">
        <v>44907</v>
      </c>
      <c r="C353" s="1" t="n">
        <v>46194</v>
      </c>
      <c r="D353" t="inlineStr">
        <is>
          <t>ÖSTERGÖTLANDS LÄN</t>
        </is>
      </c>
      <c r="E353" t="inlineStr">
        <is>
          <t>KINDA</t>
        </is>
      </c>
      <c r="G353" t="n">
        <v>0.8</v>
      </c>
      <c r="H353" t="n">
        <v>0</v>
      </c>
      <c r="I353" t="n">
        <v>0</v>
      </c>
      <c r="J353" t="n">
        <v>0</v>
      </c>
      <c r="K353" t="n">
        <v>0</v>
      </c>
      <c r="L353" t="n">
        <v>0</v>
      </c>
      <c r="M353" t="n">
        <v>0</v>
      </c>
      <c r="N353" t="n">
        <v>0</v>
      </c>
      <c r="O353" t="n">
        <v>0</v>
      </c>
      <c r="P353" t="n">
        <v>0</v>
      </c>
      <c r="Q353" t="n">
        <v>0</v>
      </c>
      <c r="R353" s="2" t="inlineStr"/>
    </row>
    <row r="354" ht="15" customHeight="1">
      <c r="A354" t="inlineStr">
        <is>
          <t>A 23372-2025</t>
        </is>
      </c>
      <c r="B354" s="1" t="n">
        <v>45791</v>
      </c>
      <c r="C354" s="1" t="n">
        <v>46194</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24367-2023</t>
        </is>
      </c>
      <c r="B355" s="1" t="n">
        <v>45082</v>
      </c>
      <c r="C355" s="1" t="n">
        <v>46194</v>
      </c>
      <c r="D355" t="inlineStr">
        <is>
          <t>ÖSTERGÖTLANDS LÄN</t>
        </is>
      </c>
      <c r="E355" t="inlineStr">
        <is>
          <t>KINDA</t>
        </is>
      </c>
      <c r="G355" t="n">
        <v>1.7</v>
      </c>
      <c r="H355" t="n">
        <v>0</v>
      </c>
      <c r="I355" t="n">
        <v>0</v>
      </c>
      <c r="J355" t="n">
        <v>0</v>
      </c>
      <c r="K355" t="n">
        <v>0</v>
      </c>
      <c r="L355" t="n">
        <v>0</v>
      </c>
      <c r="M355" t="n">
        <v>0</v>
      </c>
      <c r="N355" t="n">
        <v>0</v>
      </c>
      <c r="O355" t="n">
        <v>0</v>
      </c>
      <c r="P355" t="n">
        <v>0</v>
      </c>
      <c r="Q355" t="n">
        <v>0</v>
      </c>
      <c r="R355" s="2" t="inlineStr"/>
    </row>
    <row r="356" ht="15" customHeight="1">
      <c r="A356" t="inlineStr">
        <is>
          <t>A 49834-2025</t>
        </is>
      </c>
      <c r="B356" s="1" t="n">
        <v>45940</v>
      </c>
      <c r="C356" s="1" t="n">
        <v>46194</v>
      </c>
      <c r="D356" t="inlineStr">
        <is>
          <t>ÖSTERGÖTLANDS LÄN</t>
        </is>
      </c>
      <c r="E356" t="inlineStr">
        <is>
          <t>KINDA</t>
        </is>
      </c>
      <c r="G356" t="n">
        <v>1.4</v>
      </c>
      <c r="H356" t="n">
        <v>0</v>
      </c>
      <c r="I356" t="n">
        <v>0</v>
      </c>
      <c r="J356" t="n">
        <v>0</v>
      </c>
      <c r="K356" t="n">
        <v>0</v>
      </c>
      <c r="L356" t="n">
        <v>0</v>
      </c>
      <c r="M356" t="n">
        <v>0</v>
      </c>
      <c r="N356" t="n">
        <v>0</v>
      </c>
      <c r="O356" t="n">
        <v>0</v>
      </c>
      <c r="P356" t="n">
        <v>0</v>
      </c>
      <c r="Q356" t="n">
        <v>0</v>
      </c>
      <c r="R356" s="2" t="inlineStr"/>
    </row>
    <row r="357" ht="15" customHeight="1">
      <c r="A357" t="inlineStr">
        <is>
          <t>A 46262-2021</t>
        </is>
      </c>
      <c r="B357" s="1" t="n">
        <v>44442</v>
      </c>
      <c r="C357" s="1" t="n">
        <v>46194</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35947-2023</t>
        </is>
      </c>
      <c r="B358" s="1" t="n">
        <v>45148</v>
      </c>
      <c r="C358" s="1" t="n">
        <v>46194</v>
      </c>
      <c r="D358" t="inlineStr">
        <is>
          <t>ÖSTERGÖTLANDS LÄN</t>
        </is>
      </c>
      <c r="E358" t="inlineStr">
        <is>
          <t>KINDA</t>
        </is>
      </c>
      <c r="G358" t="n">
        <v>0.4</v>
      </c>
      <c r="H358" t="n">
        <v>0</v>
      </c>
      <c r="I358" t="n">
        <v>0</v>
      </c>
      <c r="J358" t="n">
        <v>0</v>
      </c>
      <c r="K358" t="n">
        <v>0</v>
      </c>
      <c r="L358" t="n">
        <v>0</v>
      </c>
      <c r="M358" t="n">
        <v>0</v>
      </c>
      <c r="N358" t="n">
        <v>0</v>
      </c>
      <c r="O358" t="n">
        <v>0</v>
      </c>
      <c r="P358" t="n">
        <v>0</v>
      </c>
      <c r="Q358" t="n">
        <v>0</v>
      </c>
      <c r="R358" s="2" t="inlineStr"/>
    </row>
    <row r="359" ht="15" customHeight="1">
      <c r="A359" t="inlineStr">
        <is>
          <t>A 50741-2025</t>
        </is>
      </c>
      <c r="B359" s="1" t="n">
        <v>45946</v>
      </c>
      <c r="C359" s="1" t="n">
        <v>46194</v>
      </c>
      <c r="D359" t="inlineStr">
        <is>
          <t>ÖSTERGÖTLANDS LÄN</t>
        </is>
      </c>
      <c r="E359" t="inlineStr">
        <is>
          <t>KINDA</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15349-2024</t>
        </is>
      </c>
      <c r="B360" s="1" t="n">
        <v>45400</v>
      </c>
      <c r="C360" s="1" t="n">
        <v>46194</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13845-2025</t>
        </is>
      </c>
      <c r="B361" s="1" t="n">
        <v>45737</v>
      </c>
      <c r="C361" s="1" t="n">
        <v>46194</v>
      </c>
      <c r="D361" t="inlineStr">
        <is>
          <t>ÖSTERGÖTLANDS LÄN</t>
        </is>
      </c>
      <c r="E361" t="inlineStr">
        <is>
          <t>KINDA</t>
        </is>
      </c>
      <c r="G361" t="n">
        <v>0.6</v>
      </c>
      <c r="H361" t="n">
        <v>0</v>
      </c>
      <c r="I361" t="n">
        <v>0</v>
      </c>
      <c r="J361" t="n">
        <v>0</v>
      </c>
      <c r="K361" t="n">
        <v>0</v>
      </c>
      <c r="L361" t="n">
        <v>0</v>
      </c>
      <c r="M361" t="n">
        <v>0</v>
      </c>
      <c r="N361" t="n">
        <v>0</v>
      </c>
      <c r="O361" t="n">
        <v>0</v>
      </c>
      <c r="P361" t="n">
        <v>0</v>
      </c>
      <c r="Q361" t="n">
        <v>0</v>
      </c>
      <c r="R361" s="2" t="inlineStr"/>
    </row>
    <row r="362" ht="15" customHeight="1">
      <c r="A362" t="inlineStr">
        <is>
          <t>A 47003-2025</t>
        </is>
      </c>
      <c r="B362" s="1" t="n">
        <v>45929</v>
      </c>
      <c r="C362" s="1" t="n">
        <v>46194</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17480-2025</t>
        </is>
      </c>
      <c r="B363" s="1" t="n">
        <v>45757</v>
      </c>
      <c r="C363" s="1" t="n">
        <v>46194</v>
      </c>
      <c r="D363" t="inlineStr">
        <is>
          <t>ÖSTERGÖTLANDS LÄN</t>
        </is>
      </c>
      <c r="E363" t="inlineStr">
        <is>
          <t>KINDA</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2969-2024</t>
        </is>
      </c>
      <c r="B364" s="1" t="n">
        <v>45315</v>
      </c>
      <c r="C364" s="1" t="n">
        <v>46194</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24774-2025</t>
        </is>
      </c>
      <c r="B365" s="1" t="n">
        <v>45799</v>
      </c>
      <c r="C365" s="1" t="n">
        <v>46194</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23886-2023</t>
        </is>
      </c>
      <c r="B366" s="1" t="n">
        <v>45078</v>
      </c>
      <c r="C366" s="1" t="n">
        <v>46194</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61957-2022</t>
        </is>
      </c>
      <c r="B367" s="1" t="n">
        <v>44918</v>
      </c>
      <c r="C367" s="1" t="n">
        <v>46194</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57455-2021</t>
        </is>
      </c>
      <c r="B368" s="1" t="n">
        <v>44483</v>
      </c>
      <c r="C368" s="1" t="n">
        <v>46194</v>
      </c>
      <c r="D368" t="inlineStr">
        <is>
          <t>ÖSTERGÖTLANDS LÄN</t>
        </is>
      </c>
      <c r="E368" t="inlineStr">
        <is>
          <t>KINDA</t>
        </is>
      </c>
      <c r="G368" t="n">
        <v>1.8</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46194</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52766-2025</t>
        </is>
      </c>
      <c r="B370" s="1" t="n">
        <v>45957</v>
      </c>
      <c r="C370" s="1" t="n">
        <v>46194</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19296-2023</t>
        </is>
      </c>
      <c r="B371" s="1" t="n">
        <v>45048</v>
      </c>
      <c r="C371" s="1" t="n">
        <v>46194</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12948-2023</t>
        </is>
      </c>
      <c r="B372" s="1" t="n">
        <v>45001</v>
      </c>
      <c r="C372" s="1" t="n">
        <v>46194</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6404-2023</t>
        </is>
      </c>
      <c r="B373" s="1" t="n">
        <v>44965</v>
      </c>
      <c r="C373" s="1" t="n">
        <v>46194</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53808-2025</t>
        </is>
      </c>
      <c r="B374" s="1" t="n">
        <v>45960</v>
      </c>
      <c r="C374" s="1" t="n">
        <v>46194</v>
      </c>
      <c r="D374" t="inlineStr">
        <is>
          <t>ÖSTERGÖTLANDS LÄN</t>
        </is>
      </c>
      <c r="E374" t="inlineStr">
        <is>
          <t>KINDA</t>
        </is>
      </c>
      <c r="G374" t="n">
        <v>0.7</v>
      </c>
      <c r="H374" t="n">
        <v>0</v>
      </c>
      <c r="I374" t="n">
        <v>0</v>
      </c>
      <c r="J374" t="n">
        <v>0</v>
      </c>
      <c r="K374" t="n">
        <v>0</v>
      </c>
      <c r="L374" t="n">
        <v>0</v>
      </c>
      <c r="M374" t="n">
        <v>0</v>
      </c>
      <c r="N374" t="n">
        <v>0</v>
      </c>
      <c r="O374" t="n">
        <v>0</v>
      </c>
      <c r="P374" t="n">
        <v>0</v>
      </c>
      <c r="Q374" t="n">
        <v>0</v>
      </c>
      <c r="R374" s="2" t="inlineStr"/>
    </row>
    <row r="375" ht="15" customHeight="1">
      <c r="A375" t="inlineStr">
        <is>
          <t>A 25268-2023</t>
        </is>
      </c>
      <c r="B375" s="1" t="n">
        <v>45086</v>
      </c>
      <c r="C375" s="1" t="n">
        <v>46194</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14244-2024</t>
        </is>
      </c>
      <c r="B376" s="1" t="n">
        <v>45393</v>
      </c>
      <c r="C376" s="1" t="n">
        <v>46194</v>
      </c>
      <c r="D376" t="inlineStr">
        <is>
          <t>ÖSTERGÖTLANDS LÄN</t>
        </is>
      </c>
      <c r="E376" t="inlineStr">
        <is>
          <t>KINDA</t>
        </is>
      </c>
      <c r="G376" t="n">
        <v>2.1</v>
      </c>
      <c r="H376" t="n">
        <v>0</v>
      </c>
      <c r="I376" t="n">
        <v>0</v>
      </c>
      <c r="J376" t="n">
        <v>0</v>
      </c>
      <c r="K376" t="n">
        <v>0</v>
      </c>
      <c r="L376" t="n">
        <v>0</v>
      </c>
      <c r="M376" t="n">
        <v>0</v>
      </c>
      <c r="N376" t="n">
        <v>0</v>
      </c>
      <c r="O376" t="n">
        <v>0</v>
      </c>
      <c r="P376" t="n">
        <v>0</v>
      </c>
      <c r="Q376" t="n">
        <v>0</v>
      </c>
      <c r="R376" s="2" t="inlineStr"/>
    </row>
    <row r="377" ht="15" customHeight="1">
      <c r="A377" t="inlineStr">
        <is>
          <t>A 19654-2025</t>
        </is>
      </c>
      <c r="B377" s="1" t="n">
        <v>45770</v>
      </c>
      <c r="C377" s="1" t="n">
        <v>46194</v>
      </c>
      <c r="D377" t="inlineStr">
        <is>
          <t>ÖSTERGÖTLANDS LÄN</t>
        </is>
      </c>
      <c r="E377" t="inlineStr">
        <is>
          <t>KINDA</t>
        </is>
      </c>
      <c r="F377" t="inlineStr">
        <is>
          <t>Allmännings- och besparingsskogar</t>
        </is>
      </c>
      <c r="G377" t="n">
        <v>10.7</v>
      </c>
      <c r="H377" t="n">
        <v>0</v>
      </c>
      <c r="I377" t="n">
        <v>0</v>
      </c>
      <c r="J377" t="n">
        <v>0</v>
      </c>
      <c r="K377" t="n">
        <v>0</v>
      </c>
      <c r="L377" t="n">
        <v>0</v>
      </c>
      <c r="M377" t="n">
        <v>0</v>
      </c>
      <c r="N377" t="n">
        <v>0</v>
      </c>
      <c r="O377" t="n">
        <v>0</v>
      </c>
      <c r="P377" t="n">
        <v>0</v>
      </c>
      <c r="Q377" t="n">
        <v>0</v>
      </c>
      <c r="R377" s="2" t="inlineStr"/>
    </row>
    <row r="378" ht="15" customHeight="1">
      <c r="A378" t="inlineStr">
        <is>
          <t>A 27969-2025</t>
        </is>
      </c>
      <c r="B378" s="1" t="n">
        <v>45817</v>
      </c>
      <c r="C378" s="1" t="n">
        <v>46194</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55000-2025</t>
        </is>
      </c>
      <c r="B379" s="1" t="n">
        <v>45967</v>
      </c>
      <c r="C379" s="1" t="n">
        <v>46194</v>
      </c>
      <c r="D379" t="inlineStr">
        <is>
          <t>ÖSTERGÖTLANDS LÄN</t>
        </is>
      </c>
      <c r="E379" t="inlineStr">
        <is>
          <t>KINDA</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6561-2024</t>
        </is>
      </c>
      <c r="B380" s="1" t="n">
        <v>45341</v>
      </c>
      <c r="C380" s="1" t="n">
        <v>46194</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35203-2023</t>
        </is>
      </c>
      <c r="B381" s="1" t="n">
        <v>45145</v>
      </c>
      <c r="C381" s="1" t="n">
        <v>46194</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56007-2025</t>
        </is>
      </c>
      <c r="B382" s="1" t="n">
        <v>45973</v>
      </c>
      <c r="C382" s="1" t="n">
        <v>46194</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41379-2024</t>
        </is>
      </c>
      <c r="B383" s="1" t="n">
        <v>45560</v>
      </c>
      <c r="C383" s="1" t="n">
        <v>46194</v>
      </c>
      <c r="D383" t="inlineStr">
        <is>
          <t>ÖSTERGÖTLANDS LÄN</t>
        </is>
      </c>
      <c r="E383" t="inlineStr">
        <is>
          <t>KINDA</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31048-2025</t>
        </is>
      </c>
      <c r="B384" s="1" t="n">
        <v>45832</v>
      </c>
      <c r="C384" s="1" t="n">
        <v>46194</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1885-2022</t>
        </is>
      </c>
      <c r="B385" s="1" t="n">
        <v>44575</v>
      </c>
      <c r="C385" s="1" t="n">
        <v>46194</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27809-2024</t>
        </is>
      </c>
      <c r="B386" s="1" t="n">
        <v>45475</v>
      </c>
      <c r="C386" s="1" t="n">
        <v>46194</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7631-2024</t>
        </is>
      </c>
      <c r="B387" s="1" t="n">
        <v>45348</v>
      </c>
      <c r="C387" s="1" t="n">
        <v>46194</v>
      </c>
      <c r="D387" t="inlineStr">
        <is>
          <t>ÖSTERGÖTLANDS LÄN</t>
        </is>
      </c>
      <c r="E387" t="inlineStr">
        <is>
          <t>KINDA</t>
        </is>
      </c>
      <c r="G387" t="n">
        <v>3.2</v>
      </c>
      <c r="H387" t="n">
        <v>0</v>
      </c>
      <c r="I387" t="n">
        <v>0</v>
      </c>
      <c r="J387" t="n">
        <v>0</v>
      </c>
      <c r="K387" t="n">
        <v>0</v>
      </c>
      <c r="L387" t="n">
        <v>0</v>
      </c>
      <c r="M387" t="n">
        <v>0</v>
      </c>
      <c r="N387" t="n">
        <v>0</v>
      </c>
      <c r="O387" t="n">
        <v>0</v>
      </c>
      <c r="P387" t="n">
        <v>0</v>
      </c>
      <c r="Q387" t="n">
        <v>0</v>
      </c>
      <c r="R387" s="2" t="inlineStr"/>
    </row>
    <row r="388" ht="15" customHeight="1">
      <c r="A388" t="inlineStr">
        <is>
          <t>A 35588-2024</t>
        </is>
      </c>
      <c r="B388" s="1" t="n">
        <v>45531</v>
      </c>
      <c r="C388" s="1" t="n">
        <v>46194</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46194</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31989-2025</t>
        </is>
      </c>
      <c r="B390" s="1" t="n">
        <v>45835</v>
      </c>
      <c r="C390" s="1" t="n">
        <v>46194</v>
      </c>
      <c r="D390" t="inlineStr">
        <is>
          <t>ÖSTERGÖTLANDS LÄN</t>
        </is>
      </c>
      <c r="E390" t="inlineStr">
        <is>
          <t>KINDA</t>
        </is>
      </c>
      <c r="G390" t="n">
        <v>1.1</v>
      </c>
      <c r="H390" t="n">
        <v>0</v>
      </c>
      <c r="I390" t="n">
        <v>0</v>
      </c>
      <c r="J390" t="n">
        <v>0</v>
      </c>
      <c r="K390" t="n">
        <v>0</v>
      </c>
      <c r="L390" t="n">
        <v>0</v>
      </c>
      <c r="M390" t="n">
        <v>0</v>
      </c>
      <c r="N390" t="n">
        <v>0</v>
      </c>
      <c r="O390" t="n">
        <v>0</v>
      </c>
      <c r="P390" t="n">
        <v>0</v>
      </c>
      <c r="Q390" t="n">
        <v>0</v>
      </c>
      <c r="R390" s="2" t="inlineStr"/>
    </row>
    <row r="391" ht="15" customHeight="1">
      <c r="A391" t="inlineStr">
        <is>
          <t>A 50406-2024</t>
        </is>
      </c>
      <c r="B391" s="1" t="n">
        <v>45601</v>
      </c>
      <c r="C391" s="1" t="n">
        <v>46194</v>
      </c>
      <c r="D391" t="inlineStr">
        <is>
          <t>ÖSTERGÖTLANDS LÄN</t>
        </is>
      </c>
      <c r="E391" t="inlineStr">
        <is>
          <t>KINDA</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31980-2025</t>
        </is>
      </c>
      <c r="B392" s="1" t="n">
        <v>45835</v>
      </c>
      <c r="C392" s="1" t="n">
        <v>46194</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62254-2023</t>
        </is>
      </c>
      <c r="B393" s="1" t="n">
        <v>45267</v>
      </c>
      <c r="C393" s="1" t="n">
        <v>46194</v>
      </c>
      <c r="D393" t="inlineStr">
        <is>
          <t>ÖSTERGÖTLANDS LÄN</t>
        </is>
      </c>
      <c r="E393" t="inlineStr">
        <is>
          <t>KINDA</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58875-2023</t>
        </is>
      </c>
      <c r="B394" s="1" t="n">
        <v>45250</v>
      </c>
      <c r="C394" s="1" t="n">
        <v>46194</v>
      </c>
      <c r="D394" t="inlineStr">
        <is>
          <t>ÖSTERGÖTLANDS LÄN</t>
        </is>
      </c>
      <c r="E394" t="inlineStr">
        <is>
          <t>KINDA</t>
        </is>
      </c>
      <c r="G394" t="n">
        <v>1.3</v>
      </c>
      <c r="H394" t="n">
        <v>0</v>
      </c>
      <c r="I394" t="n">
        <v>0</v>
      </c>
      <c r="J394" t="n">
        <v>0</v>
      </c>
      <c r="K394" t="n">
        <v>0</v>
      </c>
      <c r="L394" t="n">
        <v>0</v>
      </c>
      <c r="M394" t="n">
        <v>0</v>
      </c>
      <c r="N394" t="n">
        <v>0</v>
      </c>
      <c r="O394" t="n">
        <v>0</v>
      </c>
      <c r="P394" t="n">
        <v>0</v>
      </c>
      <c r="Q394" t="n">
        <v>0</v>
      </c>
      <c r="R394" s="2" t="inlineStr"/>
    </row>
    <row r="395" ht="15" customHeight="1">
      <c r="A395" t="inlineStr">
        <is>
          <t>A 15599-2023</t>
        </is>
      </c>
      <c r="B395" s="1" t="n">
        <v>45020</v>
      </c>
      <c r="C395" s="1" t="n">
        <v>46194</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1157-2024</t>
        </is>
      </c>
      <c r="B396" s="1" t="n">
        <v>45302</v>
      </c>
      <c r="C396" s="1" t="n">
        <v>46194</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33493-2025</t>
        </is>
      </c>
      <c r="B397" s="1" t="n">
        <v>45841</v>
      </c>
      <c r="C397" s="1" t="n">
        <v>46194</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33445-2025</t>
        </is>
      </c>
      <c r="B398" s="1" t="n">
        <v>45841</v>
      </c>
      <c r="C398" s="1" t="n">
        <v>46194</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12856-2025</t>
        </is>
      </c>
      <c r="B399" s="1" t="n">
        <v>45733</v>
      </c>
      <c r="C399" s="1" t="n">
        <v>46194</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29782-2025</t>
        </is>
      </c>
      <c r="B400" s="1" t="n">
        <v>45825</v>
      </c>
      <c r="C400" s="1" t="n">
        <v>46194</v>
      </c>
      <c r="D400" t="inlineStr">
        <is>
          <t>ÖSTERGÖTLANDS LÄN</t>
        </is>
      </c>
      <c r="E400" t="inlineStr">
        <is>
          <t>KINDA</t>
        </is>
      </c>
      <c r="G400" t="n">
        <v>2.6</v>
      </c>
      <c r="H400" t="n">
        <v>0</v>
      </c>
      <c r="I400" t="n">
        <v>0</v>
      </c>
      <c r="J400" t="n">
        <v>0</v>
      </c>
      <c r="K400" t="n">
        <v>0</v>
      </c>
      <c r="L400" t="n">
        <v>0</v>
      </c>
      <c r="M400" t="n">
        <v>0</v>
      </c>
      <c r="N400" t="n">
        <v>0</v>
      </c>
      <c r="O400" t="n">
        <v>0</v>
      </c>
      <c r="P400" t="n">
        <v>0</v>
      </c>
      <c r="Q400" t="n">
        <v>0</v>
      </c>
      <c r="R400" s="2" t="inlineStr"/>
    </row>
    <row r="401" ht="15" customHeight="1">
      <c r="A401" t="inlineStr">
        <is>
          <t>A 56041-2024</t>
        </is>
      </c>
      <c r="B401" s="1" t="n">
        <v>45624</v>
      </c>
      <c r="C401" s="1" t="n">
        <v>46194</v>
      </c>
      <c r="D401" t="inlineStr">
        <is>
          <t>ÖSTERGÖTLANDS LÄN</t>
        </is>
      </c>
      <c r="E401" t="inlineStr">
        <is>
          <t>KINDA</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59079-2025</t>
        </is>
      </c>
      <c r="B402" s="1" t="n">
        <v>45988</v>
      </c>
      <c r="C402" s="1" t="n">
        <v>46194</v>
      </c>
      <c r="D402" t="inlineStr">
        <is>
          <t>ÖSTERGÖTLANDS LÄN</t>
        </is>
      </c>
      <c r="E402" t="inlineStr">
        <is>
          <t>KINDA</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59081-2025</t>
        </is>
      </c>
      <c r="B403" s="1" t="n">
        <v>45988</v>
      </c>
      <c r="C403" s="1" t="n">
        <v>46194</v>
      </c>
      <c r="D403" t="inlineStr">
        <is>
          <t>ÖSTERGÖTLANDS LÄN</t>
        </is>
      </c>
      <c r="E403" t="inlineStr">
        <is>
          <t>KINDA</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59101-2025</t>
        </is>
      </c>
      <c r="B404" s="1" t="n">
        <v>45988</v>
      </c>
      <c r="C404" s="1" t="n">
        <v>46194</v>
      </c>
      <c r="D404" t="inlineStr">
        <is>
          <t>ÖSTERGÖTLANDS LÄN</t>
        </is>
      </c>
      <c r="E404" t="inlineStr">
        <is>
          <t>KINDA</t>
        </is>
      </c>
      <c r="F404" t="inlineStr">
        <is>
          <t>Sveaskog</t>
        </is>
      </c>
      <c r="G404" t="n">
        <v>5.6</v>
      </c>
      <c r="H404" t="n">
        <v>0</v>
      </c>
      <c r="I404" t="n">
        <v>0</v>
      </c>
      <c r="J404" t="n">
        <v>0</v>
      </c>
      <c r="K404" t="n">
        <v>0</v>
      </c>
      <c r="L404" t="n">
        <v>0</v>
      </c>
      <c r="M404" t="n">
        <v>0</v>
      </c>
      <c r="N404" t="n">
        <v>0</v>
      </c>
      <c r="O404" t="n">
        <v>0</v>
      </c>
      <c r="P404" t="n">
        <v>0</v>
      </c>
      <c r="Q404" t="n">
        <v>0</v>
      </c>
      <c r="R404" s="2" t="inlineStr"/>
    </row>
    <row r="405" ht="15" customHeight="1">
      <c r="A405" t="inlineStr">
        <is>
          <t>A 32764-2023</t>
        </is>
      </c>
      <c r="B405" s="1" t="n">
        <v>45123</v>
      </c>
      <c r="C405" s="1" t="n">
        <v>46194</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25199-2026</t>
        </is>
      </c>
      <c r="B406" s="1" t="n">
        <v>46175</v>
      </c>
      <c r="C406" s="1" t="n">
        <v>46194</v>
      </c>
      <c r="D406" t="inlineStr">
        <is>
          <t>ÖSTERGÖTLANDS LÄN</t>
        </is>
      </c>
      <c r="E406" t="inlineStr">
        <is>
          <t>KINDA</t>
        </is>
      </c>
      <c r="G406" t="n">
        <v>2.5</v>
      </c>
      <c r="H406" t="n">
        <v>0</v>
      </c>
      <c r="I406" t="n">
        <v>0</v>
      </c>
      <c r="J406" t="n">
        <v>0</v>
      </c>
      <c r="K406" t="n">
        <v>0</v>
      </c>
      <c r="L406" t="n">
        <v>0</v>
      </c>
      <c r="M406" t="n">
        <v>0</v>
      </c>
      <c r="N406" t="n">
        <v>0</v>
      </c>
      <c r="O406" t="n">
        <v>0</v>
      </c>
      <c r="P406" t="n">
        <v>0</v>
      </c>
      <c r="Q406" t="n">
        <v>0</v>
      </c>
      <c r="R406" s="2" t="inlineStr"/>
    </row>
    <row r="407" ht="15" customHeight="1">
      <c r="A407" t="inlineStr">
        <is>
          <t>A 12623-2024</t>
        </is>
      </c>
      <c r="B407" s="1" t="n">
        <v>45383</v>
      </c>
      <c r="C407" s="1" t="n">
        <v>46194</v>
      </c>
      <c r="D407" t="inlineStr">
        <is>
          <t>ÖSTERGÖTLANDS LÄN</t>
        </is>
      </c>
      <c r="E407" t="inlineStr">
        <is>
          <t>KINDA</t>
        </is>
      </c>
      <c r="G407" t="n">
        <v>2.4</v>
      </c>
      <c r="H407" t="n">
        <v>0</v>
      </c>
      <c r="I407" t="n">
        <v>0</v>
      </c>
      <c r="J407" t="n">
        <v>0</v>
      </c>
      <c r="K407" t="n">
        <v>0</v>
      </c>
      <c r="L407" t="n">
        <v>0</v>
      </c>
      <c r="M407" t="n">
        <v>0</v>
      </c>
      <c r="N407" t="n">
        <v>0</v>
      </c>
      <c r="O407" t="n">
        <v>0</v>
      </c>
      <c r="P407" t="n">
        <v>0</v>
      </c>
      <c r="Q407" t="n">
        <v>0</v>
      </c>
      <c r="R407" s="2" t="inlineStr"/>
    </row>
    <row r="408" ht="15" customHeight="1">
      <c r="A408" t="inlineStr">
        <is>
          <t>A 36005-2024</t>
        </is>
      </c>
      <c r="B408" s="1" t="n">
        <v>45533</v>
      </c>
      <c r="C408" s="1" t="n">
        <v>46194</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26917-2024</t>
        </is>
      </c>
      <c r="B409" s="1" t="n">
        <v>45470</v>
      </c>
      <c r="C409" s="1" t="n">
        <v>46194</v>
      </c>
      <c r="D409" t="inlineStr">
        <is>
          <t>ÖSTERGÖTLANDS LÄN</t>
        </is>
      </c>
      <c r="E409" t="inlineStr">
        <is>
          <t>KINDA</t>
        </is>
      </c>
      <c r="G409" t="n">
        <v>6.4</v>
      </c>
      <c r="H409" t="n">
        <v>0</v>
      </c>
      <c r="I409" t="n">
        <v>0</v>
      </c>
      <c r="J409" t="n">
        <v>0</v>
      </c>
      <c r="K409" t="n">
        <v>0</v>
      </c>
      <c r="L409" t="n">
        <v>0</v>
      </c>
      <c r="M409" t="n">
        <v>0</v>
      </c>
      <c r="N409" t="n">
        <v>0</v>
      </c>
      <c r="O409" t="n">
        <v>0</v>
      </c>
      <c r="P409" t="n">
        <v>0</v>
      </c>
      <c r="Q409" t="n">
        <v>0</v>
      </c>
      <c r="R409" s="2" t="inlineStr"/>
    </row>
    <row r="410" ht="15" customHeight="1">
      <c r="A410" t="inlineStr">
        <is>
          <t>A 60314-2025</t>
        </is>
      </c>
      <c r="B410" s="1" t="n">
        <v>45994</v>
      </c>
      <c r="C410" s="1" t="n">
        <v>46194</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21463-2026</t>
        </is>
      </c>
      <c r="B411" s="1" t="n">
        <v>46148</v>
      </c>
      <c r="C411" s="1" t="n">
        <v>46194</v>
      </c>
      <c r="D411" t="inlineStr">
        <is>
          <t>ÖSTERGÖTLANDS LÄN</t>
        </is>
      </c>
      <c r="E411" t="inlineStr">
        <is>
          <t>KINDA</t>
        </is>
      </c>
      <c r="G411" t="n">
        <v>1.6</v>
      </c>
      <c r="H411" t="n">
        <v>0</v>
      </c>
      <c r="I411" t="n">
        <v>0</v>
      </c>
      <c r="J411" t="n">
        <v>0</v>
      </c>
      <c r="K411" t="n">
        <v>0</v>
      </c>
      <c r="L411" t="n">
        <v>0</v>
      </c>
      <c r="M411" t="n">
        <v>0</v>
      </c>
      <c r="N411" t="n">
        <v>0</v>
      </c>
      <c r="O411" t="n">
        <v>0</v>
      </c>
      <c r="P411" t="n">
        <v>0</v>
      </c>
      <c r="Q411" t="n">
        <v>0</v>
      </c>
      <c r="R411" s="2" t="inlineStr"/>
    </row>
    <row r="412" ht="15" customHeight="1">
      <c r="A412" t="inlineStr">
        <is>
          <t>A 5479-2024</t>
        </is>
      </c>
      <c r="B412" s="1" t="n">
        <v>45333</v>
      </c>
      <c r="C412" s="1" t="n">
        <v>46194</v>
      </c>
      <c r="D412" t="inlineStr">
        <is>
          <t>ÖSTERGÖTLANDS LÄN</t>
        </is>
      </c>
      <c r="E412" t="inlineStr">
        <is>
          <t>KINDA</t>
        </is>
      </c>
      <c r="G412" t="n">
        <v>0.9</v>
      </c>
      <c r="H412" t="n">
        <v>0</v>
      </c>
      <c r="I412" t="n">
        <v>0</v>
      </c>
      <c r="J412" t="n">
        <v>0</v>
      </c>
      <c r="K412" t="n">
        <v>0</v>
      </c>
      <c r="L412" t="n">
        <v>0</v>
      </c>
      <c r="M412" t="n">
        <v>0</v>
      </c>
      <c r="N412" t="n">
        <v>0</v>
      </c>
      <c r="O412" t="n">
        <v>0</v>
      </c>
      <c r="P412" t="n">
        <v>0</v>
      </c>
      <c r="Q412" t="n">
        <v>0</v>
      </c>
      <c r="R412" s="2" t="inlineStr"/>
    </row>
    <row r="413" ht="15" customHeight="1">
      <c r="A413" t="inlineStr">
        <is>
          <t>A 8088-2024</t>
        </is>
      </c>
      <c r="B413" s="1" t="n">
        <v>45351</v>
      </c>
      <c r="C413" s="1" t="n">
        <v>46194</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22443-2025</t>
        </is>
      </c>
      <c r="B414" s="1" t="n">
        <v>45786</v>
      </c>
      <c r="C414" s="1" t="n">
        <v>46194</v>
      </c>
      <c r="D414" t="inlineStr">
        <is>
          <t>ÖSTERGÖTLANDS LÄN</t>
        </is>
      </c>
      <c r="E414" t="inlineStr">
        <is>
          <t>KINDA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36172-2025</t>
        </is>
      </c>
      <c r="B415" s="1" t="n">
        <v>45866</v>
      </c>
      <c r="C415" s="1" t="n">
        <v>46194</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59462-2025</t>
        </is>
      </c>
      <c r="B416" s="1" t="n">
        <v>45989</v>
      </c>
      <c r="C416" s="1" t="n">
        <v>46194</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v>
      </c>
      <c r="C417" s="1" t="n">
        <v>46194</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44329-2023</t>
        </is>
      </c>
      <c r="B418" s="1" t="n">
        <v>45188</v>
      </c>
      <c r="C418" s="1" t="n">
        <v>46194</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12706-2023</t>
        </is>
      </c>
      <c r="B419" s="1" t="n">
        <v>45000</v>
      </c>
      <c r="C419" s="1" t="n">
        <v>46194</v>
      </c>
      <c r="D419" t="inlineStr">
        <is>
          <t>ÖSTERGÖTLANDS LÄN</t>
        </is>
      </c>
      <c r="E419" t="inlineStr">
        <is>
          <t>KINDA</t>
        </is>
      </c>
      <c r="G419" t="n">
        <v>0.5</v>
      </c>
      <c r="H419" t="n">
        <v>0</v>
      </c>
      <c r="I419" t="n">
        <v>0</v>
      </c>
      <c r="J419" t="n">
        <v>0</v>
      </c>
      <c r="K419" t="n">
        <v>0</v>
      </c>
      <c r="L419" t="n">
        <v>0</v>
      </c>
      <c r="M419" t="n">
        <v>0</v>
      </c>
      <c r="N419" t="n">
        <v>0</v>
      </c>
      <c r="O419" t="n">
        <v>0</v>
      </c>
      <c r="P419" t="n">
        <v>0</v>
      </c>
      <c r="Q419" t="n">
        <v>0</v>
      </c>
      <c r="R419" s="2" t="inlineStr"/>
    </row>
    <row r="420" ht="15" customHeight="1">
      <c r="A420" t="inlineStr">
        <is>
          <t>A 61571-2025</t>
        </is>
      </c>
      <c r="B420" s="1" t="n">
        <v>46002</v>
      </c>
      <c r="C420" s="1" t="n">
        <v>46194</v>
      </c>
      <c r="D420" t="inlineStr">
        <is>
          <t>ÖSTERGÖTLANDS LÄN</t>
        </is>
      </c>
      <c r="E420" t="inlineStr">
        <is>
          <t>KINDA</t>
        </is>
      </c>
      <c r="G420" t="n">
        <v>3</v>
      </c>
      <c r="H420" t="n">
        <v>0</v>
      </c>
      <c r="I420" t="n">
        <v>0</v>
      </c>
      <c r="J420" t="n">
        <v>0</v>
      </c>
      <c r="K420" t="n">
        <v>0</v>
      </c>
      <c r="L420" t="n">
        <v>0</v>
      </c>
      <c r="M420" t="n">
        <v>0</v>
      </c>
      <c r="N420" t="n">
        <v>0</v>
      </c>
      <c r="O420" t="n">
        <v>0</v>
      </c>
      <c r="P420" t="n">
        <v>0</v>
      </c>
      <c r="Q420" t="n">
        <v>0</v>
      </c>
      <c r="R420" s="2" t="inlineStr"/>
    </row>
    <row r="421" ht="15" customHeight="1">
      <c r="A421" t="inlineStr">
        <is>
          <t>A 61776-2025</t>
        </is>
      </c>
      <c r="B421" s="1" t="n">
        <v>46002</v>
      </c>
      <c r="C421" s="1" t="n">
        <v>46194</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61774-2025</t>
        </is>
      </c>
      <c r="B422" s="1" t="n">
        <v>46002</v>
      </c>
      <c r="C422" s="1" t="n">
        <v>46194</v>
      </c>
      <c r="D422" t="inlineStr">
        <is>
          <t>ÖSTERGÖTLANDS LÄN</t>
        </is>
      </c>
      <c r="E422" t="inlineStr">
        <is>
          <t>KINDA</t>
        </is>
      </c>
      <c r="G422" t="n">
        <v>1.9</v>
      </c>
      <c r="H422" t="n">
        <v>0</v>
      </c>
      <c r="I422" t="n">
        <v>0</v>
      </c>
      <c r="J422" t="n">
        <v>0</v>
      </c>
      <c r="K422" t="n">
        <v>0</v>
      </c>
      <c r="L422" t="n">
        <v>0</v>
      </c>
      <c r="M422" t="n">
        <v>0</v>
      </c>
      <c r="N422" t="n">
        <v>0</v>
      </c>
      <c r="O422" t="n">
        <v>0</v>
      </c>
      <c r="P422" t="n">
        <v>0</v>
      </c>
      <c r="Q422" t="n">
        <v>0</v>
      </c>
      <c r="R422" s="2" t="inlineStr"/>
    </row>
    <row r="423" ht="15" customHeight="1">
      <c r="A423" t="inlineStr">
        <is>
          <t>A 22694-2023</t>
        </is>
      </c>
      <c r="B423" s="1" t="n">
        <v>45071</v>
      </c>
      <c r="C423" s="1" t="n">
        <v>46194</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61908-2025</t>
        </is>
      </c>
      <c r="B424" s="1" t="n">
        <v>46003</v>
      </c>
      <c r="C424" s="1" t="n">
        <v>46194</v>
      </c>
      <c r="D424" t="inlineStr">
        <is>
          <t>ÖSTERGÖTLANDS LÄN</t>
        </is>
      </c>
      <c r="E424" t="inlineStr">
        <is>
          <t>KINDA</t>
        </is>
      </c>
      <c r="G424" t="n">
        <v>6.7</v>
      </c>
      <c r="H424" t="n">
        <v>0</v>
      </c>
      <c r="I424" t="n">
        <v>0</v>
      </c>
      <c r="J424" t="n">
        <v>0</v>
      </c>
      <c r="K424" t="n">
        <v>0</v>
      </c>
      <c r="L424" t="n">
        <v>0</v>
      </c>
      <c r="M424" t="n">
        <v>0</v>
      </c>
      <c r="N424" t="n">
        <v>0</v>
      </c>
      <c r="O424" t="n">
        <v>0</v>
      </c>
      <c r="P424" t="n">
        <v>0</v>
      </c>
      <c r="Q424" t="n">
        <v>0</v>
      </c>
      <c r="R424" s="2" t="inlineStr"/>
    </row>
    <row r="425" ht="15" customHeight="1">
      <c r="A425" t="inlineStr">
        <is>
          <t>A 19360-2023</t>
        </is>
      </c>
      <c r="B425" s="1" t="n">
        <v>45049</v>
      </c>
      <c r="C425" s="1" t="n">
        <v>46194</v>
      </c>
      <c r="D425" t="inlineStr">
        <is>
          <t>ÖSTERGÖTLANDS LÄN</t>
        </is>
      </c>
      <c r="E425" t="inlineStr">
        <is>
          <t>KINDA</t>
        </is>
      </c>
      <c r="G425" t="n">
        <v>5.8</v>
      </c>
      <c r="H425" t="n">
        <v>0</v>
      </c>
      <c r="I425" t="n">
        <v>0</v>
      </c>
      <c r="J425" t="n">
        <v>0</v>
      </c>
      <c r="K425" t="n">
        <v>0</v>
      </c>
      <c r="L425" t="n">
        <v>0</v>
      </c>
      <c r="M425" t="n">
        <v>0</v>
      </c>
      <c r="N425" t="n">
        <v>0</v>
      </c>
      <c r="O425" t="n">
        <v>0</v>
      </c>
      <c r="P425" t="n">
        <v>0</v>
      </c>
      <c r="Q425" t="n">
        <v>0</v>
      </c>
      <c r="R425" s="2" t="inlineStr"/>
    </row>
    <row r="426" ht="15" customHeight="1">
      <c r="A426" t="inlineStr">
        <is>
          <t>A 62697-2025</t>
        </is>
      </c>
      <c r="B426" s="1" t="n">
        <v>46008</v>
      </c>
      <c r="C426" s="1" t="n">
        <v>46194</v>
      </c>
      <c r="D426" t="inlineStr">
        <is>
          <t>ÖSTERGÖTLANDS LÄN</t>
        </is>
      </c>
      <c r="E426" t="inlineStr">
        <is>
          <t>KINDA</t>
        </is>
      </c>
      <c r="G426" t="n">
        <v>2.9</v>
      </c>
      <c r="H426" t="n">
        <v>0</v>
      </c>
      <c r="I426" t="n">
        <v>0</v>
      </c>
      <c r="J426" t="n">
        <v>0</v>
      </c>
      <c r="K426" t="n">
        <v>0</v>
      </c>
      <c r="L426" t="n">
        <v>0</v>
      </c>
      <c r="M426" t="n">
        <v>0</v>
      </c>
      <c r="N426" t="n">
        <v>0</v>
      </c>
      <c r="O426" t="n">
        <v>0</v>
      </c>
      <c r="P426" t="n">
        <v>0</v>
      </c>
      <c r="Q426" t="n">
        <v>0</v>
      </c>
      <c r="R426" s="2" t="inlineStr"/>
    </row>
    <row r="427" ht="15" customHeight="1">
      <c r="A427" t="inlineStr">
        <is>
          <t>A 58737-2024</t>
        </is>
      </c>
      <c r="B427" s="1" t="n">
        <v>45635</v>
      </c>
      <c r="C427" s="1" t="n">
        <v>46194</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45108-2023</t>
        </is>
      </c>
      <c r="B428" s="1" t="n">
        <v>45187</v>
      </c>
      <c r="C428" s="1" t="n">
        <v>46194</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62443-2025</t>
        </is>
      </c>
      <c r="B429" s="1" t="n">
        <v>46007</v>
      </c>
      <c r="C429" s="1" t="n">
        <v>46194</v>
      </c>
      <c r="D429" t="inlineStr">
        <is>
          <t>ÖSTERGÖTLANDS LÄN</t>
        </is>
      </c>
      <c r="E429" t="inlineStr">
        <is>
          <t>KINDA</t>
        </is>
      </c>
      <c r="G429" t="n">
        <v>1.9</v>
      </c>
      <c r="H429" t="n">
        <v>0</v>
      </c>
      <c r="I429" t="n">
        <v>0</v>
      </c>
      <c r="J429" t="n">
        <v>0</v>
      </c>
      <c r="K429" t="n">
        <v>0</v>
      </c>
      <c r="L429" t="n">
        <v>0</v>
      </c>
      <c r="M429" t="n">
        <v>0</v>
      </c>
      <c r="N429" t="n">
        <v>0</v>
      </c>
      <c r="O429" t="n">
        <v>0</v>
      </c>
      <c r="P429" t="n">
        <v>0</v>
      </c>
      <c r="Q429" t="n">
        <v>0</v>
      </c>
      <c r="R429" s="2" t="inlineStr"/>
    </row>
    <row r="430" ht="15" customHeight="1">
      <c r="A430" t="inlineStr">
        <is>
          <t>A 62703-2025</t>
        </is>
      </c>
      <c r="B430" s="1" t="n">
        <v>46008</v>
      </c>
      <c r="C430" s="1" t="n">
        <v>46194</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62707-2025</t>
        </is>
      </c>
      <c r="B431" s="1" t="n">
        <v>46008</v>
      </c>
      <c r="C431" s="1" t="n">
        <v>46194</v>
      </c>
      <c r="D431" t="inlineStr">
        <is>
          <t>ÖSTERGÖTLANDS LÄN</t>
        </is>
      </c>
      <c r="E431" t="inlineStr">
        <is>
          <t>KINDA</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62415-2025</t>
        </is>
      </c>
      <c r="B432" s="1" t="n">
        <v>46007</v>
      </c>
      <c r="C432" s="1" t="n">
        <v>46194</v>
      </c>
      <c r="D432" t="inlineStr">
        <is>
          <t>ÖSTERGÖTLANDS LÄN</t>
        </is>
      </c>
      <c r="E432" t="inlineStr">
        <is>
          <t>KINDA</t>
        </is>
      </c>
      <c r="G432" t="n">
        <v>0.4</v>
      </c>
      <c r="H432" t="n">
        <v>0</v>
      </c>
      <c r="I432" t="n">
        <v>0</v>
      </c>
      <c r="J432" t="n">
        <v>0</v>
      </c>
      <c r="K432" t="n">
        <v>0</v>
      </c>
      <c r="L432" t="n">
        <v>0</v>
      </c>
      <c r="M432" t="n">
        <v>0</v>
      </c>
      <c r="N432" t="n">
        <v>0</v>
      </c>
      <c r="O432" t="n">
        <v>0</v>
      </c>
      <c r="P432" t="n">
        <v>0</v>
      </c>
      <c r="Q432" t="n">
        <v>0</v>
      </c>
      <c r="R432" s="2" t="inlineStr"/>
    </row>
    <row r="433" ht="15" customHeight="1">
      <c r="A433" t="inlineStr">
        <is>
          <t>A 62694-2025</t>
        </is>
      </c>
      <c r="B433" s="1" t="n">
        <v>46008</v>
      </c>
      <c r="C433" s="1" t="n">
        <v>46194</v>
      </c>
      <c r="D433" t="inlineStr">
        <is>
          <t>ÖSTERGÖTLANDS LÄN</t>
        </is>
      </c>
      <c r="E433" t="inlineStr">
        <is>
          <t>KINDA</t>
        </is>
      </c>
      <c r="G433" t="n">
        <v>5</v>
      </c>
      <c r="H433" t="n">
        <v>0</v>
      </c>
      <c r="I433" t="n">
        <v>0</v>
      </c>
      <c r="J433" t="n">
        <v>0</v>
      </c>
      <c r="K433" t="n">
        <v>0</v>
      </c>
      <c r="L433" t="n">
        <v>0</v>
      </c>
      <c r="M433" t="n">
        <v>0</v>
      </c>
      <c r="N433" t="n">
        <v>0</v>
      </c>
      <c r="O433" t="n">
        <v>0</v>
      </c>
      <c r="P433" t="n">
        <v>0</v>
      </c>
      <c r="Q433" t="n">
        <v>0</v>
      </c>
      <c r="R433" s="2" t="inlineStr"/>
    </row>
    <row r="434" ht="15" customHeight="1">
      <c r="A434" t="inlineStr">
        <is>
          <t>A 63139-2025</t>
        </is>
      </c>
      <c r="B434" s="1" t="n">
        <v>46010</v>
      </c>
      <c r="C434" s="1" t="n">
        <v>46194</v>
      </c>
      <c r="D434" t="inlineStr">
        <is>
          <t>ÖSTERGÖTLANDS LÄN</t>
        </is>
      </c>
      <c r="E434" t="inlineStr">
        <is>
          <t>KINDA</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49337-2024</t>
        </is>
      </c>
      <c r="B435" s="1" t="n">
        <v>45595</v>
      </c>
      <c r="C435" s="1" t="n">
        <v>46194</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23887-2023</t>
        </is>
      </c>
      <c r="B436" s="1" t="n">
        <v>45078</v>
      </c>
      <c r="C436" s="1" t="n">
        <v>46194</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24075-2025</t>
        </is>
      </c>
      <c r="B437" s="1" t="n">
        <v>45796</v>
      </c>
      <c r="C437" s="1" t="n">
        <v>46194</v>
      </c>
      <c r="D437" t="inlineStr">
        <is>
          <t>ÖSTERGÖTLANDS LÄN</t>
        </is>
      </c>
      <c r="E437" t="inlineStr">
        <is>
          <t>KINDA</t>
        </is>
      </c>
      <c r="G437" t="n">
        <v>1.7</v>
      </c>
      <c r="H437" t="n">
        <v>0</v>
      </c>
      <c r="I437" t="n">
        <v>0</v>
      </c>
      <c r="J437" t="n">
        <v>0</v>
      </c>
      <c r="K437" t="n">
        <v>0</v>
      </c>
      <c r="L437" t="n">
        <v>0</v>
      </c>
      <c r="M437" t="n">
        <v>0</v>
      </c>
      <c r="N437" t="n">
        <v>0</v>
      </c>
      <c r="O437" t="n">
        <v>0</v>
      </c>
      <c r="P437" t="n">
        <v>0</v>
      </c>
      <c r="Q437" t="n">
        <v>0</v>
      </c>
      <c r="R437" s="2" t="inlineStr"/>
    </row>
    <row r="438" ht="15" customHeight="1">
      <c r="A438" t="inlineStr">
        <is>
          <t>A 37830-2023</t>
        </is>
      </c>
      <c r="B438" s="1" t="n">
        <v>45160</v>
      </c>
      <c r="C438" s="1" t="n">
        <v>46194</v>
      </c>
      <c r="D438" t="inlineStr">
        <is>
          <t>ÖSTERGÖTLANDS LÄN</t>
        </is>
      </c>
      <c r="E438" t="inlineStr">
        <is>
          <t>KINDA</t>
        </is>
      </c>
      <c r="G438" t="n">
        <v>0.9</v>
      </c>
      <c r="H438" t="n">
        <v>0</v>
      </c>
      <c r="I438" t="n">
        <v>0</v>
      </c>
      <c r="J438" t="n">
        <v>0</v>
      </c>
      <c r="K438" t="n">
        <v>0</v>
      </c>
      <c r="L438" t="n">
        <v>0</v>
      </c>
      <c r="M438" t="n">
        <v>0</v>
      </c>
      <c r="N438" t="n">
        <v>0</v>
      </c>
      <c r="O438" t="n">
        <v>0</v>
      </c>
      <c r="P438" t="n">
        <v>0</v>
      </c>
      <c r="Q438" t="n">
        <v>0</v>
      </c>
      <c r="R438" s="2" t="inlineStr"/>
    </row>
    <row r="439" ht="15" customHeight="1">
      <c r="A439" t="inlineStr">
        <is>
          <t>A 3953-2025</t>
        </is>
      </c>
      <c r="B439" s="1" t="n">
        <v>45684</v>
      </c>
      <c r="C439" s="1" t="n">
        <v>46194</v>
      </c>
      <c r="D439" t="inlineStr">
        <is>
          <t>ÖSTERGÖTLANDS LÄN</t>
        </is>
      </c>
      <c r="E439" t="inlineStr">
        <is>
          <t>KINDA</t>
        </is>
      </c>
      <c r="G439" t="n">
        <v>4</v>
      </c>
      <c r="H439" t="n">
        <v>0</v>
      </c>
      <c r="I439" t="n">
        <v>0</v>
      </c>
      <c r="J439" t="n">
        <v>0</v>
      </c>
      <c r="K439" t="n">
        <v>0</v>
      </c>
      <c r="L439" t="n">
        <v>0</v>
      </c>
      <c r="M439" t="n">
        <v>0</v>
      </c>
      <c r="N439" t="n">
        <v>0</v>
      </c>
      <c r="O439" t="n">
        <v>0</v>
      </c>
      <c r="P439" t="n">
        <v>0</v>
      </c>
      <c r="Q439" t="n">
        <v>0</v>
      </c>
      <c r="R439" s="2" t="inlineStr"/>
    </row>
    <row r="440" ht="15" customHeight="1">
      <c r="A440" t="inlineStr">
        <is>
          <t>A 34730-2022</t>
        </is>
      </c>
      <c r="B440" s="1" t="n">
        <v>44795</v>
      </c>
      <c r="C440" s="1" t="n">
        <v>46194</v>
      </c>
      <c r="D440" t="inlineStr">
        <is>
          <t>ÖSTERGÖTLANDS LÄN</t>
        </is>
      </c>
      <c r="E440" t="inlineStr">
        <is>
          <t>KINDA</t>
        </is>
      </c>
      <c r="G440" t="n">
        <v>1.7</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v>
      </c>
      <c r="C441" s="1" t="n">
        <v>46194</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15302-2025</t>
        </is>
      </c>
      <c r="B442" s="1" t="n">
        <v>45746</v>
      </c>
      <c r="C442" s="1" t="n">
        <v>46194</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7792-2022</t>
        </is>
      </c>
      <c r="B443" s="1" t="n">
        <v>44608</v>
      </c>
      <c r="C443" s="1" t="n">
        <v>46194</v>
      </c>
      <c r="D443" t="inlineStr">
        <is>
          <t>ÖSTERGÖTLANDS LÄN</t>
        </is>
      </c>
      <c r="E443" t="inlineStr">
        <is>
          <t>KINDA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4236-2024</t>
        </is>
      </c>
      <c r="B444" s="1" t="n">
        <v>45324</v>
      </c>
      <c r="C444" s="1" t="n">
        <v>46194</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21244-2023</t>
        </is>
      </c>
      <c r="B445" s="1" t="n">
        <v>45062</v>
      </c>
      <c r="C445" s="1" t="n">
        <v>46194</v>
      </c>
      <c r="D445" t="inlineStr">
        <is>
          <t>ÖSTERGÖTLANDS LÄN</t>
        </is>
      </c>
      <c r="E445" t="inlineStr">
        <is>
          <t>KINDA</t>
        </is>
      </c>
      <c r="G445" t="n">
        <v>5.5</v>
      </c>
      <c r="H445" t="n">
        <v>0</v>
      </c>
      <c r="I445" t="n">
        <v>0</v>
      </c>
      <c r="J445" t="n">
        <v>0</v>
      </c>
      <c r="K445" t="n">
        <v>0</v>
      </c>
      <c r="L445" t="n">
        <v>0</v>
      </c>
      <c r="M445" t="n">
        <v>0</v>
      </c>
      <c r="N445" t="n">
        <v>0</v>
      </c>
      <c r="O445" t="n">
        <v>0</v>
      </c>
      <c r="P445" t="n">
        <v>0</v>
      </c>
      <c r="Q445" t="n">
        <v>0</v>
      </c>
      <c r="R445" s="2" t="inlineStr"/>
    </row>
    <row r="446" ht="15" customHeight="1">
      <c r="A446" t="inlineStr">
        <is>
          <t>A 10477-2022</t>
        </is>
      </c>
      <c r="B446" s="1" t="n">
        <v>44623</v>
      </c>
      <c r="C446" s="1" t="n">
        <v>46194</v>
      </c>
      <c r="D446" t="inlineStr">
        <is>
          <t>ÖSTERGÖTLANDS LÄN</t>
        </is>
      </c>
      <c r="E446" t="inlineStr">
        <is>
          <t>KINDA</t>
        </is>
      </c>
      <c r="G446" t="n">
        <v>0.7</v>
      </c>
      <c r="H446" t="n">
        <v>0</v>
      </c>
      <c r="I446" t="n">
        <v>0</v>
      </c>
      <c r="J446" t="n">
        <v>0</v>
      </c>
      <c r="K446" t="n">
        <v>0</v>
      </c>
      <c r="L446" t="n">
        <v>0</v>
      </c>
      <c r="M446" t="n">
        <v>0</v>
      </c>
      <c r="N446" t="n">
        <v>0</v>
      </c>
      <c r="O446" t="n">
        <v>0</v>
      </c>
      <c r="P446" t="n">
        <v>0</v>
      </c>
      <c r="Q446" t="n">
        <v>0</v>
      </c>
      <c r="R446" s="2" t="inlineStr"/>
    </row>
    <row r="447" ht="15" customHeight="1">
      <c r="A447" t="inlineStr">
        <is>
          <t>A 12622-2024</t>
        </is>
      </c>
      <c r="B447" s="1" t="n">
        <v>45383</v>
      </c>
      <c r="C447" s="1" t="n">
        <v>46194</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8092-2024</t>
        </is>
      </c>
      <c r="B448" s="1" t="n">
        <v>45351</v>
      </c>
      <c r="C448" s="1" t="n">
        <v>46194</v>
      </c>
      <c r="D448" t="inlineStr">
        <is>
          <t>ÖSTERGÖTLANDS LÄN</t>
        </is>
      </c>
      <c r="E448" t="inlineStr">
        <is>
          <t>KINDA</t>
        </is>
      </c>
      <c r="G448" t="n">
        <v>0</v>
      </c>
      <c r="H448" t="n">
        <v>0</v>
      </c>
      <c r="I448" t="n">
        <v>0</v>
      </c>
      <c r="J448" t="n">
        <v>0</v>
      </c>
      <c r="K448" t="n">
        <v>0</v>
      </c>
      <c r="L448" t="n">
        <v>0</v>
      </c>
      <c r="M448" t="n">
        <v>0</v>
      </c>
      <c r="N448" t="n">
        <v>0</v>
      </c>
      <c r="O448" t="n">
        <v>0</v>
      </c>
      <c r="P448" t="n">
        <v>0</v>
      </c>
      <c r="Q448" t="n">
        <v>0</v>
      </c>
      <c r="R448" s="2" t="inlineStr"/>
    </row>
    <row r="449" ht="15" customHeight="1">
      <c r="A449" t="inlineStr">
        <is>
          <t>A 15159-2022</t>
        </is>
      </c>
      <c r="B449" s="1" t="n">
        <v>44658</v>
      </c>
      <c r="C449" s="1" t="n">
        <v>46194</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656-2026</t>
        </is>
      </c>
      <c r="B450" s="1" t="n">
        <v>46029</v>
      </c>
      <c r="C450" s="1" t="n">
        <v>46194</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654-2026</t>
        </is>
      </c>
      <c r="B451" s="1" t="n">
        <v>46029</v>
      </c>
      <c r="C451" s="1" t="n">
        <v>46194</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39774-2023</t>
        </is>
      </c>
      <c r="B452" s="1" t="n">
        <v>45167</v>
      </c>
      <c r="C452" s="1" t="n">
        <v>46194</v>
      </c>
      <c r="D452" t="inlineStr">
        <is>
          <t>ÖSTERGÖTLANDS LÄN</t>
        </is>
      </c>
      <c r="E452" t="inlineStr">
        <is>
          <t>KINDA</t>
        </is>
      </c>
      <c r="G452" t="n">
        <v>1.7</v>
      </c>
      <c r="H452" t="n">
        <v>0</v>
      </c>
      <c r="I452" t="n">
        <v>0</v>
      </c>
      <c r="J452" t="n">
        <v>0</v>
      </c>
      <c r="K452" t="n">
        <v>0</v>
      </c>
      <c r="L452" t="n">
        <v>0</v>
      </c>
      <c r="M452" t="n">
        <v>0</v>
      </c>
      <c r="N452" t="n">
        <v>0</v>
      </c>
      <c r="O452" t="n">
        <v>0</v>
      </c>
      <c r="P452" t="n">
        <v>0</v>
      </c>
      <c r="Q452" t="n">
        <v>0</v>
      </c>
      <c r="R452" s="2" t="inlineStr"/>
    </row>
    <row r="453" ht="15" customHeight="1">
      <c r="A453" t="inlineStr">
        <is>
          <t>A 23613-2022</t>
        </is>
      </c>
      <c r="B453" s="1" t="n">
        <v>44721</v>
      </c>
      <c r="C453" s="1" t="n">
        <v>46194</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1491-2026</t>
        </is>
      </c>
      <c r="B454" s="1" t="n">
        <v>46034</v>
      </c>
      <c r="C454" s="1" t="n">
        <v>46194</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24903-2022</t>
        </is>
      </c>
      <c r="B455" s="1" t="n">
        <v>44728</v>
      </c>
      <c r="C455" s="1" t="n">
        <v>46194</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17174-2022</t>
        </is>
      </c>
      <c r="B456" s="1" t="n">
        <v>44677</v>
      </c>
      <c r="C456" s="1" t="n">
        <v>46194</v>
      </c>
      <c r="D456" t="inlineStr">
        <is>
          <t>ÖSTERGÖTLANDS LÄN</t>
        </is>
      </c>
      <c r="E456" t="inlineStr">
        <is>
          <t>KINDA</t>
        </is>
      </c>
      <c r="G456" t="n">
        <v>1.8</v>
      </c>
      <c r="H456" t="n">
        <v>0</v>
      </c>
      <c r="I456" t="n">
        <v>0</v>
      </c>
      <c r="J456" t="n">
        <v>0</v>
      </c>
      <c r="K456" t="n">
        <v>0</v>
      </c>
      <c r="L456" t="n">
        <v>0</v>
      </c>
      <c r="M456" t="n">
        <v>0</v>
      </c>
      <c r="N456" t="n">
        <v>0</v>
      </c>
      <c r="O456" t="n">
        <v>0</v>
      </c>
      <c r="P456" t="n">
        <v>0</v>
      </c>
      <c r="Q456" t="n">
        <v>0</v>
      </c>
      <c r="R456" s="2" t="inlineStr"/>
    </row>
    <row r="457" ht="15" customHeight="1">
      <c r="A457" t="inlineStr">
        <is>
          <t>A 2168-2026</t>
        </is>
      </c>
      <c r="B457" s="1" t="n">
        <v>46036</v>
      </c>
      <c r="C457" s="1" t="n">
        <v>46194</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60597-2023</t>
        </is>
      </c>
      <c r="B458" s="1" t="n">
        <v>45260</v>
      </c>
      <c r="C458" s="1" t="n">
        <v>46194</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8413-2025</t>
        </is>
      </c>
      <c r="B459" s="1" t="n">
        <v>45709</v>
      </c>
      <c r="C459" s="1" t="n">
        <v>46194</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43475-2023</t>
        </is>
      </c>
      <c r="B460" s="1" t="n">
        <v>45184</v>
      </c>
      <c r="C460" s="1" t="n">
        <v>46194</v>
      </c>
      <c r="D460" t="inlineStr">
        <is>
          <t>ÖSTERGÖTLANDS LÄN</t>
        </is>
      </c>
      <c r="E460" t="inlineStr">
        <is>
          <t>KINDA</t>
        </is>
      </c>
      <c r="G460" t="n">
        <v>6.1</v>
      </c>
      <c r="H460" t="n">
        <v>0</v>
      </c>
      <c r="I460" t="n">
        <v>0</v>
      </c>
      <c r="J460" t="n">
        <v>0</v>
      </c>
      <c r="K460" t="n">
        <v>0</v>
      </c>
      <c r="L460" t="n">
        <v>0</v>
      </c>
      <c r="M460" t="n">
        <v>0</v>
      </c>
      <c r="N460" t="n">
        <v>0</v>
      </c>
      <c r="O460" t="n">
        <v>0</v>
      </c>
      <c r="P460" t="n">
        <v>0</v>
      </c>
      <c r="Q460" t="n">
        <v>0</v>
      </c>
      <c r="R460" s="2" t="inlineStr"/>
    </row>
    <row r="461" ht="15" customHeight="1">
      <c r="A461" t="inlineStr">
        <is>
          <t>A 1818-2026</t>
        </is>
      </c>
      <c r="B461" s="1" t="n">
        <v>46035</v>
      </c>
      <c r="C461" s="1" t="n">
        <v>46194</v>
      </c>
      <c r="D461" t="inlineStr">
        <is>
          <t>ÖSTERGÖTLANDS LÄN</t>
        </is>
      </c>
      <c r="E461" t="inlineStr">
        <is>
          <t>KINDA</t>
        </is>
      </c>
      <c r="G461" t="n">
        <v>5.3</v>
      </c>
      <c r="H461" t="n">
        <v>0</v>
      </c>
      <c r="I461" t="n">
        <v>0</v>
      </c>
      <c r="J461" t="n">
        <v>0</v>
      </c>
      <c r="K461" t="n">
        <v>0</v>
      </c>
      <c r="L461" t="n">
        <v>0</v>
      </c>
      <c r="M461" t="n">
        <v>0</v>
      </c>
      <c r="N461" t="n">
        <v>0</v>
      </c>
      <c r="O461" t="n">
        <v>0</v>
      </c>
      <c r="P461" t="n">
        <v>0</v>
      </c>
      <c r="Q461" t="n">
        <v>0</v>
      </c>
      <c r="R461" s="2" t="inlineStr"/>
    </row>
    <row r="462" ht="15" customHeight="1">
      <c r="A462" t="inlineStr">
        <is>
          <t>A 36126-2023</t>
        </is>
      </c>
      <c r="B462" s="1" t="n">
        <v>45149</v>
      </c>
      <c r="C462" s="1" t="n">
        <v>46194</v>
      </c>
      <c r="D462" t="inlineStr">
        <is>
          <t>ÖSTERGÖTLANDS LÄN</t>
        </is>
      </c>
      <c r="E462" t="inlineStr">
        <is>
          <t>KINDA</t>
        </is>
      </c>
      <c r="G462" t="n">
        <v>3.8</v>
      </c>
      <c r="H462" t="n">
        <v>0</v>
      </c>
      <c r="I462" t="n">
        <v>0</v>
      </c>
      <c r="J462" t="n">
        <v>0</v>
      </c>
      <c r="K462" t="n">
        <v>0</v>
      </c>
      <c r="L462" t="n">
        <v>0</v>
      </c>
      <c r="M462" t="n">
        <v>0</v>
      </c>
      <c r="N462" t="n">
        <v>0</v>
      </c>
      <c r="O462" t="n">
        <v>0</v>
      </c>
      <c r="P462" t="n">
        <v>0</v>
      </c>
      <c r="Q462" t="n">
        <v>0</v>
      </c>
      <c r="R462" s="2" t="inlineStr"/>
    </row>
    <row r="463" ht="15" customHeight="1">
      <c r="A463" t="inlineStr">
        <is>
          <t>A 57336-2023</t>
        </is>
      </c>
      <c r="B463" s="1" t="n">
        <v>45245</v>
      </c>
      <c r="C463" s="1" t="n">
        <v>46194</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46639-2023</t>
        </is>
      </c>
      <c r="B464" s="1" t="n">
        <v>45198</v>
      </c>
      <c r="C464" s="1" t="n">
        <v>46194</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35672-2022</t>
        </is>
      </c>
      <c r="B465" s="1" t="n">
        <v>44799</v>
      </c>
      <c r="C465" s="1" t="n">
        <v>46194</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3849-2026</t>
        </is>
      </c>
      <c r="B466" s="1" t="n">
        <v>46043</v>
      </c>
      <c r="C466" s="1" t="n">
        <v>46194</v>
      </c>
      <c r="D466" t="inlineStr">
        <is>
          <t>ÖSTERGÖTLANDS LÄN</t>
        </is>
      </c>
      <c r="E466" t="inlineStr">
        <is>
          <t>KINDA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5508-2025</t>
        </is>
      </c>
      <c r="B467" s="1" t="n">
        <v>45693</v>
      </c>
      <c r="C467" s="1" t="n">
        <v>46194</v>
      </c>
      <c r="D467" t="inlineStr">
        <is>
          <t>ÖSTERGÖTLANDS LÄN</t>
        </is>
      </c>
      <c r="E467" t="inlineStr">
        <is>
          <t>KINDA</t>
        </is>
      </c>
      <c r="G467" t="n">
        <v>1.3</v>
      </c>
      <c r="H467" t="n">
        <v>0</v>
      </c>
      <c r="I467" t="n">
        <v>0</v>
      </c>
      <c r="J467" t="n">
        <v>0</v>
      </c>
      <c r="K467" t="n">
        <v>0</v>
      </c>
      <c r="L467" t="n">
        <v>0</v>
      </c>
      <c r="M467" t="n">
        <v>0</v>
      </c>
      <c r="N467" t="n">
        <v>0</v>
      </c>
      <c r="O467" t="n">
        <v>0</v>
      </c>
      <c r="P467" t="n">
        <v>0</v>
      </c>
      <c r="Q467" t="n">
        <v>0</v>
      </c>
      <c r="R467" s="2" t="inlineStr"/>
    </row>
    <row r="468" ht="15" customHeight="1">
      <c r="A468" t="inlineStr">
        <is>
          <t>A 47187-2023</t>
        </is>
      </c>
      <c r="B468" s="1" t="n">
        <v>45202</v>
      </c>
      <c r="C468" s="1" t="n">
        <v>46194</v>
      </c>
      <c r="D468" t="inlineStr">
        <is>
          <t>ÖSTERGÖTLANDS LÄN</t>
        </is>
      </c>
      <c r="E468" t="inlineStr">
        <is>
          <t>KINDA</t>
        </is>
      </c>
      <c r="G468" t="n">
        <v>1.8</v>
      </c>
      <c r="H468" t="n">
        <v>0</v>
      </c>
      <c r="I468" t="n">
        <v>0</v>
      </c>
      <c r="J468" t="n">
        <v>0</v>
      </c>
      <c r="K468" t="n">
        <v>0</v>
      </c>
      <c r="L468" t="n">
        <v>0</v>
      </c>
      <c r="M468" t="n">
        <v>0</v>
      </c>
      <c r="N468" t="n">
        <v>0</v>
      </c>
      <c r="O468" t="n">
        <v>0</v>
      </c>
      <c r="P468" t="n">
        <v>0</v>
      </c>
      <c r="Q468" t="n">
        <v>0</v>
      </c>
      <c r="R468" s="2" t="inlineStr"/>
    </row>
    <row r="469" ht="15" customHeight="1">
      <c r="A469" t="inlineStr">
        <is>
          <t>A 4331-2026</t>
        </is>
      </c>
      <c r="B469" s="1" t="n">
        <v>46045</v>
      </c>
      <c r="C469" s="1" t="n">
        <v>46194</v>
      </c>
      <c r="D469" t="inlineStr">
        <is>
          <t>ÖSTERGÖTLANDS LÄN</t>
        </is>
      </c>
      <c r="E469" t="inlineStr">
        <is>
          <t>KINDA</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41331-2023</t>
        </is>
      </c>
      <c r="B470" s="1" t="n">
        <v>45174</v>
      </c>
      <c r="C470" s="1" t="n">
        <v>46194</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33997-2023</t>
        </is>
      </c>
      <c r="B471" s="1" t="n">
        <v>45134</v>
      </c>
      <c r="C471" s="1" t="n">
        <v>46194</v>
      </c>
      <c r="D471" t="inlineStr">
        <is>
          <t>ÖSTERGÖTLANDS LÄN</t>
        </is>
      </c>
      <c r="E471" t="inlineStr">
        <is>
          <t>KINDA</t>
        </is>
      </c>
      <c r="G471" t="n">
        <v>3.7</v>
      </c>
      <c r="H471" t="n">
        <v>0</v>
      </c>
      <c r="I471" t="n">
        <v>0</v>
      </c>
      <c r="J471" t="n">
        <v>0</v>
      </c>
      <c r="K471" t="n">
        <v>0</v>
      </c>
      <c r="L471" t="n">
        <v>0</v>
      </c>
      <c r="M471" t="n">
        <v>0</v>
      </c>
      <c r="N471" t="n">
        <v>0</v>
      </c>
      <c r="O471" t="n">
        <v>0</v>
      </c>
      <c r="P471" t="n">
        <v>0</v>
      </c>
      <c r="Q471" t="n">
        <v>0</v>
      </c>
      <c r="R471" s="2" t="inlineStr"/>
    </row>
    <row r="472" ht="15" customHeight="1">
      <c r="A472" t="inlineStr">
        <is>
          <t>A 54507-2022</t>
        </is>
      </c>
      <c r="B472" s="1" t="n">
        <v>44882</v>
      </c>
      <c r="C472" s="1" t="n">
        <v>46194</v>
      </c>
      <c r="D472" t="inlineStr">
        <is>
          <t>ÖSTERGÖTLANDS LÄN</t>
        </is>
      </c>
      <c r="E472" t="inlineStr">
        <is>
          <t>KINDA</t>
        </is>
      </c>
      <c r="G472" t="n">
        <v>0.1</v>
      </c>
      <c r="H472" t="n">
        <v>0</v>
      </c>
      <c r="I472" t="n">
        <v>0</v>
      </c>
      <c r="J472" t="n">
        <v>0</v>
      </c>
      <c r="K472" t="n">
        <v>0</v>
      </c>
      <c r="L472" t="n">
        <v>0</v>
      </c>
      <c r="M472" t="n">
        <v>0</v>
      </c>
      <c r="N472" t="n">
        <v>0</v>
      </c>
      <c r="O472" t="n">
        <v>0</v>
      </c>
      <c r="P472" t="n">
        <v>0</v>
      </c>
      <c r="Q472" t="n">
        <v>0</v>
      </c>
      <c r="R472" s="2" t="inlineStr"/>
    </row>
    <row r="473" ht="15" customHeight="1">
      <c r="A473" t="inlineStr">
        <is>
          <t>A 5899-2026</t>
        </is>
      </c>
      <c r="B473" s="1" t="n">
        <v>46052</v>
      </c>
      <c r="C473" s="1" t="n">
        <v>46194</v>
      </c>
      <c r="D473" t="inlineStr">
        <is>
          <t>ÖSTERGÖTLANDS LÄN</t>
        </is>
      </c>
      <c r="E473" t="inlineStr">
        <is>
          <t>KINDA</t>
        </is>
      </c>
      <c r="G473" t="n">
        <v>3.8</v>
      </c>
      <c r="H473" t="n">
        <v>0</v>
      </c>
      <c r="I473" t="n">
        <v>0</v>
      </c>
      <c r="J473" t="n">
        <v>0</v>
      </c>
      <c r="K473" t="n">
        <v>0</v>
      </c>
      <c r="L473" t="n">
        <v>0</v>
      </c>
      <c r="M473" t="n">
        <v>0</v>
      </c>
      <c r="N473" t="n">
        <v>0</v>
      </c>
      <c r="O473" t="n">
        <v>0</v>
      </c>
      <c r="P473" t="n">
        <v>0</v>
      </c>
      <c r="Q473" t="n">
        <v>0</v>
      </c>
      <c r="R473" s="2" t="inlineStr"/>
    </row>
    <row r="474" ht="15" customHeight="1">
      <c r="A474" t="inlineStr">
        <is>
          <t>A 57342-2023</t>
        </is>
      </c>
      <c r="B474" s="1" t="n">
        <v>45245</v>
      </c>
      <c r="C474" s="1" t="n">
        <v>46194</v>
      </c>
      <c r="D474" t="inlineStr">
        <is>
          <t>ÖSTERGÖTLANDS LÄN</t>
        </is>
      </c>
      <c r="E474" t="inlineStr">
        <is>
          <t>KINDA</t>
        </is>
      </c>
      <c r="G474" t="n">
        <v>2.7</v>
      </c>
      <c r="H474" t="n">
        <v>0</v>
      </c>
      <c r="I474" t="n">
        <v>0</v>
      </c>
      <c r="J474" t="n">
        <v>0</v>
      </c>
      <c r="K474" t="n">
        <v>0</v>
      </c>
      <c r="L474" t="n">
        <v>0</v>
      </c>
      <c r="M474" t="n">
        <v>0</v>
      </c>
      <c r="N474" t="n">
        <v>0</v>
      </c>
      <c r="O474" t="n">
        <v>0</v>
      </c>
      <c r="P474" t="n">
        <v>0</v>
      </c>
      <c r="Q474" t="n">
        <v>0</v>
      </c>
      <c r="R474" s="2" t="inlineStr"/>
    </row>
    <row r="475" ht="15" customHeight="1">
      <c r="A475" t="inlineStr">
        <is>
          <t>A 35662-2022</t>
        </is>
      </c>
      <c r="B475" s="1" t="n">
        <v>44799</v>
      </c>
      <c r="C475" s="1" t="n">
        <v>46194</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47056-2022</t>
        </is>
      </c>
      <c r="B476" s="1" t="n">
        <v>44852</v>
      </c>
      <c r="C476" s="1" t="n">
        <v>46194</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14943-2024</t>
        </is>
      </c>
      <c r="B477" s="1" t="n">
        <v>45398</v>
      </c>
      <c r="C477" s="1" t="n">
        <v>46194</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36824-2022</t>
        </is>
      </c>
      <c r="B478" s="1" t="n">
        <v>44805</v>
      </c>
      <c r="C478" s="1" t="n">
        <v>46194</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15029-2024</t>
        </is>
      </c>
      <c r="B479" s="1" t="n">
        <v>45399</v>
      </c>
      <c r="C479" s="1" t="n">
        <v>46194</v>
      </c>
      <c r="D479" t="inlineStr">
        <is>
          <t>ÖSTERGÖTLANDS LÄN</t>
        </is>
      </c>
      <c r="E479" t="inlineStr">
        <is>
          <t>KINDA</t>
        </is>
      </c>
      <c r="G479" t="n">
        <v>2.6</v>
      </c>
      <c r="H479" t="n">
        <v>0</v>
      </c>
      <c r="I479" t="n">
        <v>0</v>
      </c>
      <c r="J479" t="n">
        <v>0</v>
      </c>
      <c r="K479" t="n">
        <v>0</v>
      </c>
      <c r="L479" t="n">
        <v>0</v>
      </c>
      <c r="M479" t="n">
        <v>0</v>
      </c>
      <c r="N479" t="n">
        <v>0</v>
      </c>
      <c r="O479" t="n">
        <v>0</v>
      </c>
      <c r="P479" t="n">
        <v>0</v>
      </c>
      <c r="Q479" t="n">
        <v>0</v>
      </c>
      <c r="R479" s="2" t="inlineStr"/>
    </row>
    <row r="480" ht="15" customHeight="1">
      <c r="A480" t="inlineStr">
        <is>
          <t>A 35572-2024</t>
        </is>
      </c>
      <c r="B480" s="1" t="n">
        <v>45531</v>
      </c>
      <c r="C480" s="1" t="n">
        <v>46194</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8590-2024</t>
        </is>
      </c>
      <c r="B481" s="1" t="n">
        <v>45352</v>
      </c>
      <c r="C481" s="1" t="n">
        <v>46194</v>
      </c>
      <c r="D481" t="inlineStr">
        <is>
          <t>ÖSTERGÖTLANDS LÄN</t>
        </is>
      </c>
      <c r="E481" t="inlineStr">
        <is>
          <t>KINDA</t>
        </is>
      </c>
      <c r="G481" t="n">
        <v>1.4</v>
      </c>
      <c r="H481" t="n">
        <v>0</v>
      </c>
      <c r="I481" t="n">
        <v>0</v>
      </c>
      <c r="J481" t="n">
        <v>0</v>
      </c>
      <c r="K481" t="n">
        <v>0</v>
      </c>
      <c r="L481" t="n">
        <v>0</v>
      </c>
      <c r="M481" t="n">
        <v>0</v>
      </c>
      <c r="N481" t="n">
        <v>0</v>
      </c>
      <c r="O481" t="n">
        <v>0</v>
      </c>
      <c r="P481" t="n">
        <v>0</v>
      </c>
      <c r="Q481" t="n">
        <v>0</v>
      </c>
      <c r="R481" s="2" t="inlineStr"/>
    </row>
    <row r="482" ht="15" customHeight="1">
      <c r="A482" t="inlineStr">
        <is>
          <t>A 8064-2024</t>
        </is>
      </c>
      <c r="B482" s="1" t="n">
        <v>45351</v>
      </c>
      <c r="C482" s="1" t="n">
        <v>46194</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145-2024</t>
        </is>
      </c>
      <c r="B483" s="1" t="n">
        <v>45294</v>
      </c>
      <c r="C483" s="1" t="n">
        <v>46194</v>
      </c>
      <c r="D483" t="inlineStr">
        <is>
          <t>ÖSTERGÖTLANDS LÄN</t>
        </is>
      </c>
      <c r="E483" t="inlineStr">
        <is>
          <t>KINDA</t>
        </is>
      </c>
      <c r="G483" t="n">
        <v>4.9</v>
      </c>
      <c r="H483" t="n">
        <v>0</v>
      </c>
      <c r="I483" t="n">
        <v>0</v>
      </c>
      <c r="J483" t="n">
        <v>0</v>
      </c>
      <c r="K483" t="n">
        <v>0</v>
      </c>
      <c r="L483" t="n">
        <v>0</v>
      </c>
      <c r="M483" t="n">
        <v>0</v>
      </c>
      <c r="N483" t="n">
        <v>0</v>
      </c>
      <c r="O483" t="n">
        <v>0</v>
      </c>
      <c r="P483" t="n">
        <v>0</v>
      </c>
      <c r="Q483" t="n">
        <v>0</v>
      </c>
      <c r="R483" s="2" t="inlineStr"/>
    </row>
    <row r="484" ht="15" customHeight="1">
      <c r="A484" t="inlineStr">
        <is>
          <t>A 12568-2025</t>
        </is>
      </c>
      <c r="B484" s="1" t="n">
        <v>45731</v>
      </c>
      <c r="C484" s="1" t="n">
        <v>46194</v>
      </c>
      <c r="D484" t="inlineStr">
        <is>
          <t>ÖSTERGÖTLANDS LÄN</t>
        </is>
      </c>
      <c r="E484" t="inlineStr">
        <is>
          <t>KINDA</t>
        </is>
      </c>
      <c r="G484" t="n">
        <v>3.9</v>
      </c>
      <c r="H484" t="n">
        <v>0</v>
      </c>
      <c r="I484" t="n">
        <v>0</v>
      </c>
      <c r="J484" t="n">
        <v>0</v>
      </c>
      <c r="K484" t="n">
        <v>0</v>
      </c>
      <c r="L484" t="n">
        <v>0</v>
      </c>
      <c r="M484" t="n">
        <v>0</v>
      </c>
      <c r="N484" t="n">
        <v>0</v>
      </c>
      <c r="O484" t="n">
        <v>0</v>
      </c>
      <c r="P484" t="n">
        <v>0</v>
      </c>
      <c r="Q484" t="n">
        <v>0</v>
      </c>
      <c r="R484" s="2" t="inlineStr"/>
    </row>
    <row r="485" ht="15" customHeight="1">
      <c r="A485" t="inlineStr">
        <is>
          <t>A 3486-2023</t>
        </is>
      </c>
      <c r="B485" s="1" t="n">
        <v>44949</v>
      </c>
      <c r="C485" s="1" t="n">
        <v>46194</v>
      </c>
      <c r="D485" t="inlineStr">
        <is>
          <t>ÖSTERGÖTLANDS LÄN</t>
        </is>
      </c>
      <c r="E485" t="inlineStr">
        <is>
          <t>KINDA</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8387-2026</t>
        </is>
      </c>
      <c r="B486" s="1" t="n">
        <v>46064</v>
      </c>
      <c r="C486" s="1" t="n">
        <v>46194</v>
      </c>
      <c r="D486" t="inlineStr">
        <is>
          <t>ÖSTERGÖTLANDS LÄN</t>
        </is>
      </c>
      <c r="E486" t="inlineStr">
        <is>
          <t>KINDA</t>
        </is>
      </c>
      <c r="G486" t="n">
        <v>2.1</v>
      </c>
      <c r="H486" t="n">
        <v>0</v>
      </c>
      <c r="I486" t="n">
        <v>0</v>
      </c>
      <c r="J486" t="n">
        <v>0</v>
      </c>
      <c r="K486" t="n">
        <v>0</v>
      </c>
      <c r="L486" t="n">
        <v>0</v>
      </c>
      <c r="M486" t="n">
        <v>0</v>
      </c>
      <c r="N486" t="n">
        <v>0</v>
      </c>
      <c r="O486" t="n">
        <v>0</v>
      </c>
      <c r="P486" t="n">
        <v>0</v>
      </c>
      <c r="Q486" t="n">
        <v>0</v>
      </c>
      <c r="R486" s="2" t="inlineStr"/>
    </row>
    <row r="487" ht="15" customHeight="1">
      <c r="A487" t="inlineStr">
        <is>
          <t>A 937-2024</t>
        </is>
      </c>
      <c r="B487" s="1" t="n">
        <v>45301</v>
      </c>
      <c r="C487" s="1" t="n">
        <v>46194</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44543-2021</t>
        </is>
      </c>
      <c r="B488" s="1" t="n">
        <v>44435</v>
      </c>
      <c r="C488" s="1" t="n">
        <v>46194</v>
      </c>
      <c r="D488" t="inlineStr">
        <is>
          <t>ÖSTERGÖTLANDS LÄN</t>
        </is>
      </c>
      <c r="E488" t="inlineStr">
        <is>
          <t>KINDA</t>
        </is>
      </c>
      <c r="G488" t="n">
        <v>10.2</v>
      </c>
      <c r="H488" t="n">
        <v>0</v>
      </c>
      <c r="I488" t="n">
        <v>0</v>
      </c>
      <c r="J488" t="n">
        <v>0</v>
      </c>
      <c r="K488" t="n">
        <v>0</v>
      </c>
      <c r="L488" t="n">
        <v>0</v>
      </c>
      <c r="M488" t="n">
        <v>0</v>
      </c>
      <c r="N488" t="n">
        <v>0</v>
      </c>
      <c r="O488" t="n">
        <v>0</v>
      </c>
      <c r="P488" t="n">
        <v>0</v>
      </c>
      <c r="Q488" t="n">
        <v>0</v>
      </c>
      <c r="R488" s="2" t="inlineStr"/>
    </row>
    <row r="489" ht="15" customHeight="1">
      <c r="A489" t="inlineStr">
        <is>
          <t>A 52861-2023</t>
        </is>
      </c>
      <c r="B489" s="1" t="n">
        <v>45219</v>
      </c>
      <c r="C489" s="1" t="n">
        <v>46194</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18198-2025</t>
        </is>
      </c>
      <c r="B490" s="1" t="n">
        <v>45761</v>
      </c>
      <c r="C490" s="1" t="n">
        <v>46194</v>
      </c>
      <c r="D490" t="inlineStr">
        <is>
          <t>ÖSTERGÖTLANDS LÄN</t>
        </is>
      </c>
      <c r="E490" t="inlineStr">
        <is>
          <t>KINDA</t>
        </is>
      </c>
      <c r="G490" t="n">
        <v>2.1</v>
      </c>
      <c r="H490" t="n">
        <v>0</v>
      </c>
      <c r="I490" t="n">
        <v>0</v>
      </c>
      <c r="J490" t="n">
        <v>0</v>
      </c>
      <c r="K490" t="n">
        <v>0</v>
      </c>
      <c r="L490" t="n">
        <v>0</v>
      </c>
      <c r="M490" t="n">
        <v>0</v>
      </c>
      <c r="N490" t="n">
        <v>0</v>
      </c>
      <c r="O490" t="n">
        <v>0</v>
      </c>
      <c r="P490" t="n">
        <v>0</v>
      </c>
      <c r="Q490" t="n">
        <v>0</v>
      </c>
      <c r="R490" s="2" t="inlineStr"/>
    </row>
    <row r="491" ht="15" customHeight="1">
      <c r="A491" t="inlineStr">
        <is>
          <t>A 46908-2022</t>
        </is>
      </c>
      <c r="B491" s="1" t="n">
        <v>44851</v>
      </c>
      <c r="C491" s="1" t="n">
        <v>46194</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41718-2023</t>
        </is>
      </c>
      <c r="B492" s="1" t="n">
        <v>45176</v>
      </c>
      <c r="C492" s="1" t="n">
        <v>46194</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28316-2023</t>
        </is>
      </c>
      <c r="B493" s="1" t="n">
        <v>45098</v>
      </c>
      <c r="C493" s="1" t="n">
        <v>46194</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10517-2026</t>
        </is>
      </c>
      <c r="B494" s="1" t="n">
        <v>46077</v>
      </c>
      <c r="C494" s="1" t="n">
        <v>46194</v>
      </c>
      <c r="D494" t="inlineStr">
        <is>
          <t>ÖSTERGÖTLANDS LÄN</t>
        </is>
      </c>
      <c r="E494" t="inlineStr">
        <is>
          <t>KINDA</t>
        </is>
      </c>
      <c r="G494" t="n">
        <v>3.3</v>
      </c>
      <c r="H494" t="n">
        <v>0</v>
      </c>
      <c r="I494" t="n">
        <v>0</v>
      </c>
      <c r="J494" t="n">
        <v>0</v>
      </c>
      <c r="K494" t="n">
        <v>0</v>
      </c>
      <c r="L494" t="n">
        <v>0</v>
      </c>
      <c r="M494" t="n">
        <v>0</v>
      </c>
      <c r="N494" t="n">
        <v>0</v>
      </c>
      <c r="O494" t="n">
        <v>0</v>
      </c>
      <c r="P494" t="n">
        <v>0</v>
      </c>
      <c r="Q494" t="n">
        <v>0</v>
      </c>
      <c r="R494" s="2" t="inlineStr"/>
    </row>
    <row r="495" ht="15" customHeight="1">
      <c r="A495" t="inlineStr">
        <is>
          <t>A 10758-2022</t>
        </is>
      </c>
      <c r="B495" s="1" t="n">
        <v>44627</v>
      </c>
      <c r="C495" s="1" t="n">
        <v>46194</v>
      </c>
      <c r="D495" t="inlineStr">
        <is>
          <t>ÖSTERGÖTLANDS LÄN</t>
        </is>
      </c>
      <c r="E495" t="inlineStr">
        <is>
          <t>KINDA</t>
        </is>
      </c>
      <c r="G495" t="n">
        <v>0.1</v>
      </c>
      <c r="H495" t="n">
        <v>0</v>
      </c>
      <c r="I495" t="n">
        <v>0</v>
      </c>
      <c r="J495" t="n">
        <v>0</v>
      </c>
      <c r="K495" t="n">
        <v>0</v>
      </c>
      <c r="L495" t="n">
        <v>0</v>
      </c>
      <c r="M495" t="n">
        <v>0</v>
      </c>
      <c r="N495" t="n">
        <v>0</v>
      </c>
      <c r="O495" t="n">
        <v>0</v>
      </c>
      <c r="P495" t="n">
        <v>0</v>
      </c>
      <c r="Q495" t="n">
        <v>0</v>
      </c>
      <c r="R495" s="2" t="inlineStr"/>
    </row>
    <row r="496" ht="15" customHeight="1">
      <c r="A496" t="inlineStr">
        <is>
          <t>A 41580-2023</t>
        </is>
      </c>
      <c r="B496" s="1" t="n">
        <v>45175</v>
      </c>
      <c r="C496" s="1" t="n">
        <v>46194</v>
      </c>
      <c r="D496" t="inlineStr">
        <is>
          <t>ÖSTERGÖTLANDS LÄN</t>
        </is>
      </c>
      <c r="E496" t="inlineStr">
        <is>
          <t>KINDA</t>
        </is>
      </c>
      <c r="G496" t="n">
        <v>0.4</v>
      </c>
      <c r="H496" t="n">
        <v>0</v>
      </c>
      <c r="I496" t="n">
        <v>0</v>
      </c>
      <c r="J496" t="n">
        <v>0</v>
      </c>
      <c r="K496" t="n">
        <v>0</v>
      </c>
      <c r="L496" t="n">
        <v>0</v>
      </c>
      <c r="M496" t="n">
        <v>0</v>
      </c>
      <c r="N496" t="n">
        <v>0</v>
      </c>
      <c r="O496" t="n">
        <v>0</v>
      </c>
      <c r="P496" t="n">
        <v>0</v>
      </c>
      <c r="Q496" t="n">
        <v>0</v>
      </c>
      <c r="R496" s="2" t="inlineStr"/>
    </row>
    <row r="497" ht="15" customHeight="1">
      <c r="A497" t="inlineStr">
        <is>
          <t>A 56317-2021</t>
        </is>
      </c>
      <c r="B497" s="1" t="n">
        <v>44480</v>
      </c>
      <c r="C497" s="1" t="n">
        <v>46194</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11231-2026</t>
        </is>
      </c>
      <c r="B498" s="1" t="n">
        <v>46080</v>
      </c>
      <c r="C498" s="1" t="n">
        <v>46194</v>
      </c>
      <c r="D498" t="inlineStr">
        <is>
          <t>ÖSTERGÖTLANDS LÄN</t>
        </is>
      </c>
      <c r="E498" t="inlineStr">
        <is>
          <t>KINDA</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31839-2023</t>
        </is>
      </c>
      <c r="B499" s="1" t="n">
        <v>45118</v>
      </c>
      <c r="C499" s="1" t="n">
        <v>46194</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47000-2021</t>
        </is>
      </c>
      <c r="B500" s="1" t="n">
        <v>44446</v>
      </c>
      <c r="C500" s="1" t="n">
        <v>46194</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11183-2026</t>
        </is>
      </c>
      <c r="B501" s="1" t="n">
        <v>46080</v>
      </c>
      <c r="C501" s="1" t="n">
        <v>46194</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1896-2024</t>
        </is>
      </c>
      <c r="B502" s="1" t="n">
        <v>45308</v>
      </c>
      <c r="C502" s="1" t="n">
        <v>46194</v>
      </c>
      <c r="D502" t="inlineStr">
        <is>
          <t>ÖSTERGÖTLANDS LÄN</t>
        </is>
      </c>
      <c r="E502" t="inlineStr">
        <is>
          <t>KINDA</t>
        </is>
      </c>
      <c r="G502" t="n">
        <v>2.9</v>
      </c>
      <c r="H502" t="n">
        <v>0</v>
      </c>
      <c r="I502" t="n">
        <v>0</v>
      </c>
      <c r="J502" t="n">
        <v>0</v>
      </c>
      <c r="K502" t="n">
        <v>0</v>
      </c>
      <c r="L502" t="n">
        <v>0</v>
      </c>
      <c r="M502" t="n">
        <v>0</v>
      </c>
      <c r="N502" t="n">
        <v>0</v>
      </c>
      <c r="O502" t="n">
        <v>0</v>
      </c>
      <c r="P502" t="n">
        <v>0</v>
      </c>
      <c r="Q502" t="n">
        <v>0</v>
      </c>
      <c r="R502" s="2" t="inlineStr"/>
    </row>
    <row r="503" ht="15" customHeight="1">
      <c r="A503" t="inlineStr">
        <is>
          <t>A 11184-2026</t>
        </is>
      </c>
      <c r="B503" s="1" t="n">
        <v>46080</v>
      </c>
      <c r="C503" s="1" t="n">
        <v>46194</v>
      </c>
      <c r="D503" t="inlineStr">
        <is>
          <t>ÖSTERGÖTLANDS LÄN</t>
        </is>
      </c>
      <c r="E503" t="inlineStr">
        <is>
          <t>KINDA</t>
        </is>
      </c>
      <c r="G503" t="n">
        <v>0.7</v>
      </c>
      <c r="H503" t="n">
        <v>0</v>
      </c>
      <c r="I503" t="n">
        <v>0</v>
      </c>
      <c r="J503" t="n">
        <v>0</v>
      </c>
      <c r="K503" t="n">
        <v>0</v>
      </c>
      <c r="L503" t="n">
        <v>0</v>
      </c>
      <c r="M503" t="n">
        <v>0</v>
      </c>
      <c r="N503" t="n">
        <v>0</v>
      </c>
      <c r="O503" t="n">
        <v>0</v>
      </c>
      <c r="P503" t="n">
        <v>0</v>
      </c>
      <c r="Q503" t="n">
        <v>0</v>
      </c>
      <c r="R503" s="2" t="inlineStr"/>
    </row>
    <row r="504" ht="15" customHeight="1">
      <c r="A504" t="inlineStr">
        <is>
          <t>A 24839-2024</t>
        </is>
      </c>
      <c r="B504" s="1" t="n">
        <v>45461</v>
      </c>
      <c r="C504" s="1" t="n">
        <v>46194</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11922-2026</t>
        </is>
      </c>
      <c r="B505" s="1" t="n">
        <v>46085</v>
      </c>
      <c r="C505" s="1" t="n">
        <v>46194</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7645-2024</t>
        </is>
      </c>
      <c r="B506" s="1" t="n">
        <v>45348</v>
      </c>
      <c r="C506" s="1" t="n">
        <v>46194</v>
      </c>
      <c r="D506" t="inlineStr">
        <is>
          <t>ÖSTERGÖTLANDS LÄN</t>
        </is>
      </c>
      <c r="E506" t="inlineStr">
        <is>
          <t>KINDA</t>
        </is>
      </c>
      <c r="G506" t="n">
        <v>6.3</v>
      </c>
      <c r="H506" t="n">
        <v>0</v>
      </c>
      <c r="I506" t="n">
        <v>0</v>
      </c>
      <c r="J506" t="n">
        <v>0</v>
      </c>
      <c r="K506" t="n">
        <v>0</v>
      </c>
      <c r="L506" t="n">
        <v>0</v>
      </c>
      <c r="M506" t="n">
        <v>0</v>
      </c>
      <c r="N506" t="n">
        <v>0</v>
      </c>
      <c r="O506" t="n">
        <v>0</v>
      </c>
      <c r="P506" t="n">
        <v>0</v>
      </c>
      <c r="Q506" t="n">
        <v>0</v>
      </c>
      <c r="R506" s="2" t="inlineStr"/>
    </row>
    <row r="507" ht="15" customHeight="1">
      <c r="A507" t="inlineStr">
        <is>
          <t>A 44203-2021</t>
        </is>
      </c>
      <c r="B507" s="1" t="n">
        <v>44434</v>
      </c>
      <c r="C507" s="1" t="n">
        <v>46194</v>
      </c>
      <c r="D507" t="inlineStr">
        <is>
          <t>ÖSTERGÖTLANDS LÄN</t>
        </is>
      </c>
      <c r="E507" t="inlineStr">
        <is>
          <t>KINDA</t>
        </is>
      </c>
      <c r="F507" t="inlineStr">
        <is>
          <t>Allmännings- och besparingsskogar</t>
        </is>
      </c>
      <c r="G507" t="n">
        <v>12.7</v>
      </c>
      <c r="H507" t="n">
        <v>0</v>
      </c>
      <c r="I507" t="n">
        <v>0</v>
      </c>
      <c r="J507" t="n">
        <v>0</v>
      </c>
      <c r="K507" t="n">
        <v>0</v>
      </c>
      <c r="L507" t="n">
        <v>0</v>
      </c>
      <c r="M507" t="n">
        <v>0</v>
      </c>
      <c r="N507" t="n">
        <v>0</v>
      </c>
      <c r="O507" t="n">
        <v>0</v>
      </c>
      <c r="P507" t="n">
        <v>0</v>
      </c>
      <c r="Q507" t="n">
        <v>0</v>
      </c>
      <c r="R507" s="2" t="inlineStr"/>
    </row>
    <row r="508" ht="15" customHeight="1">
      <c r="A508" t="inlineStr">
        <is>
          <t>A 12506-2026</t>
        </is>
      </c>
      <c r="B508" s="1" t="n">
        <v>46090</v>
      </c>
      <c r="C508" s="1" t="n">
        <v>46194</v>
      </c>
      <c r="D508" t="inlineStr">
        <is>
          <t>ÖSTERGÖTLANDS LÄN</t>
        </is>
      </c>
      <c r="E508" t="inlineStr">
        <is>
          <t>KINDA</t>
        </is>
      </c>
      <c r="G508" t="n">
        <v>1</v>
      </c>
      <c r="H508" t="n">
        <v>0</v>
      </c>
      <c r="I508" t="n">
        <v>0</v>
      </c>
      <c r="J508" t="n">
        <v>0</v>
      </c>
      <c r="K508" t="n">
        <v>0</v>
      </c>
      <c r="L508" t="n">
        <v>0</v>
      </c>
      <c r="M508" t="n">
        <v>0</v>
      </c>
      <c r="N508" t="n">
        <v>0</v>
      </c>
      <c r="O508" t="n">
        <v>0</v>
      </c>
      <c r="P508" t="n">
        <v>0</v>
      </c>
      <c r="Q508" t="n">
        <v>0</v>
      </c>
      <c r="R508" s="2" t="inlineStr"/>
    </row>
    <row r="509" ht="15" customHeight="1">
      <c r="A509" t="inlineStr">
        <is>
          <t>A 12605-2026</t>
        </is>
      </c>
      <c r="B509" s="1" t="n">
        <v>46090</v>
      </c>
      <c r="C509" s="1" t="n">
        <v>46194</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4288-2023</t>
        </is>
      </c>
      <c r="B510" s="1" t="n">
        <v>44953</v>
      </c>
      <c r="C510" s="1" t="n">
        <v>46194</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24150-2024</t>
        </is>
      </c>
      <c r="B511" s="1" t="n">
        <v>45456</v>
      </c>
      <c r="C511" s="1" t="n">
        <v>46194</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5203-2022</t>
        </is>
      </c>
      <c r="B512" s="1" t="n">
        <v>44594</v>
      </c>
      <c r="C512" s="1" t="n">
        <v>46194</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43688-2023</t>
        </is>
      </c>
      <c r="B513" s="1" t="n">
        <v>45187</v>
      </c>
      <c r="C513" s="1" t="n">
        <v>46194</v>
      </c>
      <c r="D513" t="inlineStr">
        <is>
          <t>ÖSTERGÖTLANDS LÄN</t>
        </is>
      </c>
      <c r="E513" t="inlineStr">
        <is>
          <t>KINDA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49881-2021</t>
        </is>
      </c>
      <c r="B514" s="1" t="n">
        <v>44455</v>
      </c>
      <c r="C514" s="1" t="n">
        <v>46194</v>
      </c>
      <c r="D514" t="inlineStr">
        <is>
          <t>ÖSTERGÖTLANDS LÄN</t>
        </is>
      </c>
      <c r="E514" t="inlineStr">
        <is>
          <t>KINDA</t>
        </is>
      </c>
      <c r="G514" t="n">
        <v>3.2</v>
      </c>
      <c r="H514" t="n">
        <v>0</v>
      </c>
      <c r="I514" t="n">
        <v>0</v>
      </c>
      <c r="J514" t="n">
        <v>0</v>
      </c>
      <c r="K514" t="n">
        <v>0</v>
      </c>
      <c r="L514" t="n">
        <v>0</v>
      </c>
      <c r="M514" t="n">
        <v>0</v>
      </c>
      <c r="N514" t="n">
        <v>0</v>
      </c>
      <c r="O514" t="n">
        <v>0</v>
      </c>
      <c r="P514" t="n">
        <v>0</v>
      </c>
      <c r="Q514" t="n">
        <v>0</v>
      </c>
      <c r="R514" s="2" t="inlineStr"/>
    </row>
    <row r="515" ht="15" customHeight="1">
      <c r="A515" t="inlineStr">
        <is>
          <t>A 38827-2021</t>
        </is>
      </c>
      <c r="B515" s="1" t="n">
        <v>44411</v>
      </c>
      <c r="C515" s="1" t="n">
        <v>46194</v>
      </c>
      <c r="D515" t="inlineStr">
        <is>
          <t>ÖSTERGÖTLANDS LÄN</t>
        </is>
      </c>
      <c r="E515" t="inlineStr">
        <is>
          <t>KINDA</t>
        </is>
      </c>
      <c r="F515" t="inlineStr">
        <is>
          <t>Övriga Aktiebolag</t>
        </is>
      </c>
      <c r="G515" t="n">
        <v>13.6</v>
      </c>
      <c r="H515" t="n">
        <v>0</v>
      </c>
      <c r="I515" t="n">
        <v>0</v>
      </c>
      <c r="J515" t="n">
        <v>0</v>
      </c>
      <c r="K515" t="n">
        <v>0</v>
      </c>
      <c r="L515" t="n">
        <v>0</v>
      </c>
      <c r="M515" t="n">
        <v>0</v>
      </c>
      <c r="N515" t="n">
        <v>0</v>
      </c>
      <c r="O515" t="n">
        <v>0</v>
      </c>
      <c r="P515" t="n">
        <v>0</v>
      </c>
      <c r="Q515" t="n">
        <v>0</v>
      </c>
      <c r="R515" s="2" t="inlineStr"/>
    </row>
    <row r="516" ht="15" customHeight="1">
      <c r="A516" t="inlineStr">
        <is>
          <t>A 28291-2023</t>
        </is>
      </c>
      <c r="B516" s="1" t="n">
        <v>45098</v>
      </c>
      <c r="C516" s="1" t="n">
        <v>46194</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13291-2026</t>
        </is>
      </c>
      <c r="B517" s="1" t="n">
        <v>46094</v>
      </c>
      <c r="C517" s="1" t="n">
        <v>46194</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13297-2026</t>
        </is>
      </c>
      <c r="B518" s="1" t="n">
        <v>46094</v>
      </c>
      <c r="C518" s="1" t="n">
        <v>46194</v>
      </c>
      <c r="D518" t="inlineStr">
        <is>
          <t>ÖSTERGÖTLANDS LÄN</t>
        </is>
      </c>
      <c r="E518" t="inlineStr">
        <is>
          <t>KINDA</t>
        </is>
      </c>
      <c r="G518" t="n">
        <v>2.1</v>
      </c>
      <c r="H518" t="n">
        <v>0</v>
      </c>
      <c r="I518" t="n">
        <v>0</v>
      </c>
      <c r="J518" t="n">
        <v>0</v>
      </c>
      <c r="K518" t="n">
        <v>0</v>
      </c>
      <c r="L518" t="n">
        <v>0</v>
      </c>
      <c r="M518" t="n">
        <v>0</v>
      </c>
      <c r="N518" t="n">
        <v>0</v>
      </c>
      <c r="O518" t="n">
        <v>0</v>
      </c>
      <c r="P518" t="n">
        <v>0</v>
      </c>
      <c r="Q518" t="n">
        <v>0</v>
      </c>
      <c r="R518" s="2" t="inlineStr"/>
    </row>
    <row r="519" ht="15" customHeight="1">
      <c r="A519" t="inlineStr">
        <is>
          <t>A 6837-2023</t>
        </is>
      </c>
      <c r="B519" s="1" t="n">
        <v>44967</v>
      </c>
      <c r="C519" s="1" t="n">
        <v>46194</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13455-2026</t>
        </is>
      </c>
      <c r="B520" s="1" t="n">
        <v>46094</v>
      </c>
      <c r="C520" s="1" t="n">
        <v>46194</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8813-2023</t>
        </is>
      </c>
      <c r="B521" s="1" t="n">
        <v>44978</v>
      </c>
      <c r="C521" s="1" t="n">
        <v>46194</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13352-2022</t>
        </is>
      </c>
      <c r="B522" s="1" t="n">
        <v>44645</v>
      </c>
      <c r="C522" s="1" t="n">
        <v>46194</v>
      </c>
      <c r="D522" t="inlineStr">
        <is>
          <t>ÖSTERGÖTLANDS LÄN</t>
        </is>
      </c>
      <c r="E522" t="inlineStr">
        <is>
          <t>KINDA</t>
        </is>
      </c>
      <c r="G522" t="n">
        <v>0.3</v>
      </c>
      <c r="H522" t="n">
        <v>0</v>
      </c>
      <c r="I522" t="n">
        <v>0</v>
      </c>
      <c r="J522" t="n">
        <v>0</v>
      </c>
      <c r="K522" t="n">
        <v>0</v>
      </c>
      <c r="L522" t="n">
        <v>0</v>
      </c>
      <c r="M522" t="n">
        <v>0</v>
      </c>
      <c r="N522" t="n">
        <v>0</v>
      </c>
      <c r="O522" t="n">
        <v>0</v>
      </c>
      <c r="P522" t="n">
        <v>0</v>
      </c>
      <c r="Q522" t="n">
        <v>0</v>
      </c>
      <c r="R522" s="2" t="inlineStr"/>
    </row>
    <row r="523" ht="15" customHeight="1">
      <c r="A523" t="inlineStr">
        <is>
          <t>A 15281-2026</t>
        </is>
      </c>
      <c r="B523" s="1" t="n">
        <v>46105</v>
      </c>
      <c r="C523" s="1" t="n">
        <v>46194</v>
      </c>
      <c r="D523" t="inlineStr">
        <is>
          <t>ÖSTERGÖTLANDS LÄN</t>
        </is>
      </c>
      <c r="E523" t="inlineStr">
        <is>
          <t>KINDA</t>
        </is>
      </c>
      <c r="G523" t="n">
        <v>3.3</v>
      </c>
      <c r="H523" t="n">
        <v>0</v>
      </c>
      <c r="I523" t="n">
        <v>0</v>
      </c>
      <c r="J523" t="n">
        <v>0</v>
      </c>
      <c r="K523" t="n">
        <v>0</v>
      </c>
      <c r="L523" t="n">
        <v>0</v>
      </c>
      <c r="M523" t="n">
        <v>0</v>
      </c>
      <c r="N523" t="n">
        <v>0</v>
      </c>
      <c r="O523" t="n">
        <v>0</v>
      </c>
      <c r="P523" t="n">
        <v>0</v>
      </c>
      <c r="Q523" t="n">
        <v>0</v>
      </c>
      <c r="R523" s="2" t="inlineStr"/>
    </row>
    <row r="524" ht="15" customHeight="1">
      <c r="A524" t="inlineStr">
        <is>
          <t>A 22017-2026</t>
        </is>
      </c>
      <c r="B524" s="1" t="n">
        <v>46153</v>
      </c>
      <c r="C524" s="1" t="n">
        <v>46194</v>
      </c>
      <c r="D524" t="inlineStr">
        <is>
          <t>ÖSTERGÖTLANDS LÄN</t>
        </is>
      </c>
      <c r="E524" t="inlineStr">
        <is>
          <t>KINDA</t>
        </is>
      </c>
      <c r="G524" t="n">
        <v>6.1</v>
      </c>
      <c r="H524" t="n">
        <v>0</v>
      </c>
      <c r="I524" t="n">
        <v>0</v>
      </c>
      <c r="J524" t="n">
        <v>0</v>
      </c>
      <c r="K524" t="n">
        <v>0</v>
      </c>
      <c r="L524" t="n">
        <v>0</v>
      </c>
      <c r="M524" t="n">
        <v>0</v>
      </c>
      <c r="N524" t="n">
        <v>0</v>
      </c>
      <c r="O524" t="n">
        <v>0</v>
      </c>
      <c r="P524" t="n">
        <v>0</v>
      </c>
      <c r="Q524" t="n">
        <v>0</v>
      </c>
      <c r="R524" s="2" t="inlineStr"/>
    </row>
    <row r="525" ht="15" customHeight="1">
      <c r="A525" t="inlineStr">
        <is>
          <t>A 21237-2026</t>
        </is>
      </c>
      <c r="B525" s="1" t="n">
        <v>46147</v>
      </c>
      <c r="C525" s="1" t="n">
        <v>46194</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22230-2026</t>
        </is>
      </c>
      <c r="B526" s="1" t="n">
        <v>46153</v>
      </c>
      <c r="C526" s="1" t="n">
        <v>46194</v>
      </c>
      <c r="D526" t="inlineStr">
        <is>
          <t>ÖSTERGÖTLANDS LÄN</t>
        </is>
      </c>
      <c r="E526" t="inlineStr">
        <is>
          <t>KINDA</t>
        </is>
      </c>
      <c r="G526" t="n">
        <v>1</v>
      </c>
      <c r="H526" t="n">
        <v>0</v>
      </c>
      <c r="I526" t="n">
        <v>0</v>
      </c>
      <c r="J526" t="n">
        <v>0</v>
      </c>
      <c r="K526" t="n">
        <v>0</v>
      </c>
      <c r="L526" t="n">
        <v>0</v>
      </c>
      <c r="M526" t="n">
        <v>0</v>
      </c>
      <c r="N526" t="n">
        <v>0</v>
      </c>
      <c r="O526" t="n">
        <v>0</v>
      </c>
      <c r="P526" t="n">
        <v>0</v>
      </c>
      <c r="Q526" t="n">
        <v>0</v>
      </c>
      <c r="R526" s="2" t="inlineStr"/>
    </row>
    <row r="527" ht="15" customHeight="1">
      <c r="A527" t="inlineStr">
        <is>
          <t>A 17554-2026</t>
        </is>
      </c>
      <c r="B527" s="1" t="n">
        <v>46120</v>
      </c>
      <c r="C527" s="1" t="n">
        <v>46194</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24153-2026</t>
        </is>
      </c>
      <c r="B528" s="1" t="n">
        <v>46168</v>
      </c>
      <c r="C528" s="1" t="n">
        <v>46194</v>
      </c>
      <c r="D528" t="inlineStr">
        <is>
          <t>ÖSTERGÖTLANDS LÄN</t>
        </is>
      </c>
      <c r="E528" t="inlineStr">
        <is>
          <t>KINDA</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24551-2026</t>
        </is>
      </c>
      <c r="B529" s="1" t="n">
        <v>46170</v>
      </c>
      <c r="C529" s="1" t="n">
        <v>46194</v>
      </c>
      <c r="D529" t="inlineStr">
        <is>
          <t>ÖSTERGÖTLANDS LÄN</t>
        </is>
      </c>
      <c r="E529" t="inlineStr">
        <is>
          <t>KINDA</t>
        </is>
      </c>
      <c r="G529" t="n">
        <v>1.3</v>
      </c>
      <c r="H529" t="n">
        <v>0</v>
      </c>
      <c r="I529" t="n">
        <v>0</v>
      </c>
      <c r="J529" t="n">
        <v>0</v>
      </c>
      <c r="K529" t="n">
        <v>0</v>
      </c>
      <c r="L529" t="n">
        <v>0</v>
      </c>
      <c r="M529" t="n">
        <v>0</v>
      </c>
      <c r="N529" t="n">
        <v>0</v>
      </c>
      <c r="O529" t="n">
        <v>0</v>
      </c>
      <c r="P529" t="n">
        <v>0</v>
      </c>
      <c r="Q529" t="n">
        <v>0</v>
      </c>
      <c r="R529" s="2" t="inlineStr"/>
    </row>
    <row r="530" ht="15" customHeight="1">
      <c r="A530" t="inlineStr">
        <is>
          <t>A 25007-2026</t>
        </is>
      </c>
      <c r="B530" s="1" t="n">
        <v>46174</v>
      </c>
      <c r="C530" s="1" t="n">
        <v>46194</v>
      </c>
      <c r="D530" t="inlineStr">
        <is>
          <t>ÖSTERGÖTLANDS LÄN</t>
        </is>
      </c>
      <c r="E530" t="inlineStr">
        <is>
          <t>KINDA</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25136-2026</t>
        </is>
      </c>
      <c r="B531" s="1" t="n">
        <v>46175</v>
      </c>
      <c r="C531" s="1" t="n">
        <v>46194</v>
      </c>
      <c r="D531" t="inlineStr">
        <is>
          <t>ÖSTERGÖTLANDS LÄN</t>
        </is>
      </c>
      <c r="E531" t="inlineStr">
        <is>
          <t>KINDA</t>
        </is>
      </c>
      <c r="G531" t="n">
        <v>2.9</v>
      </c>
      <c r="H531" t="n">
        <v>0</v>
      </c>
      <c r="I531" t="n">
        <v>0</v>
      </c>
      <c r="J531" t="n">
        <v>0</v>
      </c>
      <c r="K531" t="n">
        <v>0</v>
      </c>
      <c r="L531" t="n">
        <v>0</v>
      </c>
      <c r="M531" t="n">
        <v>0</v>
      </c>
      <c r="N531" t="n">
        <v>0</v>
      </c>
      <c r="O531" t="n">
        <v>0</v>
      </c>
      <c r="P531" t="n">
        <v>0</v>
      </c>
      <c r="Q531" t="n">
        <v>0</v>
      </c>
      <c r="R531" s="2" t="inlineStr"/>
    </row>
    <row r="532" ht="15" customHeight="1">
      <c r="A532" t="inlineStr">
        <is>
          <t>A 25182-2026</t>
        </is>
      </c>
      <c r="B532" s="1" t="n">
        <v>46175</v>
      </c>
      <c r="C532" s="1" t="n">
        <v>46194</v>
      </c>
      <c r="D532" t="inlineStr">
        <is>
          <t>ÖSTERGÖTLANDS LÄN</t>
        </is>
      </c>
      <c r="E532" t="inlineStr">
        <is>
          <t>KINDA</t>
        </is>
      </c>
      <c r="G532" t="n">
        <v>5.3</v>
      </c>
      <c r="H532" t="n">
        <v>0</v>
      </c>
      <c r="I532" t="n">
        <v>0</v>
      </c>
      <c r="J532" t="n">
        <v>0</v>
      </c>
      <c r="K532" t="n">
        <v>0</v>
      </c>
      <c r="L532" t="n">
        <v>0</v>
      </c>
      <c r="M532" t="n">
        <v>0</v>
      </c>
      <c r="N532" t="n">
        <v>0</v>
      </c>
      <c r="O532" t="n">
        <v>0</v>
      </c>
      <c r="P532" t="n">
        <v>0</v>
      </c>
      <c r="Q532" t="n">
        <v>0</v>
      </c>
      <c r="R532" s="2" t="inlineStr"/>
    </row>
    <row r="533" ht="15" customHeight="1">
      <c r="A533" t="inlineStr">
        <is>
          <t>A 25264-2026</t>
        </is>
      </c>
      <c r="B533" s="1" t="n">
        <v>46175</v>
      </c>
      <c r="C533" s="1" t="n">
        <v>46194</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25407-2026</t>
        </is>
      </c>
      <c r="B534" s="1" t="n">
        <v>46176</v>
      </c>
      <c r="C534" s="1" t="n">
        <v>46194</v>
      </c>
      <c r="D534" t="inlineStr">
        <is>
          <t>ÖSTERGÖTLANDS LÄN</t>
        </is>
      </c>
      <c r="E534" t="inlineStr">
        <is>
          <t>KINDA</t>
        </is>
      </c>
      <c r="G534" t="n">
        <v>1.5</v>
      </c>
      <c r="H534" t="n">
        <v>0</v>
      </c>
      <c r="I534" t="n">
        <v>0</v>
      </c>
      <c r="J534" t="n">
        <v>0</v>
      </c>
      <c r="K534" t="n">
        <v>0</v>
      </c>
      <c r="L534" t="n">
        <v>0</v>
      </c>
      <c r="M534" t="n">
        <v>0</v>
      </c>
      <c r="N534" t="n">
        <v>0</v>
      </c>
      <c r="O534" t="n">
        <v>0</v>
      </c>
      <c r="P534" t="n">
        <v>0</v>
      </c>
      <c r="Q534" t="n">
        <v>0</v>
      </c>
      <c r="R534" s="2" t="inlineStr"/>
    </row>
    <row r="535" ht="15" customHeight="1">
      <c r="A535" t="inlineStr">
        <is>
          <t>A 25265-2026</t>
        </is>
      </c>
      <c r="B535" s="1" t="n">
        <v>46175</v>
      </c>
      <c r="C535" s="1" t="n">
        <v>46194</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25405-2026</t>
        </is>
      </c>
      <c r="B536" s="1" t="n">
        <v>46176</v>
      </c>
      <c r="C536" s="1" t="n">
        <v>46194</v>
      </c>
      <c r="D536" t="inlineStr">
        <is>
          <t>ÖSTERGÖTLANDS LÄN</t>
        </is>
      </c>
      <c r="E536" t="inlineStr">
        <is>
          <t>KINDA</t>
        </is>
      </c>
      <c r="G536" t="n">
        <v>7.1</v>
      </c>
      <c r="H536" t="n">
        <v>0</v>
      </c>
      <c r="I536" t="n">
        <v>0</v>
      </c>
      <c r="J536" t="n">
        <v>0</v>
      </c>
      <c r="K536" t="n">
        <v>0</v>
      </c>
      <c r="L536" t="n">
        <v>0</v>
      </c>
      <c r="M536" t="n">
        <v>0</v>
      </c>
      <c r="N536" t="n">
        <v>0</v>
      </c>
      <c r="O536" t="n">
        <v>0</v>
      </c>
      <c r="P536" t="n">
        <v>0</v>
      </c>
      <c r="Q536" t="n">
        <v>0</v>
      </c>
      <c r="R536" s="2" t="inlineStr"/>
    </row>
    <row r="537" ht="15" customHeight="1">
      <c r="A537" t="inlineStr">
        <is>
          <t>A 25408-2026</t>
        </is>
      </c>
      <c r="B537" s="1" t="n">
        <v>46176</v>
      </c>
      <c r="C537" s="1" t="n">
        <v>46194</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25333-2026</t>
        </is>
      </c>
      <c r="B538" s="1" t="n">
        <v>46176</v>
      </c>
      <c r="C538" s="1" t="n">
        <v>46194</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5903-2025</t>
        </is>
      </c>
      <c r="B539" s="1" t="n">
        <v>45695</v>
      </c>
      <c r="C539" s="1" t="n">
        <v>46194</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50179-2025</t>
        </is>
      </c>
      <c r="B540" s="1" t="n">
        <v>45943</v>
      </c>
      <c r="C540" s="1" t="n">
        <v>46194</v>
      </c>
      <c r="D540" t="inlineStr">
        <is>
          <t>ÖSTERGÖTLANDS LÄN</t>
        </is>
      </c>
      <c r="E540" t="inlineStr">
        <is>
          <t>KINDA</t>
        </is>
      </c>
      <c r="G540" t="n">
        <v>1.6</v>
      </c>
      <c r="H540" t="n">
        <v>0</v>
      </c>
      <c r="I540" t="n">
        <v>0</v>
      </c>
      <c r="J540" t="n">
        <v>0</v>
      </c>
      <c r="K540" t="n">
        <v>0</v>
      </c>
      <c r="L540" t="n">
        <v>0</v>
      </c>
      <c r="M540" t="n">
        <v>0</v>
      </c>
      <c r="N540" t="n">
        <v>0</v>
      </c>
      <c r="O540" t="n">
        <v>0</v>
      </c>
      <c r="P540" t="n">
        <v>0</v>
      </c>
      <c r="Q540" t="n">
        <v>0</v>
      </c>
      <c r="R540" s="2" t="inlineStr"/>
    </row>
    <row r="541" ht="15" customHeight="1">
      <c r="A541" t="inlineStr">
        <is>
          <t>A 25569-2026</t>
        </is>
      </c>
      <c r="B541" s="1" t="n">
        <v>46177</v>
      </c>
      <c r="C541" s="1" t="n">
        <v>46194</v>
      </c>
      <c r="D541" t="inlineStr">
        <is>
          <t>ÖSTERGÖTLANDS LÄN</t>
        </is>
      </c>
      <c r="E541" t="inlineStr">
        <is>
          <t>KINDA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25695-2026</t>
        </is>
      </c>
      <c r="B542" s="1" t="n">
        <v>46178</v>
      </c>
      <c r="C542" s="1" t="n">
        <v>46194</v>
      </c>
      <c r="D542" t="inlineStr">
        <is>
          <t>ÖSTERGÖTLANDS LÄN</t>
        </is>
      </c>
      <c r="E542" t="inlineStr">
        <is>
          <t>KINDA</t>
        </is>
      </c>
      <c r="G542" t="n">
        <v>5</v>
      </c>
      <c r="H542" t="n">
        <v>0</v>
      </c>
      <c r="I542" t="n">
        <v>0</v>
      </c>
      <c r="J542" t="n">
        <v>0</v>
      </c>
      <c r="K542" t="n">
        <v>0</v>
      </c>
      <c r="L542" t="n">
        <v>0</v>
      </c>
      <c r="M542" t="n">
        <v>0</v>
      </c>
      <c r="N542" t="n">
        <v>0</v>
      </c>
      <c r="O542" t="n">
        <v>0</v>
      </c>
      <c r="P542" t="n">
        <v>0</v>
      </c>
      <c r="Q542" t="n">
        <v>0</v>
      </c>
      <c r="R542" s="2" t="inlineStr"/>
    </row>
    <row r="543" ht="15" customHeight="1">
      <c r="A543" t="inlineStr">
        <is>
          <t>A 28258-2025</t>
        </is>
      </c>
      <c r="B543" s="1" t="n">
        <v>45818</v>
      </c>
      <c r="C543" s="1" t="n">
        <v>46194</v>
      </c>
      <c r="D543" t="inlineStr">
        <is>
          <t>ÖSTERGÖTLANDS LÄN</t>
        </is>
      </c>
      <c r="E543" t="inlineStr">
        <is>
          <t>KINDA</t>
        </is>
      </c>
      <c r="G543" t="n">
        <v>3.4</v>
      </c>
      <c r="H543" t="n">
        <v>0</v>
      </c>
      <c r="I543" t="n">
        <v>0</v>
      </c>
      <c r="J543" t="n">
        <v>0</v>
      </c>
      <c r="K543" t="n">
        <v>0</v>
      </c>
      <c r="L543" t="n">
        <v>0</v>
      </c>
      <c r="M543" t="n">
        <v>0</v>
      </c>
      <c r="N543" t="n">
        <v>0</v>
      </c>
      <c r="O543" t="n">
        <v>0</v>
      </c>
      <c r="P543" t="n">
        <v>0</v>
      </c>
      <c r="Q543" t="n">
        <v>0</v>
      </c>
      <c r="R543" s="2" t="inlineStr"/>
    </row>
    <row r="544" ht="15" customHeight="1">
      <c r="A544" t="inlineStr">
        <is>
          <t>A 48194-2025</t>
        </is>
      </c>
      <c r="B544" s="1" t="n">
        <v>45933</v>
      </c>
      <c r="C544" s="1" t="n">
        <v>46194</v>
      </c>
      <c r="D544" t="inlineStr">
        <is>
          <t>ÖSTERGÖTLANDS LÄN</t>
        </is>
      </c>
      <c r="E544" t="inlineStr">
        <is>
          <t>KINDA</t>
        </is>
      </c>
      <c r="G544" t="n">
        <v>2.6</v>
      </c>
      <c r="H544" t="n">
        <v>0</v>
      </c>
      <c r="I544" t="n">
        <v>0</v>
      </c>
      <c r="J544" t="n">
        <v>0</v>
      </c>
      <c r="K544" t="n">
        <v>0</v>
      </c>
      <c r="L544" t="n">
        <v>0</v>
      </c>
      <c r="M544" t="n">
        <v>0</v>
      </c>
      <c r="N544" t="n">
        <v>0</v>
      </c>
      <c r="O544" t="n">
        <v>0</v>
      </c>
      <c r="P544" t="n">
        <v>0</v>
      </c>
      <c r="Q544" t="n">
        <v>0</v>
      </c>
      <c r="R544" s="2" t="inlineStr"/>
    </row>
    <row r="545" ht="15" customHeight="1">
      <c r="A545" t="inlineStr">
        <is>
          <t>A 25409-2026</t>
        </is>
      </c>
      <c r="B545" s="1" t="n">
        <v>46176</v>
      </c>
      <c r="C545" s="1" t="n">
        <v>46194</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25411-2026</t>
        </is>
      </c>
      <c r="B546" s="1" t="n">
        <v>46176</v>
      </c>
      <c r="C546" s="1" t="n">
        <v>46194</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25570-2026</t>
        </is>
      </c>
      <c r="B547" s="1" t="n">
        <v>46177</v>
      </c>
      <c r="C547" s="1" t="n">
        <v>46194</v>
      </c>
      <c r="D547" t="inlineStr">
        <is>
          <t>ÖSTERGÖTLANDS LÄN</t>
        </is>
      </c>
      <c r="E547" t="inlineStr">
        <is>
          <t>KINDA</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38131-2025</t>
        </is>
      </c>
      <c r="B548" s="1" t="n">
        <v>45882</v>
      </c>
      <c r="C548" s="1" t="n">
        <v>46194</v>
      </c>
      <c r="D548" t="inlineStr">
        <is>
          <t>ÖSTERGÖTLANDS LÄN</t>
        </is>
      </c>
      <c r="E548" t="inlineStr">
        <is>
          <t>KINDA</t>
        </is>
      </c>
      <c r="G548" t="n">
        <v>3.9</v>
      </c>
      <c r="H548" t="n">
        <v>0</v>
      </c>
      <c r="I548" t="n">
        <v>0</v>
      </c>
      <c r="J548" t="n">
        <v>0</v>
      </c>
      <c r="K548" t="n">
        <v>0</v>
      </c>
      <c r="L548" t="n">
        <v>0</v>
      </c>
      <c r="M548" t="n">
        <v>0</v>
      </c>
      <c r="N548" t="n">
        <v>0</v>
      </c>
      <c r="O548" t="n">
        <v>0</v>
      </c>
      <c r="P548" t="n">
        <v>0</v>
      </c>
      <c r="Q548" t="n">
        <v>0</v>
      </c>
      <c r="R548" s="2" t="inlineStr"/>
    </row>
    <row r="549" ht="15" customHeight="1">
      <c r="A549" t="inlineStr">
        <is>
          <t>A 25703-2026</t>
        </is>
      </c>
      <c r="B549" s="1" t="n">
        <v>46178</v>
      </c>
      <c r="C549" s="1" t="n">
        <v>46194</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49798-2024</t>
        </is>
      </c>
      <c r="B550" s="1" t="n">
        <v>45597</v>
      </c>
      <c r="C550" s="1" t="n">
        <v>46194</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36173-2025</t>
        </is>
      </c>
      <c r="B551" s="1" t="n">
        <v>45866</v>
      </c>
      <c r="C551" s="1" t="n">
        <v>46194</v>
      </c>
      <c r="D551" t="inlineStr">
        <is>
          <t>ÖSTERGÖTLANDS LÄN</t>
        </is>
      </c>
      <c r="E551" t="inlineStr">
        <is>
          <t>KINDA</t>
        </is>
      </c>
      <c r="G551" t="n">
        <v>4.4</v>
      </c>
      <c r="H551" t="n">
        <v>0</v>
      </c>
      <c r="I551" t="n">
        <v>0</v>
      </c>
      <c r="J551" t="n">
        <v>0</v>
      </c>
      <c r="K551" t="n">
        <v>0</v>
      </c>
      <c r="L551" t="n">
        <v>0</v>
      </c>
      <c r="M551" t="n">
        <v>0</v>
      </c>
      <c r="N551" t="n">
        <v>0</v>
      </c>
      <c r="O551" t="n">
        <v>0</v>
      </c>
      <c r="P551" t="n">
        <v>0</v>
      </c>
      <c r="Q551" t="n">
        <v>0</v>
      </c>
      <c r="R551" s="2" t="inlineStr"/>
    </row>
    <row r="552" ht="15" customHeight="1">
      <c r="A552" t="inlineStr">
        <is>
          <t>A 25415-2026</t>
        </is>
      </c>
      <c r="B552" s="1" t="n">
        <v>46176</v>
      </c>
      <c r="C552" s="1" t="n">
        <v>46194</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46926-2025</t>
        </is>
      </c>
      <c r="B553" s="1" t="n">
        <v>45929</v>
      </c>
      <c r="C553" s="1" t="n">
        <v>46194</v>
      </c>
      <c r="D553" t="inlineStr">
        <is>
          <t>ÖSTERGÖTLANDS LÄN</t>
        </is>
      </c>
      <c r="E553" t="inlineStr">
        <is>
          <t>KINDA</t>
        </is>
      </c>
      <c r="G553" t="n">
        <v>2.1</v>
      </c>
      <c r="H553" t="n">
        <v>0</v>
      </c>
      <c r="I553" t="n">
        <v>0</v>
      </c>
      <c r="J553" t="n">
        <v>0</v>
      </c>
      <c r="K553" t="n">
        <v>0</v>
      </c>
      <c r="L553" t="n">
        <v>0</v>
      </c>
      <c r="M553" t="n">
        <v>0</v>
      </c>
      <c r="N553" t="n">
        <v>0</v>
      </c>
      <c r="O553" t="n">
        <v>0</v>
      </c>
      <c r="P553" t="n">
        <v>0</v>
      </c>
      <c r="Q553" t="n">
        <v>0</v>
      </c>
      <c r="R553" s="2" t="inlineStr"/>
    </row>
    <row r="554" ht="15" customHeight="1">
      <c r="A554" t="inlineStr">
        <is>
          <t>A 42977-2025</t>
        </is>
      </c>
      <c r="B554" s="1" t="n">
        <v>45909</v>
      </c>
      <c r="C554" s="1" t="n">
        <v>46194</v>
      </c>
      <c r="D554" t="inlineStr">
        <is>
          <t>ÖSTERGÖTLANDS LÄN</t>
        </is>
      </c>
      <c r="E554" t="inlineStr">
        <is>
          <t>KINDA</t>
        </is>
      </c>
      <c r="G554" t="n">
        <v>4.3</v>
      </c>
      <c r="H554" t="n">
        <v>0</v>
      </c>
      <c r="I554" t="n">
        <v>0</v>
      </c>
      <c r="J554" t="n">
        <v>0</v>
      </c>
      <c r="K554" t="n">
        <v>0</v>
      </c>
      <c r="L554" t="n">
        <v>0</v>
      </c>
      <c r="M554" t="n">
        <v>0</v>
      </c>
      <c r="N554" t="n">
        <v>0</v>
      </c>
      <c r="O554" t="n">
        <v>0</v>
      </c>
      <c r="P554" t="n">
        <v>0</v>
      </c>
      <c r="Q554" t="n">
        <v>0</v>
      </c>
      <c r="R554" s="2" t="inlineStr"/>
    </row>
    <row r="555" ht="15" customHeight="1">
      <c r="A555" t="inlineStr">
        <is>
          <t>A 26070-2026</t>
        </is>
      </c>
      <c r="B555" s="1" t="n">
        <v>46181</v>
      </c>
      <c r="C555" s="1" t="n">
        <v>46194</v>
      </c>
      <c r="D555" t="inlineStr">
        <is>
          <t>ÖSTERGÖTLANDS LÄN</t>
        </is>
      </c>
      <c r="E555" t="inlineStr">
        <is>
          <t>KINDA</t>
        </is>
      </c>
      <c r="G555" t="n">
        <v>11.1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46194</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20997-2025</t>
        </is>
      </c>
      <c r="B557" s="1" t="n">
        <v>45777</v>
      </c>
      <c r="C557" s="1" t="n">
        <v>46194</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42509-2025</t>
        </is>
      </c>
      <c r="B558" s="1" t="n">
        <v>45904</v>
      </c>
      <c r="C558" s="1" t="n">
        <v>46194</v>
      </c>
      <c r="D558" t="inlineStr">
        <is>
          <t>ÖSTERGÖTLANDS LÄN</t>
        </is>
      </c>
      <c r="E558" t="inlineStr">
        <is>
          <t>KINDA</t>
        </is>
      </c>
      <c r="G558" t="n">
        <v>3.5</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v>
      </c>
      <c r="C559" s="1" t="n">
        <v>46194</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26061-2026</t>
        </is>
      </c>
      <c r="B560" s="1" t="n">
        <v>46181</v>
      </c>
      <c r="C560" s="1" t="n">
        <v>46194</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41396-2025</t>
        </is>
      </c>
      <c r="B561" s="1" t="n">
        <v>45901</v>
      </c>
      <c r="C561" s="1" t="n">
        <v>46194</v>
      </c>
      <c r="D561" t="inlineStr">
        <is>
          <t>ÖSTERGÖTLANDS LÄN</t>
        </is>
      </c>
      <c r="E561" t="inlineStr">
        <is>
          <t>KINDA</t>
        </is>
      </c>
      <c r="G561" t="n">
        <v>1.5</v>
      </c>
      <c r="H561" t="n">
        <v>0</v>
      </c>
      <c r="I561" t="n">
        <v>0</v>
      </c>
      <c r="J561" t="n">
        <v>0</v>
      </c>
      <c r="K561" t="n">
        <v>0</v>
      </c>
      <c r="L561" t="n">
        <v>0</v>
      </c>
      <c r="M561" t="n">
        <v>0</v>
      </c>
      <c r="N561" t="n">
        <v>0</v>
      </c>
      <c r="O561" t="n">
        <v>0</v>
      </c>
      <c r="P561" t="n">
        <v>0</v>
      </c>
      <c r="Q561" t="n">
        <v>0</v>
      </c>
      <c r="R561" s="2" t="inlineStr"/>
    </row>
    <row r="562" ht="15" customHeight="1">
      <c r="A562" t="inlineStr">
        <is>
          <t>A 61572-2025</t>
        </is>
      </c>
      <c r="B562" s="1" t="n">
        <v>46002</v>
      </c>
      <c r="C562" s="1" t="n">
        <v>46194</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26100-2026</t>
        </is>
      </c>
      <c r="B563" s="1" t="n">
        <v>46181</v>
      </c>
      <c r="C563" s="1" t="n">
        <v>46194</v>
      </c>
      <c r="D563" t="inlineStr">
        <is>
          <t>ÖSTERGÖTLANDS LÄN</t>
        </is>
      </c>
      <c r="E563" t="inlineStr">
        <is>
          <t>KINDA</t>
        </is>
      </c>
      <c r="G563" t="n">
        <v>3.6</v>
      </c>
      <c r="H563" t="n">
        <v>0</v>
      </c>
      <c r="I563" t="n">
        <v>0</v>
      </c>
      <c r="J563" t="n">
        <v>0</v>
      </c>
      <c r="K563" t="n">
        <v>0</v>
      </c>
      <c r="L563" t="n">
        <v>0</v>
      </c>
      <c r="M563" t="n">
        <v>0</v>
      </c>
      <c r="N563" t="n">
        <v>0</v>
      </c>
      <c r="O563" t="n">
        <v>0</v>
      </c>
      <c r="P563" t="n">
        <v>0</v>
      </c>
      <c r="Q563" t="n">
        <v>0</v>
      </c>
      <c r="R563" s="2" t="inlineStr"/>
    </row>
    <row r="564">
      <c r="A564" t="inlineStr">
        <is>
          <t>A 46947-2025</t>
        </is>
      </c>
      <c r="B564" s="1" t="n">
        <v>45929</v>
      </c>
      <c r="C564" s="1" t="n">
        <v>46194</v>
      </c>
      <c r="D564" t="inlineStr">
        <is>
          <t>ÖSTERGÖTLANDS LÄN</t>
        </is>
      </c>
      <c r="E564" t="inlineStr">
        <is>
          <t>KINDA</t>
        </is>
      </c>
      <c r="G564" t="n">
        <v>3.7</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2026-06-21T00:43:03Z</dcterms:created>
  <dcterms:modified xmlns:dcterms="http://purl.org/dc/terms/" xmlns:xsi="http://www.w3.org/2001/XMLSchema-instance" xsi:type="dcterms:W3CDTF">2026-06-21T00:43:04Z</dcterms:modified>
</cp:coreProperties>
</file>