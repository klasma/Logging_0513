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46103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46103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46103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46103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46103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46103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46103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46103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46103</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46103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46103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46103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46103</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8356-2026</t>
        </is>
      </c>
      <c r="B15" s="1" t="n">
        <v>46064.65232638889</v>
      </c>
      <c r="C15" s="1" t="n">
        <v>46103</v>
      </c>
      <c r="D15" t="inlineStr">
        <is>
          <t>ÖSTERGÖTLANDS LÄN</t>
        </is>
      </c>
      <c r="E15" t="inlineStr">
        <is>
          <t>KINDA</t>
        </is>
      </c>
      <c r="G15" t="n">
        <v>6</v>
      </c>
      <c r="H15" t="n">
        <v>3</v>
      </c>
      <c r="I15" t="n">
        <v>0</v>
      </c>
      <c r="J15" t="n">
        <v>1</v>
      </c>
      <c r="K15" t="n">
        <v>1</v>
      </c>
      <c r="L15" t="n">
        <v>0</v>
      </c>
      <c r="M15" t="n">
        <v>0</v>
      </c>
      <c r="N15" t="n">
        <v>0</v>
      </c>
      <c r="O15" t="n">
        <v>2</v>
      </c>
      <c r="P15" t="n">
        <v>1</v>
      </c>
      <c r="Q15" t="n">
        <v>3</v>
      </c>
      <c r="R15" s="2" t="inlineStr">
        <is>
          <t>Knärot
Spillkråka
Tjäder</t>
        </is>
      </c>
      <c r="S15">
        <f>HYPERLINK("https://klasma.github.io/Logging_0513/artfynd/A 8356-2026 artfynd.xlsx", "A 8356-2026")</f>
        <v/>
      </c>
      <c r="T15">
        <f>HYPERLINK("https://klasma.github.io/Logging_0513/kartor/A 8356-2026 karta.png", "A 8356-2026")</f>
        <v/>
      </c>
      <c r="U15">
        <f>HYPERLINK("https://klasma.github.io/Logging_0513/knärot/A 8356-2026 karta knärot.png", "A 8356-2026")</f>
        <v/>
      </c>
      <c r="V15">
        <f>HYPERLINK("https://klasma.github.io/Logging_0513/klagomål/A 8356-2026 FSC-klagomål.docx", "A 8356-2026")</f>
        <v/>
      </c>
      <c r="W15">
        <f>HYPERLINK("https://klasma.github.io/Logging_0513/klagomålsmail/A 8356-2026 FSC-klagomål mail.docx", "A 8356-2026")</f>
        <v/>
      </c>
      <c r="X15">
        <f>HYPERLINK("https://klasma.github.io/Logging_0513/tillsyn/A 8356-2026 tillsynsbegäran.docx", "A 8356-2026")</f>
        <v/>
      </c>
      <c r="Y15">
        <f>HYPERLINK("https://klasma.github.io/Logging_0513/tillsynsmail/A 8356-2026 tillsynsbegäran mail.docx", "A 8356-2026")</f>
        <v/>
      </c>
      <c r="Z15">
        <f>HYPERLINK("https://klasma.github.io/Logging_0513/fåglar/A 8356-2026 prioriterade fågelarter.docx", "A 8356-2026")</f>
        <v/>
      </c>
    </row>
    <row r="16" ht="15" customHeight="1">
      <c r="A16" t="inlineStr">
        <is>
          <t>A 8987-2026</t>
        </is>
      </c>
      <c r="B16" s="1" t="n">
        <v>46069.455</v>
      </c>
      <c r="C16" s="1" t="n">
        <v>46103</v>
      </c>
      <c r="D16" t="inlineStr">
        <is>
          <t>ÖSTERGÖTLANDS LÄN</t>
        </is>
      </c>
      <c r="E16" t="inlineStr">
        <is>
          <t>KINDA</t>
        </is>
      </c>
      <c r="G16" t="n">
        <v>2.1</v>
      </c>
      <c r="H16" t="n">
        <v>2</v>
      </c>
      <c r="I16" t="n">
        <v>1</v>
      </c>
      <c r="J16" t="n">
        <v>0</v>
      </c>
      <c r="K16" t="n">
        <v>1</v>
      </c>
      <c r="L16" t="n">
        <v>0</v>
      </c>
      <c r="M16" t="n">
        <v>0</v>
      </c>
      <c r="N16" t="n">
        <v>0</v>
      </c>
      <c r="O16" t="n">
        <v>1</v>
      </c>
      <c r="P16" t="n">
        <v>1</v>
      </c>
      <c r="Q16" t="n">
        <v>3</v>
      </c>
      <c r="R16" s="2" t="inlineStr">
        <is>
          <t>Knärot
Grönpyrola
Tjäder</t>
        </is>
      </c>
      <c r="S16">
        <f>HYPERLINK("https://klasma.github.io/Logging_0513/artfynd/A 8987-2026 artfynd.xlsx", "A 8987-2026")</f>
        <v/>
      </c>
      <c r="T16">
        <f>HYPERLINK("https://klasma.github.io/Logging_0513/kartor/A 8987-2026 karta.png", "A 8987-2026")</f>
        <v/>
      </c>
      <c r="U16">
        <f>HYPERLINK("https://klasma.github.io/Logging_0513/knärot/A 8987-2026 karta knärot.png", "A 8987-2026")</f>
        <v/>
      </c>
      <c r="V16">
        <f>HYPERLINK("https://klasma.github.io/Logging_0513/klagomål/A 8987-2026 FSC-klagomål.docx", "A 8987-2026")</f>
        <v/>
      </c>
      <c r="W16">
        <f>HYPERLINK("https://klasma.github.io/Logging_0513/klagomålsmail/A 8987-2026 FSC-klagomål mail.docx", "A 8987-2026")</f>
        <v/>
      </c>
      <c r="X16">
        <f>HYPERLINK("https://klasma.github.io/Logging_0513/tillsyn/A 8987-2026 tillsynsbegäran.docx", "A 8987-2026")</f>
        <v/>
      </c>
      <c r="Y16">
        <f>HYPERLINK("https://klasma.github.io/Logging_0513/tillsynsmail/A 8987-2026 tillsynsbegäran mail.docx", "A 8987-2026")</f>
        <v/>
      </c>
      <c r="Z16">
        <f>HYPERLINK("https://klasma.github.io/Logging_0513/fåglar/A 8987-2026 prioriterade fågelarter.docx", "A 8987-2026")</f>
        <v/>
      </c>
    </row>
    <row r="17" ht="15" customHeight="1">
      <c r="A17" t="inlineStr">
        <is>
          <t>A 52898-2025</t>
        </is>
      </c>
      <c r="B17" s="1" t="n">
        <v>45957.58760416666</v>
      </c>
      <c r="C17" s="1" t="n">
        <v>46103</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27581-2025</t>
        </is>
      </c>
      <c r="B18" s="1" t="n">
        <v>45813.49403935186</v>
      </c>
      <c r="C18" s="1" t="n">
        <v>46103</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32-2025</t>
        </is>
      </c>
      <c r="B19" s="1" t="n">
        <v>45659.24403935186</v>
      </c>
      <c r="C19" s="1" t="n">
        <v>46103</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46103</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46103</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46103</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46103</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2570-2026</t>
        </is>
      </c>
      <c r="B24" s="1" t="n">
        <v>46037.49528935185</v>
      </c>
      <c r="C24" s="1" t="n">
        <v>46103</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53708-2025</t>
        </is>
      </c>
      <c r="B25" s="1" t="n">
        <v>45960.61328703703</v>
      </c>
      <c r="C25" s="1" t="n">
        <v>46103</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54673-2023</t>
        </is>
      </c>
      <c r="B26" s="1" t="n">
        <v>45235</v>
      </c>
      <c r="C26" s="1" t="n">
        <v>46103</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5588-2025</t>
        </is>
      </c>
      <c r="B27" s="1" t="n">
        <v>45693.56063657408</v>
      </c>
      <c r="C27" s="1" t="n">
        <v>46103</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6298-2025</t>
        </is>
      </c>
      <c r="B28" s="1" t="n">
        <v>45698.67474537037</v>
      </c>
      <c r="C28" s="1" t="n">
        <v>46103</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46103</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46103</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46103</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46103</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46103</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46103</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46103</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46103</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33003-2024</t>
        </is>
      </c>
      <c r="B37" s="1" t="n">
        <v>45517</v>
      </c>
      <c r="C37" s="1" t="n">
        <v>46103</v>
      </c>
      <c r="D37" t="inlineStr">
        <is>
          <t>ÖSTERGÖTLANDS LÄN</t>
        </is>
      </c>
      <c r="E37" t="inlineStr">
        <is>
          <t>KINDA</t>
        </is>
      </c>
      <c r="G37" t="n">
        <v>2.4</v>
      </c>
      <c r="H37" t="n">
        <v>1</v>
      </c>
      <c r="I37" t="n">
        <v>0</v>
      </c>
      <c r="J37" t="n">
        <v>1</v>
      </c>
      <c r="K37" t="n">
        <v>0</v>
      </c>
      <c r="L37" t="n">
        <v>0</v>
      </c>
      <c r="M37" t="n">
        <v>0</v>
      </c>
      <c r="N37" t="n">
        <v>0</v>
      </c>
      <c r="O37" t="n">
        <v>1</v>
      </c>
      <c r="P37" t="n">
        <v>0</v>
      </c>
      <c r="Q37" t="n">
        <v>1</v>
      </c>
      <c r="R37" s="2" t="inlineStr">
        <is>
          <t>Sävsparv</t>
        </is>
      </c>
      <c r="S37">
        <f>HYPERLINK("https://klasma.github.io/Logging_0513/artfynd/A 33003-2024 artfynd.xlsx", "A 33003-2024")</f>
        <v/>
      </c>
      <c r="T37">
        <f>HYPERLINK("https://klasma.github.io/Logging_0513/kartor/A 33003-2024 karta.png", "A 33003-2024")</f>
        <v/>
      </c>
      <c r="V37">
        <f>HYPERLINK("https://klasma.github.io/Logging_0513/klagomål/A 33003-2024 FSC-klagomål.docx", "A 33003-2024")</f>
        <v/>
      </c>
      <c r="W37">
        <f>HYPERLINK("https://klasma.github.io/Logging_0513/klagomålsmail/A 33003-2024 FSC-klagomål mail.docx", "A 33003-2024")</f>
        <v/>
      </c>
      <c r="X37">
        <f>HYPERLINK("https://klasma.github.io/Logging_0513/tillsyn/A 33003-2024 tillsynsbegäran.docx", "A 33003-2024")</f>
        <v/>
      </c>
      <c r="Y37">
        <f>HYPERLINK("https://klasma.github.io/Logging_0513/tillsynsmail/A 33003-2024 tillsynsbegäran mail.docx", "A 33003-2024")</f>
        <v/>
      </c>
      <c r="Z37">
        <f>HYPERLINK("https://klasma.github.io/Logging_0513/fåglar/A 33003-2024 prioriterade fågelarter.docx", "A 33003-2024")</f>
        <v/>
      </c>
    </row>
    <row r="38" ht="15" customHeight="1">
      <c r="A38" t="inlineStr">
        <is>
          <t>A 46145-2023</t>
        </is>
      </c>
      <c r="B38" s="1" t="n">
        <v>45196.57292824074</v>
      </c>
      <c r="C38" s="1" t="n">
        <v>46103</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19360-2023</t>
        </is>
      </c>
      <c r="B39" s="1" t="n">
        <v>45049</v>
      </c>
      <c r="C39" s="1" t="n">
        <v>46103</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31824-2025</t>
        </is>
      </c>
      <c r="B40" s="1" t="n">
        <v>45834.58208333333</v>
      </c>
      <c r="C40" s="1" t="n">
        <v>46103</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58113-2025</t>
        </is>
      </c>
      <c r="B41" s="1" t="n">
        <v>45982.6</v>
      </c>
      <c r="C41" s="1" t="n">
        <v>46103</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25288-2021</t>
        </is>
      </c>
      <c r="B42" s="1" t="n">
        <v>44342</v>
      </c>
      <c r="C42" s="1" t="n">
        <v>46103</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3378-2024</t>
        </is>
      </c>
      <c r="B43" s="1" t="n">
        <v>45317</v>
      </c>
      <c r="C43" s="1" t="n">
        <v>46103</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12170-2022</t>
        </is>
      </c>
      <c r="B44" s="1" t="n">
        <v>44636</v>
      </c>
      <c r="C44" s="1" t="n">
        <v>46103</v>
      </c>
      <c r="D44" t="inlineStr">
        <is>
          <t>ÖSTERGÖTLANDS LÄN</t>
        </is>
      </c>
      <c r="E44" t="inlineStr">
        <is>
          <t>KINDA</t>
        </is>
      </c>
      <c r="F44" t="inlineStr">
        <is>
          <t>Kommuner</t>
        </is>
      </c>
      <c r="G44" t="n">
        <v>1.2</v>
      </c>
      <c r="H44" t="n">
        <v>0</v>
      </c>
      <c r="I44" t="n">
        <v>0</v>
      </c>
      <c r="J44" t="n">
        <v>0</v>
      </c>
      <c r="K44" t="n">
        <v>0</v>
      </c>
      <c r="L44" t="n">
        <v>1</v>
      </c>
      <c r="M44" t="n">
        <v>0</v>
      </c>
      <c r="N44" t="n">
        <v>0</v>
      </c>
      <c r="O44" t="n">
        <v>1</v>
      </c>
      <c r="P44" t="n">
        <v>1</v>
      </c>
      <c r="Q44" t="n">
        <v>1</v>
      </c>
      <c r="R44" s="2" t="inlineStr">
        <is>
          <t>Ask</t>
        </is>
      </c>
      <c r="S44">
        <f>HYPERLINK("https://klasma.github.io/Logging_0513/artfynd/A 12170-2022 artfynd.xlsx", "A 12170-2022")</f>
        <v/>
      </c>
      <c r="T44">
        <f>HYPERLINK("https://klasma.github.io/Logging_0513/kartor/A 12170-2022 karta.png", "A 12170-2022")</f>
        <v/>
      </c>
      <c r="V44">
        <f>HYPERLINK("https://klasma.github.io/Logging_0513/klagomål/A 12170-2022 FSC-klagomål.docx", "A 12170-2022")</f>
        <v/>
      </c>
      <c r="W44">
        <f>HYPERLINK("https://klasma.github.io/Logging_0513/klagomålsmail/A 12170-2022 FSC-klagomål mail.docx", "A 12170-2022")</f>
        <v/>
      </c>
      <c r="X44">
        <f>HYPERLINK("https://klasma.github.io/Logging_0513/tillsyn/A 12170-2022 tillsynsbegäran.docx", "A 12170-2022")</f>
        <v/>
      </c>
      <c r="Y44">
        <f>HYPERLINK("https://klasma.github.io/Logging_0513/tillsynsmail/A 12170-2022 tillsynsbegäran mail.docx", "A 12170-2022")</f>
        <v/>
      </c>
    </row>
    <row r="45" ht="15" customHeight="1">
      <c r="A45" t="inlineStr">
        <is>
          <t>A 61704-2025</t>
        </is>
      </c>
      <c r="B45" s="1" t="n">
        <v>46002.5483912037</v>
      </c>
      <c r="C45" s="1" t="n">
        <v>46103</v>
      </c>
      <c r="D45" t="inlineStr">
        <is>
          <t>ÖSTERGÖTLANDS LÄN</t>
        </is>
      </c>
      <c r="E45" t="inlineStr">
        <is>
          <t>KINDA</t>
        </is>
      </c>
      <c r="G45" t="n">
        <v>2.3</v>
      </c>
      <c r="H45" t="n">
        <v>0</v>
      </c>
      <c r="I45" t="n">
        <v>1</v>
      </c>
      <c r="J45" t="n">
        <v>0</v>
      </c>
      <c r="K45" t="n">
        <v>0</v>
      </c>
      <c r="L45" t="n">
        <v>0</v>
      </c>
      <c r="M45" t="n">
        <v>0</v>
      </c>
      <c r="N45" t="n">
        <v>0</v>
      </c>
      <c r="O45" t="n">
        <v>0</v>
      </c>
      <c r="P45" t="n">
        <v>0</v>
      </c>
      <c r="Q45" t="n">
        <v>1</v>
      </c>
      <c r="R45" s="2" t="inlineStr">
        <is>
          <t>Sårläka</t>
        </is>
      </c>
      <c r="S45">
        <f>HYPERLINK("https://klasma.github.io/Logging_0513/artfynd/A 61704-2025 artfynd.xlsx", "A 61704-2025")</f>
        <v/>
      </c>
      <c r="T45">
        <f>HYPERLINK("https://klasma.github.io/Logging_0513/kartor/A 61704-2025 karta.png", "A 61704-2025")</f>
        <v/>
      </c>
      <c r="V45">
        <f>HYPERLINK("https://klasma.github.io/Logging_0513/klagomål/A 61704-2025 FSC-klagomål.docx", "A 61704-2025")</f>
        <v/>
      </c>
      <c r="W45">
        <f>HYPERLINK("https://klasma.github.io/Logging_0513/klagomålsmail/A 61704-2025 FSC-klagomål mail.docx", "A 61704-2025")</f>
        <v/>
      </c>
      <c r="X45">
        <f>HYPERLINK("https://klasma.github.io/Logging_0513/tillsyn/A 61704-2025 tillsynsbegäran.docx", "A 61704-2025")</f>
        <v/>
      </c>
      <c r="Y45">
        <f>HYPERLINK("https://klasma.github.io/Logging_0513/tillsynsmail/A 61704-2025 tillsynsbegäran mail.docx", "A 61704-2025")</f>
        <v/>
      </c>
    </row>
    <row r="46" ht="15" customHeight="1">
      <c r="A46" t="inlineStr">
        <is>
          <t>A 10020-2025</t>
        </is>
      </c>
      <c r="B46" s="1" t="n">
        <v>45719.48104166667</v>
      </c>
      <c r="C46" s="1" t="n">
        <v>46103</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57456-2021</t>
        </is>
      </c>
      <c r="B47" s="1" t="n">
        <v>44483</v>
      </c>
      <c r="C47" s="1" t="n">
        <v>46103</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46103</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19162-2025</t>
        </is>
      </c>
      <c r="B49" s="1" t="n">
        <v>45769.37408564815</v>
      </c>
      <c r="C49" s="1" t="n">
        <v>46103</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46103</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54475-2025</t>
        </is>
      </c>
      <c r="B51" s="1" t="n">
        <v>45965.57670138889</v>
      </c>
      <c r="C51" s="1" t="n">
        <v>46103</v>
      </c>
      <c r="D51" t="inlineStr">
        <is>
          <t>ÖSTERGÖTLANDS LÄN</t>
        </is>
      </c>
      <c r="E51" t="inlineStr">
        <is>
          <t>KINDA</t>
        </is>
      </c>
      <c r="G51" t="n">
        <v>1.2</v>
      </c>
      <c r="H51" t="n">
        <v>0</v>
      </c>
      <c r="I51" t="n">
        <v>1</v>
      </c>
      <c r="J51" t="n">
        <v>0</v>
      </c>
      <c r="K51" t="n">
        <v>0</v>
      </c>
      <c r="L51" t="n">
        <v>0</v>
      </c>
      <c r="M51" t="n">
        <v>0</v>
      </c>
      <c r="N51" t="n">
        <v>0</v>
      </c>
      <c r="O51" t="n">
        <v>0</v>
      </c>
      <c r="P51" t="n">
        <v>0</v>
      </c>
      <c r="Q51" t="n">
        <v>1</v>
      </c>
      <c r="R51" s="2" t="inlineStr">
        <is>
          <t>Tibast</t>
        </is>
      </c>
      <c r="S51">
        <f>HYPERLINK("https://klasma.github.io/Logging_0513/artfynd/A 54475-2025 artfynd.xlsx", "A 54475-2025")</f>
        <v/>
      </c>
      <c r="T51">
        <f>HYPERLINK("https://klasma.github.io/Logging_0513/kartor/A 54475-2025 karta.png", "A 54475-2025")</f>
        <v/>
      </c>
      <c r="V51">
        <f>HYPERLINK("https://klasma.github.io/Logging_0513/klagomål/A 54475-2025 FSC-klagomål.docx", "A 54475-2025")</f>
        <v/>
      </c>
      <c r="W51">
        <f>HYPERLINK("https://klasma.github.io/Logging_0513/klagomålsmail/A 54475-2025 FSC-klagomål mail.docx", "A 54475-2025")</f>
        <v/>
      </c>
      <c r="X51">
        <f>HYPERLINK("https://klasma.github.io/Logging_0513/tillsyn/A 54475-2025 tillsynsbegäran.docx", "A 54475-2025")</f>
        <v/>
      </c>
      <c r="Y51">
        <f>HYPERLINK("https://klasma.github.io/Logging_0513/tillsynsmail/A 54475-2025 tillsynsbegäran mail.docx", "A 54475-2025")</f>
        <v/>
      </c>
    </row>
    <row r="52" ht="15" customHeight="1">
      <c r="A52" t="inlineStr">
        <is>
          <t>A 145-2024</t>
        </is>
      </c>
      <c r="B52" s="1" t="n">
        <v>45294</v>
      </c>
      <c r="C52" s="1" t="n">
        <v>46103</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12505-2026</t>
        </is>
      </c>
      <c r="B53" s="1" t="n">
        <v>46090.57803240741</v>
      </c>
      <c r="C53" s="1" t="n">
        <v>46103</v>
      </c>
      <c r="D53" t="inlineStr">
        <is>
          <t>ÖSTERGÖTLANDS LÄN</t>
        </is>
      </c>
      <c r="E53" t="inlineStr">
        <is>
          <t>KINDA</t>
        </is>
      </c>
      <c r="G53" t="n">
        <v>3.8</v>
      </c>
      <c r="H53" t="n">
        <v>0</v>
      </c>
      <c r="I53" t="n">
        <v>0</v>
      </c>
      <c r="J53" t="n">
        <v>0</v>
      </c>
      <c r="K53" t="n">
        <v>1</v>
      </c>
      <c r="L53" t="n">
        <v>0</v>
      </c>
      <c r="M53" t="n">
        <v>0</v>
      </c>
      <c r="N53" t="n">
        <v>0</v>
      </c>
      <c r="O53" t="n">
        <v>1</v>
      </c>
      <c r="P53" t="n">
        <v>1</v>
      </c>
      <c r="Q53" t="n">
        <v>1</v>
      </c>
      <c r="R53" s="2" t="inlineStr">
        <is>
          <t>Vesslefibbla</t>
        </is>
      </c>
      <c r="S53">
        <f>HYPERLINK("https://klasma.github.io/Logging_0513/artfynd/A 12505-2026 artfynd.xlsx", "A 12505-2026")</f>
        <v/>
      </c>
      <c r="T53">
        <f>HYPERLINK("https://klasma.github.io/Logging_0513/kartor/A 12505-2026 karta.png", "A 12505-2026")</f>
        <v/>
      </c>
      <c r="V53">
        <f>HYPERLINK("https://klasma.github.io/Logging_0513/klagomål/A 12505-2026 FSC-klagomål.docx", "A 12505-2026")</f>
        <v/>
      </c>
      <c r="W53">
        <f>HYPERLINK("https://klasma.github.io/Logging_0513/klagomålsmail/A 12505-2026 FSC-klagomål mail.docx", "A 12505-2026")</f>
        <v/>
      </c>
      <c r="X53">
        <f>HYPERLINK("https://klasma.github.io/Logging_0513/tillsyn/A 12505-2026 tillsynsbegäran.docx", "A 12505-2026")</f>
        <v/>
      </c>
      <c r="Y53">
        <f>HYPERLINK("https://klasma.github.io/Logging_0513/tillsynsmail/A 12505-2026 tillsynsbegäran mail.docx", "A 12505-2026")</f>
        <v/>
      </c>
    </row>
    <row r="54" ht="15" customHeight="1">
      <c r="A54" t="inlineStr">
        <is>
          <t>A 52631-2025</t>
        </is>
      </c>
      <c r="B54" s="1" t="n">
        <v>45954.71739583334</v>
      </c>
      <c r="C54" s="1" t="n">
        <v>46103</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46103</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30255-2024</t>
        </is>
      </c>
      <c r="B56" s="1" t="n">
        <v>45490.56811342593</v>
      </c>
      <c r="C56" s="1" t="n">
        <v>46103</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7801-2022</t>
        </is>
      </c>
      <c r="B57" s="1" t="n">
        <v>44608.4999537037</v>
      </c>
      <c r="C57" s="1" t="n">
        <v>46103</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33595-2025</t>
        </is>
      </c>
      <c r="B58" s="1" t="n">
        <v>45841.6012962963</v>
      </c>
      <c r="C58" s="1" t="n">
        <v>46103</v>
      </c>
      <c r="D58" t="inlineStr">
        <is>
          <t>ÖSTERGÖTLANDS LÄN</t>
        </is>
      </c>
      <c r="E58" t="inlineStr">
        <is>
          <t>KINDA</t>
        </is>
      </c>
      <c r="G58" t="n">
        <v>2.5</v>
      </c>
      <c r="H58" t="n">
        <v>1</v>
      </c>
      <c r="I58" t="n">
        <v>0</v>
      </c>
      <c r="J58" t="n">
        <v>0</v>
      </c>
      <c r="K58" t="n">
        <v>0</v>
      </c>
      <c r="L58" t="n">
        <v>0</v>
      </c>
      <c r="M58" t="n">
        <v>0</v>
      </c>
      <c r="N58" t="n">
        <v>0</v>
      </c>
      <c r="O58" t="n">
        <v>0</v>
      </c>
      <c r="P58" t="n">
        <v>0</v>
      </c>
      <c r="Q58" t="n">
        <v>1</v>
      </c>
      <c r="R58" s="2" t="inlineStr">
        <is>
          <t>Grönvit nattviol</t>
        </is>
      </c>
      <c r="S58">
        <f>HYPERLINK("https://klasma.github.io/Logging_0513/artfynd/A 33595-2025 artfynd.xlsx", "A 33595-2025")</f>
        <v/>
      </c>
      <c r="T58">
        <f>HYPERLINK("https://klasma.github.io/Logging_0513/kartor/A 33595-2025 karta.png", "A 33595-2025")</f>
        <v/>
      </c>
      <c r="V58">
        <f>HYPERLINK("https://klasma.github.io/Logging_0513/klagomål/A 33595-2025 FSC-klagomål.docx", "A 33595-2025")</f>
        <v/>
      </c>
      <c r="W58">
        <f>HYPERLINK("https://klasma.github.io/Logging_0513/klagomålsmail/A 33595-2025 FSC-klagomål mail.docx", "A 33595-2025")</f>
        <v/>
      </c>
      <c r="X58">
        <f>HYPERLINK("https://klasma.github.io/Logging_0513/tillsyn/A 33595-2025 tillsynsbegäran.docx", "A 33595-2025")</f>
        <v/>
      </c>
      <c r="Y58">
        <f>HYPERLINK("https://klasma.github.io/Logging_0513/tillsynsmail/A 33595-2025 tillsynsbegäran mail.docx", "A 33595-2025")</f>
        <v/>
      </c>
    </row>
    <row r="59" ht="15" customHeight="1">
      <c r="A59" t="inlineStr">
        <is>
          <t>A 24071-2025</t>
        </is>
      </c>
      <c r="B59" s="1" t="n">
        <v>45796.54400462963</v>
      </c>
      <c r="C59" s="1" t="n">
        <v>46103</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60958-2022</t>
        </is>
      </c>
      <c r="B60" s="1" t="n">
        <v>44914.64768518518</v>
      </c>
      <c r="C60" s="1" t="n">
        <v>46103</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57522-2024</t>
        </is>
      </c>
      <c r="B61" s="1" t="n">
        <v>45630.41168981481</v>
      </c>
      <c r="C61" s="1" t="n">
        <v>46103</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46103</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37058-2025</t>
        </is>
      </c>
      <c r="B63" s="1" t="n">
        <v>45875</v>
      </c>
      <c r="C63" s="1" t="n">
        <v>46103</v>
      </c>
      <c r="D63" t="inlineStr">
        <is>
          <t>ÖSTERGÖTLANDS LÄN</t>
        </is>
      </c>
      <c r="E63" t="inlineStr">
        <is>
          <t>KINDA</t>
        </is>
      </c>
      <c r="G63" t="n">
        <v>1.9</v>
      </c>
      <c r="H63" t="n">
        <v>0</v>
      </c>
      <c r="I63" t="n">
        <v>0</v>
      </c>
      <c r="J63" t="n">
        <v>1</v>
      </c>
      <c r="K63" t="n">
        <v>0</v>
      </c>
      <c r="L63" t="n">
        <v>0</v>
      </c>
      <c r="M63" t="n">
        <v>0</v>
      </c>
      <c r="N63" t="n">
        <v>0</v>
      </c>
      <c r="O63" t="n">
        <v>1</v>
      </c>
      <c r="P63" t="n">
        <v>0</v>
      </c>
      <c r="Q63" t="n">
        <v>1</v>
      </c>
      <c r="R63" s="2" t="inlineStr">
        <is>
          <t>Storgröe</t>
        </is>
      </c>
      <c r="S63">
        <f>HYPERLINK("https://klasma.github.io/Logging_0513/artfynd/A 37058-2025 artfynd.xlsx", "A 37058-2025")</f>
        <v/>
      </c>
      <c r="T63">
        <f>HYPERLINK("https://klasma.github.io/Logging_0513/kartor/A 37058-2025 karta.png", "A 37058-2025")</f>
        <v/>
      </c>
      <c r="V63">
        <f>HYPERLINK("https://klasma.github.io/Logging_0513/klagomål/A 37058-2025 FSC-klagomål.docx", "A 37058-2025")</f>
        <v/>
      </c>
      <c r="W63">
        <f>HYPERLINK("https://klasma.github.io/Logging_0513/klagomålsmail/A 37058-2025 FSC-klagomål mail.docx", "A 37058-2025")</f>
        <v/>
      </c>
      <c r="X63">
        <f>HYPERLINK("https://klasma.github.io/Logging_0513/tillsyn/A 37058-2025 tillsynsbegäran.docx", "A 37058-2025")</f>
        <v/>
      </c>
      <c r="Y63">
        <f>HYPERLINK("https://klasma.github.io/Logging_0513/tillsynsmail/A 37058-2025 tillsynsbegäran mail.docx", "A 37058-2025")</f>
        <v/>
      </c>
    </row>
    <row r="64" ht="15" customHeight="1">
      <c r="A64" t="inlineStr">
        <is>
          <t>A 3474-2023</t>
        </is>
      </c>
      <c r="B64" s="1" t="n">
        <v>44949</v>
      </c>
      <c r="C64" s="1" t="n">
        <v>46103</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3417-2025</t>
        </is>
      </c>
      <c r="B65" s="1" t="n">
        <v>45680.41096064815</v>
      </c>
      <c r="C65" s="1" t="n">
        <v>46103</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Svart trolldruva</t>
        </is>
      </c>
      <c r="S65">
        <f>HYPERLINK("https://klasma.github.io/Logging_0513/artfynd/A 3417-2025 artfynd.xlsx", "A 3417-2025")</f>
        <v/>
      </c>
      <c r="T65">
        <f>HYPERLINK("https://klasma.github.io/Logging_0513/kartor/A 3417-2025 karta.png", "A 3417-2025")</f>
        <v/>
      </c>
      <c r="V65">
        <f>HYPERLINK("https://klasma.github.io/Logging_0513/klagomål/A 3417-2025 FSC-klagomål.docx", "A 3417-2025")</f>
        <v/>
      </c>
      <c r="W65">
        <f>HYPERLINK("https://klasma.github.io/Logging_0513/klagomålsmail/A 3417-2025 FSC-klagomål mail.docx", "A 3417-2025")</f>
        <v/>
      </c>
      <c r="X65">
        <f>HYPERLINK("https://klasma.github.io/Logging_0513/tillsyn/A 3417-2025 tillsynsbegäran.docx", "A 3417-2025")</f>
        <v/>
      </c>
      <c r="Y65">
        <f>HYPERLINK("https://klasma.github.io/Logging_0513/tillsynsmail/A 3417-2025 tillsynsbegäran mail.docx", "A 3417-2025")</f>
        <v/>
      </c>
    </row>
    <row r="66" ht="15" customHeight="1">
      <c r="A66" t="inlineStr">
        <is>
          <t>A 48448-2021</t>
        </is>
      </c>
      <c r="B66" s="1" t="n">
        <v>44452</v>
      </c>
      <c r="C66" s="1" t="n">
        <v>46103</v>
      </c>
      <c r="D66" t="inlineStr">
        <is>
          <t>ÖSTERGÖTLANDS LÄN</t>
        </is>
      </c>
      <c r="E66" t="inlineStr">
        <is>
          <t>KINDA</t>
        </is>
      </c>
      <c r="F66" t="inlineStr">
        <is>
          <t>Övriga Aktiebolag</t>
        </is>
      </c>
      <c r="G66" t="n">
        <v>4.1</v>
      </c>
      <c r="H66" t="n">
        <v>1</v>
      </c>
      <c r="I66" t="n">
        <v>0</v>
      </c>
      <c r="J66" t="n">
        <v>1</v>
      </c>
      <c r="K66" t="n">
        <v>0</v>
      </c>
      <c r="L66" t="n">
        <v>0</v>
      </c>
      <c r="M66" t="n">
        <v>0</v>
      </c>
      <c r="N66" t="n">
        <v>0</v>
      </c>
      <c r="O66" t="n">
        <v>1</v>
      </c>
      <c r="P66" t="n">
        <v>0</v>
      </c>
      <c r="Q66" t="n">
        <v>1</v>
      </c>
      <c r="R66" s="2" t="inlineStr">
        <is>
          <t>Talltita</t>
        </is>
      </c>
      <c r="S66">
        <f>HYPERLINK("https://klasma.github.io/Logging_0513/artfynd/A 48448-2021 artfynd.xlsx", "A 48448-2021")</f>
        <v/>
      </c>
      <c r="T66">
        <f>HYPERLINK("https://klasma.github.io/Logging_0513/kartor/A 48448-2021 karta.png", "A 48448-2021")</f>
        <v/>
      </c>
      <c r="V66">
        <f>HYPERLINK("https://klasma.github.io/Logging_0513/klagomål/A 48448-2021 FSC-klagomål.docx", "A 48448-2021")</f>
        <v/>
      </c>
      <c r="W66">
        <f>HYPERLINK("https://klasma.github.io/Logging_0513/klagomålsmail/A 48448-2021 FSC-klagomål mail.docx", "A 48448-2021")</f>
        <v/>
      </c>
      <c r="X66">
        <f>HYPERLINK("https://klasma.github.io/Logging_0513/tillsyn/A 48448-2021 tillsynsbegäran.docx", "A 48448-2021")</f>
        <v/>
      </c>
      <c r="Y66">
        <f>HYPERLINK("https://klasma.github.io/Logging_0513/tillsynsmail/A 48448-2021 tillsynsbegäran mail.docx", "A 48448-2021")</f>
        <v/>
      </c>
      <c r="Z66">
        <f>HYPERLINK("https://klasma.github.io/Logging_0513/fåglar/A 48448-2021 prioriterade fågelarter.docx", "A 48448-2021")</f>
        <v/>
      </c>
    </row>
    <row r="67" ht="15" customHeight="1">
      <c r="A67" t="inlineStr">
        <is>
          <t>A 44552-2021</t>
        </is>
      </c>
      <c r="B67" s="1" t="n">
        <v>44435</v>
      </c>
      <c r="C67" s="1" t="n">
        <v>46103</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67789-2021</t>
        </is>
      </c>
      <c r="B68" s="1" t="n">
        <v>44525</v>
      </c>
      <c r="C68" s="1" t="n">
        <v>46103</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29509-2024</t>
        </is>
      </c>
      <c r="B69" s="1" t="n">
        <v>45484</v>
      </c>
      <c r="C69" s="1" t="n">
        <v>46103</v>
      </c>
      <c r="D69" t="inlineStr">
        <is>
          <t>ÖSTERGÖTLANDS LÄN</t>
        </is>
      </c>
      <c r="E69" t="inlineStr">
        <is>
          <t>KINDA</t>
        </is>
      </c>
      <c r="G69" t="n">
        <v>10.4</v>
      </c>
      <c r="H69" t="n">
        <v>0</v>
      </c>
      <c r="I69" t="n">
        <v>0</v>
      </c>
      <c r="J69" t="n">
        <v>1</v>
      </c>
      <c r="K69" t="n">
        <v>0</v>
      </c>
      <c r="L69" t="n">
        <v>0</v>
      </c>
      <c r="M69" t="n">
        <v>0</v>
      </c>
      <c r="N69" t="n">
        <v>0</v>
      </c>
      <c r="O69" t="n">
        <v>1</v>
      </c>
      <c r="P69" t="n">
        <v>0</v>
      </c>
      <c r="Q69" t="n">
        <v>1</v>
      </c>
      <c r="R69" s="2" t="inlineStr">
        <is>
          <t>Månlåsbräken</t>
        </is>
      </c>
      <c r="S69">
        <f>HYPERLINK("https://klasma.github.io/Logging_0513/artfynd/A 29509-2024 artfynd.xlsx", "A 29509-2024")</f>
        <v/>
      </c>
      <c r="T69">
        <f>HYPERLINK("https://klasma.github.io/Logging_0513/kartor/A 29509-2024 karta.png", "A 29509-2024")</f>
        <v/>
      </c>
      <c r="V69">
        <f>HYPERLINK("https://klasma.github.io/Logging_0513/klagomål/A 29509-2024 FSC-klagomål.docx", "A 29509-2024")</f>
        <v/>
      </c>
      <c r="W69">
        <f>HYPERLINK("https://klasma.github.io/Logging_0513/klagomålsmail/A 29509-2024 FSC-klagomål mail.docx", "A 29509-2024")</f>
        <v/>
      </c>
      <c r="X69">
        <f>HYPERLINK("https://klasma.github.io/Logging_0513/tillsyn/A 29509-2024 tillsynsbegäran.docx", "A 29509-2024")</f>
        <v/>
      </c>
      <c r="Y69">
        <f>HYPERLINK("https://klasma.github.io/Logging_0513/tillsynsmail/A 29509-2024 tillsynsbegäran mail.docx", "A 29509-2024")</f>
        <v/>
      </c>
    </row>
    <row r="70" ht="15" customHeight="1">
      <c r="A70" t="inlineStr">
        <is>
          <t>A 54872-2022</t>
        </is>
      </c>
      <c r="B70" s="1" t="n">
        <v>44886</v>
      </c>
      <c r="C70" s="1" t="n">
        <v>46103</v>
      </c>
      <c r="D70" t="inlineStr">
        <is>
          <t>ÖSTERGÖTLANDS LÄN</t>
        </is>
      </c>
      <c r="E70" t="inlineStr">
        <is>
          <t>KINDA</t>
        </is>
      </c>
      <c r="G70" t="n">
        <v>1.1</v>
      </c>
      <c r="H70" t="n">
        <v>1</v>
      </c>
      <c r="I70" t="n">
        <v>0</v>
      </c>
      <c r="J70" t="n">
        <v>0</v>
      </c>
      <c r="K70" t="n">
        <v>0</v>
      </c>
      <c r="L70" t="n">
        <v>0</v>
      </c>
      <c r="M70" t="n">
        <v>0</v>
      </c>
      <c r="N70" t="n">
        <v>0</v>
      </c>
      <c r="O70" t="n">
        <v>0</v>
      </c>
      <c r="P70" t="n">
        <v>0</v>
      </c>
      <c r="Q70" t="n">
        <v>1</v>
      </c>
      <c r="R70" s="2" t="inlineStr">
        <is>
          <t>Tjäder</t>
        </is>
      </c>
      <c r="S70">
        <f>HYPERLINK("https://klasma.github.io/Logging_0513/artfynd/A 54872-2022 artfynd.xlsx", "A 54872-2022")</f>
        <v/>
      </c>
      <c r="T70">
        <f>HYPERLINK("https://klasma.github.io/Logging_0513/kartor/A 54872-2022 karta.png", "A 54872-2022")</f>
        <v/>
      </c>
      <c r="V70">
        <f>HYPERLINK("https://klasma.github.io/Logging_0513/klagomål/A 54872-2022 FSC-klagomål.docx", "A 54872-2022")</f>
        <v/>
      </c>
      <c r="W70">
        <f>HYPERLINK("https://klasma.github.io/Logging_0513/klagomålsmail/A 54872-2022 FSC-klagomål mail.docx", "A 54872-2022")</f>
        <v/>
      </c>
      <c r="X70">
        <f>HYPERLINK("https://klasma.github.io/Logging_0513/tillsyn/A 54872-2022 tillsynsbegäran.docx", "A 54872-2022")</f>
        <v/>
      </c>
      <c r="Y70">
        <f>HYPERLINK("https://klasma.github.io/Logging_0513/tillsynsmail/A 54872-2022 tillsynsbegäran mail.docx", "A 54872-2022")</f>
        <v/>
      </c>
      <c r="Z70">
        <f>HYPERLINK("https://klasma.github.io/Logging_0513/fåglar/A 54872-2022 prioriterade fågelarter.docx", "A 54872-2022")</f>
        <v/>
      </c>
    </row>
    <row r="71" ht="15" customHeight="1">
      <c r="A71" t="inlineStr">
        <is>
          <t>A 40463-2021</t>
        </is>
      </c>
      <c r="B71" s="1" t="n">
        <v>44419</v>
      </c>
      <c r="C71" s="1" t="n">
        <v>46103</v>
      </c>
      <c r="D71" t="inlineStr">
        <is>
          <t>ÖSTERGÖTLANDS LÄN</t>
        </is>
      </c>
      <c r="E71" t="inlineStr">
        <is>
          <t>KINDA</t>
        </is>
      </c>
      <c r="G71" t="n">
        <v>11.5</v>
      </c>
      <c r="H71" t="n">
        <v>0</v>
      </c>
      <c r="I71" t="n">
        <v>1</v>
      </c>
      <c r="J71" t="n">
        <v>0</v>
      </c>
      <c r="K71" t="n">
        <v>0</v>
      </c>
      <c r="L71" t="n">
        <v>0</v>
      </c>
      <c r="M71" t="n">
        <v>0</v>
      </c>
      <c r="N71" t="n">
        <v>0</v>
      </c>
      <c r="O71" t="n">
        <v>0</v>
      </c>
      <c r="P71" t="n">
        <v>0</v>
      </c>
      <c r="Q71" t="n">
        <v>1</v>
      </c>
      <c r="R71" s="2" t="inlineStr">
        <is>
          <t>Fjällig taggsvamp s.str.</t>
        </is>
      </c>
      <c r="S71">
        <f>HYPERLINK("https://klasma.github.io/Logging_0513/artfynd/A 40463-2021 artfynd.xlsx", "A 40463-2021")</f>
        <v/>
      </c>
      <c r="T71">
        <f>HYPERLINK("https://klasma.github.io/Logging_0513/kartor/A 40463-2021 karta.png", "A 40463-2021")</f>
        <v/>
      </c>
      <c r="V71">
        <f>HYPERLINK("https://klasma.github.io/Logging_0513/klagomål/A 40463-2021 FSC-klagomål.docx", "A 40463-2021")</f>
        <v/>
      </c>
      <c r="W71">
        <f>HYPERLINK("https://klasma.github.io/Logging_0513/klagomålsmail/A 40463-2021 FSC-klagomål mail.docx", "A 40463-2021")</f>
        <v/>
      </c>
      <c r="X71">
        <f>HYPERLINK("https://klasma.github.io/Logging_0513/tillsyn/A 40463-2021 tillsynsbegäran.docx", "A 40463-2021")</f>
        <v/>
      </c>
      <c r="Y71">
        <f>HYPERLINK("https://klasma.github.io/Logging_0513/tillsynsmail/A 40463-2021 tillsynsbegäran mail.docx", "A 40463-2021")</f>
        <v/>
      </c>
    </row>
    <row r="72" ht="15" customHeight="1">
      <c r="A72" t="inlineStr">
        <is>
          <t>A 36789-2022</t>
        </is>
      </c>
      <c r="B72" s="1" t="n">
        <v>44805</v>
      </c>
      <c r="C72" s="1" t="n">
        <v>46103</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46103</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46103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46103</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46103</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46103</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40051-2021</t>
        </is>
      </c>
      <c r="B78" s="1" t="n">
        <v>44418</v>
      </c>
      <c r="C78" s="1" t="n">
        <v>46103</v>
      </c>
      <c r="D78" t="inlineStr">
        <is>
          <t>ÖSTERGÖTLANDS LÄN</t>
        </is>
      </c>
      <c r="E78" t="inlineStr">
        <is>
          <t>KINDA</t>
        </is>
      </c>
      <c r="G78" t="n">
        <v>1.2</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46103</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46103</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46103</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46103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47168-2022</t>
        </is>
      </c>
      <c r="B83" s="1" t="n">
        <v>44852.60928240741</v>
      </c>
      <c r="C83" s="1" t="n">
        <v>46103</v>
      </c>
      <c r="D83" t="inlineStr">
        <is>
          <t>ÖSTERGÖTLANDS LÄN</t>
        </is>
      </c>
      <c r="E83" t="inlineStr">
        <is>
          <t>KINDA</t>
        </is>
      </c>
      <c r="G83" t="n">
        <v>1.7</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46103</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46103</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46103</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46103</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46103</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46103</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46103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46103</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46103</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46103</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46103</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46103</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46103</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46103</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46103</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46103</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46103</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46103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46103</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46103</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46103</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46103</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46103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46103</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46103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46103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46103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46103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46103</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46103</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46103</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46103</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46103</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46103</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46103</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46103</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46103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46103</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46103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46103</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46103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46103</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46103</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46103</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46103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46103</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46103</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46103</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46103</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46103</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46103</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46103</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46103</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46103</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46103</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46103</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46103</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46103</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46103</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46103</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46103</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46103</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46103</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46103</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46103</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46103</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46103</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46103</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46103</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46103</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46103</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46103</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46103</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45369.62628472222</v>
      </c>
      <c r="C157" s="1" t="n">
        <v>46103</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20083-2021</t>
        </is>
      </c>
      <c r="B158" s="1" t="n">
        <v>44314</v>
      </c>
      <c r="C158" s="1" t="n">
        <v>46103</v>
      </c>
      <c r="D158" t="inlineStr">
        <is>
          <t>ÖSTERGÖTLANDS LÄN</t>
        </is>
      </c>
      <c r="E158" t="inlineStr">
        <is>
          <t>KINDA</t>
        </is>
      </c>
      <c r="G158" t="n">
        <v>2.7</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46103</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12269-2023</t>
        </is>
      </c>
      <c r="B160" s="1" t="n">
        <v>44998</v>
      </c>
      <c r="C160" s="1" t="n">
        <v>46103</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57767-2022</t>
        </is>
      </c>
      <c r="B161" s="1" t="n">
        <v>44897.60309027778</v>
      </c>
      <c r="C161" s="1" t="n">
        <v>46103</v>
      </c>
      <c r="D161" t="inlineStr">
        <is>
          <t>ÖSTERGÖTLANDS LÄN</t>
        </is>
      </c>
      <c r="E161" t="inlineStr">
        <is>
          <t>KINDA</t>
        </is>
      </c>
      <c r="G161" t="n">
        <v>6</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46103</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46103</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23897-2023</t>
        </is>
      </c>
      <c r="B164" s="1" t="n">
        <v>45078</v>
      </c>
      <c r="C164" s="1" t="n">
        <v>46103</v>
      </c>
      <c r="D164" t="inlineStr">
        <is>
          <t>ÖSTERGÖTLANDS LÄN</t>
        </is>
      </c>
      <c r="E164" t="inlineStr">
        <is>
          <t>KINDA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46103</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46103</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46103</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49881-2021</t>
        </is>
      </c>
      <c r="B168" s="1" t="n">
        <v>44455.68322916667</v>
      </c>
      <c r="C168" s="1" t="n">
        <v>46103</v>
      </c>
      <c r="D168" t="inlineStr">
        <is>
          <t>ÖSTERGÖTLANDS LÄN</t>
        </is>
      </c>
      <c r="E168" t="inlineStr">
        <is>
          <t>KINDA</t>
        </is>
      </c>
      <c r="G168" t="n">
        <v>3.2</v>
      </c>
      <c r="H168" t="n">
        <v>0</v>
      </c>
      <c r="I168" t="n">
        <v>0</v>
      </c>
      <c r="J168" t="n">
        <v>0</v>
      </c>
      <c r="K168" t="n">
        <v>0</v>
      </c>
      <c r="L168" t="n">
        <v>0</v>
      </c>
      <c r="M168" t="n">
        <v>0</v>
      </c>
      <c r="N168" t="n">
        <v>0</v>
      </c>
      <c r="O168" t="n">
        <v>0</v>
      </c>
      <c r="P168" t="n">
        <v>0</v>
      </c>
      <c r="Q168" t="n">
        <v>0</v>
      </c>
      <c r="R168" s="2" t="inlineStr"/>
    </row>
    <row r="169" ht="15" customHeight="1">
      <c r="A169" t="inlineStr">
        <is>
          <t>A 29726-2022</t>
        </is>
      </c>
      <c r="B169" s="1" t="n">
        <v>44755.45060185185</v>
      </c>
      <c r="C169" s="1" t="n">
        <v>46103</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41331-2023</t>
        </is>
      </c>
      <c r="B170" s="1" t="n">
        <v>45174</v>
      </c>
      <c r="C170" s="1" t="n">
        <v>46103</v>
      </c>
      <c r="D170" t="inlineStr">
        <is>
          <t>ÖSTERGÖTLANDS LÄN</t>
        </is>
      </c>
      <c r="E170" t="inlineStr">
        <is>
          <t>KINDA</t>
        </is>
      </c>
      <c r="G170" t="n">
        <v>3.1</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46103</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46103</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46103</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46103</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8088-2024</t>
        </is>
      </c>
      <c r="B175" s="1" t="n">
        <v>45351</v>
      </c>
      <c r="C175" s="1" t="n">
        <v>46103</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46103</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46103</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8501-2024</t>
        </is>
      </c>
      <c r="B178" s="1" t="n">
        <v>45355.45898148148</v>
      </c>
      <c r="C178" s="1" t="n">
        <v>46103</v>
      </c>
      <c r="D178" t="inlineStr">
        <is>
          <t>ÖSTERGÖTLANDS LÄN</t>
        </is>
      </c>
      <c r="E178" t="inlineStr">
        <is>
          <t>KINDA</t>
        </is>
      </c>
      <c r="F178" t="inlineStr">
        <is>
          <t>Övriga Aktiebolag</t>
        </is>
      </c>
      <c r="G178" t="n">
        <v>10.3</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46103</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46103</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46103</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46103</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46103</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46103</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44278-2022</t>
        </is>
      </c>
      <c r="B185" s="1" t="n">
        <v>44839.58741898148</v>
      </c>
      <c r="C185" s="1" t="n">
        <v>46103</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46103</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46103</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46103</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46103</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46103</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17047-2025</t>
        </is>
      </c>
      <c r="B191" s="1" t="n">
        <v>45755.59559027778</v>
      </c>
      <c r="C191" s="1" t="n">
        <v>46103</v>
      </c>
      <c r="D191" t="inlineStr">
        <is>
          <t>ÖSTERGÖTLANDS LÄN</t>
        </is>
      </c>
      <c r="E191" t="inlineStr">
        <is>
          <t>KINDA</t>
        </is>
      </c>
      <c r="G191" t="n">
        <v>2.4</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46103</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58289-2024</t>
        </is>
      </c>
      <c r="B193" s="1" t="n">
        <v>45632.59153935185</v>
      </c>
      <c r="C193" s="1" t="n">
        <v>46103</v>
      </c>
      <c r="D193" t="inlineStr">
        <is>
          <t>ÖSTERGÖTLANDS LÄN</t>
        </is>
      </c>
      <c r="E193" t="inlineStr">
        <is>
          <t>KINDA</t>
        </is>
      </c>
      <c r="G193" t="n">
        <v>4.4</v>
      </c>
      <c r="H193" t="n">
        <v>0</v>
      </c>
      <c r="I193" t="n">
        <v>0</v>
      </c>
      <c r="J193" t="n">
        <v>0</v>
      </c>
      <c r="K193" t="n">
        <v>0</v>
      </c>
      <c r="L193" t="n">
        <v>0</v>
      </c>
      <c r="M193" t="n">
        <v>0</v>
      </c>
      <c r="N193" t="n">
        <v>0</v>
      </c>
      <c r="O193" t="n">
        <v>0</v>
      </c>
      <c r="P193" t="n">
        <v>0</v>
      </c>
      <c r="Q193" t="n">
        <v>0</v>
      </c>
      <c r="R193" s="2" t="inlineStr"/>
    </row>
    <row r="194" ht="15" customHeight="1">
      <c r="A194" t="inlineStr">
        <is>
          <t>A 55531-2025</t>
        </is>
      </c>
      <c r="B194" s="1" t="n">
        <v>45971.62304398148</v>
      </c>
      <c r="C194" s="1" t="n">
        <v>46103</v>
      </c>
      <c r="D194" t="inlineStr">
        <is>
          <t>ÖSTERGÖTLANDS LÄN</t>
        </is>
      </c>
      <c r="E194" t="inlineStr">
        <is>
          <t>KINDA</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22804-2025</t>
        </is>
      </c>
      <c r="B195" s="1" t="n">
        <v>45789.67196759259</v>
      </c>
      <c r="C195" s="1" t="n">
        <v>46103</v>
      </c>
      <c r="D195" t="inlineStr">
        <is>
          <t>ÖSTERGÖTLANDS LÄN</t>
        </is>
      </c>
      <c r="E195" t="inlineStr">
        <is>
          <t>KINDA</t>
        </is>
      </c>
      <c r="G195" t="n">
        <v>2.5</v>
      </c>
      <c r="H195" t="n">
        <v>0</v>
      </c>
      <c r="I195" t="n">
        <v>0</v>
      </c>
      <c r="J195" t="n">
        <v>0</v>
      </c>
      <c r="K195" t="n">
        <v>0</v>
      </c>
      <c r="L195" t="n">
        <v>0</v>
      </c>
      <c r="M195" t="n">
        <v>0</v>
      </c>
      <c r="N195" t="n">
        <v>0</v>
      </c>
      <c r="O195" t="n">
        <v>0</v>
      </c>
      <c r="P195" t="n">
        <v>0</v>
      </c>
      <c r="Q195" t="n">
        <v>0</v>
      </c>
      <c r="R195" s="2" t="inlineStr"/>
    </row>
    <row r="196" ht="15" customHeight="1">
      <c r="A196" t="inlineStr">
        <is>
          <t>A 650-2023</t>
        </is>
      </c>
      <c r="B196" s="1" t="n">
        <v>44930.64962962963</v>
      </c>
      <c r="C196" s="1" t="n">
        <v>46103</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22806-2025</t>
        </is>
      </c>
      <c r="B197" s="1" t="n">
        <v>45789.67461805556</v>
      </c>
      <c r="C197" s="1" t="n">
        <v>46103</v>
      </c>
      <c r="D197" t="inlineStr">
        <is>
          <t>ÖSTERGÖTLANDS LÄN</t>
        </is>
      </c>
      <c r="E197" t="inlineStr">
        <is>
          <t>KINDA</t>
        </is>
      </c>
      <c r="G197" t="n">
        <v>6.8</v>
      </c>
      <c r="H197" t="n">
        <v>0</v>
      </c>
      <c r="I197" t="n">
        <v>0</v>
      </c>
      <c r="J197" t="n">
        <v>0</v>
      </c>
      <c r="K197" t="n">
        <v>0</v>
      </c>
      <c r="L197" t="n">
        <v>0</v>
      </c>
      <c r="M197" t="n">
        <v>0</v>
      </c>
      <c r="N197" t="n">
        <v>0</v>
      </c>
      <c r="O197" t="n">
        <v>0</v>
      </c>
      <c r="P197" t="n">
        <v>0</v>
      </c>
      <c r="Q197" t="n">
        <v>0</v>
      </c>
      <c r="R197" s="2" t="inlineStr"/>
    </row>
    <row r="198" ht="15" customHeight="1">
      <c r="A198" t="inlineStr">
        <is>
          <t>A 55511-2025</t>
        </is>
      </c>
      <c r="B198" s="1" t="n">
        <v>45971.60042824074</v>
      </c>
      <c r="C198" s="1" t="n">
        <v>46103</v>
      </c>
      <c r="D198" t="inlineStr">
        <is>
          <t>ÖSTERGÖTLANDS LÄN</t>
        </is>
      </c>
      <c r="E198" t="inlineStr">
        <is>
          <t>KINDA</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10621-2023</t>
        </is>
      </c>
      <c r="B199" s="1" t="n">
        <v>44988</v>
      </c>
      <c r="C199" s="1" t="n">
        <v>46103</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56007-2025</t>
        </is>
      </c>
      <c r="B200" s="1" t="n">
        <v>45973</v>
      </c>
      <c r="C200" s="1" t="n">
        <v>46103</v>
      </c>
      <c r="D200" t="inlineStr">
        <is>
          <t>ÖSTERGÖTLANDS LÄN</t>
        </is>
      </c>
      <c r="E200" t="inlineStr">
        <is>
          <t>KINDA</t>
        </is>
      </c>
      <c r="G200" t="n">
        <v>1.2</v>
      </c>
      <c r="H200" t="n">
        <v>0</v>
      </c>
      <c r="I200" t="n">
        <v>0</v>
      </c>
      <c r="J200" t="n">
        <v>0</v>
      </c>
      <c r="K200" t="n">
        <v>0</v>
      </c>
      <c r="L200" t="n">
        <v>0</v>
      </c>
      <c r="M200" t="n">
        <v>0</v>
      </c>
      <c r="N200" t="n">
        <v>0</v>
      </c>
      <c r="O200" t="n">
        <v>0</v>
      </c>
      <c r="P200" t="n">
        <v>0</v>
      </c>
      <c r="Q200" t="n">
        <v>0</v>
      </c>
      <c r="R200" s="2" t="inlineStr"/>
    </row>
    <row r="201" ht="15" customHeight="1">
      <c r="A201" t="inlineStr">
        <is>
          <t>A 27841-2024</t>
        </is>
      </c>
      <c r="B201" s="1" t="n">
        <v>45475.62894675926</v>
      </c>
      <c r="C201" s="1" t="n">
        <v>46103</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9615-2024</t>
        </is>
      </c>
      <c r="B202" s="1" t="n">
        <v>45361.75074074074</v>
      </c>
      <c r="C202" s="1" t="n">
        <v>46103</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35789-2022</t>
        </is>
      </c>
      <c r="B203" s="1" t="n">
        <v>44801</v>
      </c>
      <c r="C203" s="1" t="n">
        <v>46103</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22473-2025</t>
        </is>
      </c>
      <c r="B204" s="1" t="n">
        <v>45786.62056712963</v>
      </c>
      <c r="C204" s="1" t="n">
        <v>46103</v>
      </c>
      <c r="D204" t="inlineStr">
        <is>
          <t>ÖSTERGÖTLANDS LÄN</t>
        </is>
      </c>
      <c r="E204" t="inlineStr">
        <is>
          <t>KINDA</t>
        </is>
      </c>
      <c r="G204" t="n">
        <v>3.1</v>
      </c>
      <c r="H204" t="n">
        <v>0</v>
      </c>
      <c r="I204" t="n">
        <v>0</v>
      </c>
      <c r="J204" t="n">
        <v>0</v>
      </c>
      <c r="K204" t="n">
        <v>0</v>
      </c>
      <c r="L204" t="n">
        <v>0</v>
      </c>
      <c r="M204" t="n">
        <v>0</v>
      </c>
      <c r="N204" t="n">
        <v>0</v>
      </c>
      <c r="O204" t="n">
        <v>0</v>
      </c>
      <c r="P204" t="n">
        <v>0</v>
      </c>
      <c r="Q204" t="n">
        <v>0</v>
      </c>
      <c r="R204" s="2" t="inlineStr"/>
    </row>
    <row r="205" ht="15" customHeight="1">
      <c r="A205" t="inlineStr">
        <is>
          <t>A 56003-2025</t>
        </is>
      </c>
      <c r="B205" s="1" t="n">
        <v>45973</v>
      </c>
      <c r="C205" s="1" t="n">
        <v>46103</v>
      </c>
      <c r="D205" t="inlineStr">
        <is>
          <t>ÖSTERGÖTLANDS LÄN</t>
        </is>
      </c>
      <c r="E205" t="inlineStr">
        <is>
          <t>KINDA</t>
        </is>
      </c>
      <c r="G205" t="n">
        <v>1.4</v>
      </c>
      <c r="H205" t="n">
        <v>0</v>
      </c>
      <c r="I205" t="n">
        <v>0</v>
      </c>
      <c r="J205" t="n">
        <v>0</v>
      </c>
      <c r="K205" t="n">
        <v>0</v>
      </c>
      <c r="L205" t="n">
        <v>0</v>
      </c>
      <c r="M205" t="n">
        <v>0</v>
      </c>
      <c r="N205" t="n">
        <v>0</v>
      </c>
      <c r="O205" t="n">
        <v>0</v>
      </c>
      <c r="P205" t="n">
        <v>0</v>
      </c>
      <c r="Q205" t="n">
        <v>0</v>
      </c>
      <c r="R205" s="2" t="inlineStr"/>
    </row>
    <row r="206" ht="15" customHeight="1">
      <c r="A206" t="inlineStr">
        <is>
          <t>A 56006-2025</t>
        </is>
      </c>
      <c r="B206" s="1" t="n">
        <v>45973</v>
      </c>
      <c r="C206" s="1" t="n">
        <v>46103</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32781-2021</t>
        </is>
      </c>
      <c r="B207" s="1" t="n">
        <v>44375</v>
      </c>
      <c r="C207" s="1" t="n">
        <v>46103</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c r="U207">
        <f>HYPERLINK("https://klasma.github.io/Logging_0513/knärot/A 32781-2021 karta knärot.png", "A 32781-2021")</f>
        <v/>
      </c>
      <c r="V207">
        <f>HYPERLINK("https://klasma.github.io/Logging_0513/klagomål/A 32781-2021 FSC-klagomål.docx", "A 32781-2021")</f>
        <v/>
      </c>
      <c r="W207">
        <f>HYPERLINK("https://klasma.github.io/Logging_0513/klagomålsmail/A 32781-2021 FSC-klagomål mail.docx", "A 32781-2021")</f>
        <v/>
      </c>
      <c r="X207">
        <f>HYPERLINK("https://klasma.github.io/Logging_0513/tillsyn/A 32781-2021 tillsynsbegäran.docx", "A 32781-2021")</f>
        <v/>
      </c>
      <c r="Y207">
        <f>HYPERLINK("https://klasma.github.io/Logging_0513/tillsynsmail/A 32781-2021 tillsynsbegäran mail.docx", "A 32781-2021")</f>
        <v/>
      </c>
    </row>
    <row r="208" ht="15" customHeight="1">
      <c r="A208" t="inlineStr">
        <is>
          <t>A 35947-2023</t>
        </is>
      </c>
      <c r="B208" s="1" t="n">
        <v>45148.70342592592</v>
      </c>
      <c r="C208" s="1" t="n">
        <v>46103</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55800-2025</t>
        </is>
      </c>
      <c r="B209" s="1" t="n">
        <v>45972</v>
      </c>
      <c r="C209" s="1" t="n">
        <v>46103</v>
      </c>
      <c r="D209" t="inlineStr">
        <is>
          <t>ÖSTERGÖTLANDS LÄN</t>
        </is>
      </c>
      <c r="E209" t="inlineStr">
        <is>
          <t>KINDA</t>
        </is>
      </c>
      <c r="G209" t="n">
        <v>1.2</v>
      </c>
      <c r="H209" t="n">
        <v>0</v>
      </c>
      <c r="I209" t="n">
        <v>0</v>
      </c>
      <c r="J209" t="n">
        <v>0</v>
      </c>
      <c r="K209" t="n">
        <v>0</v>
      </c>
      <c r="L209" t="n">
        <v>0</v>
      </c>
      <c r="M209" t="n">
        <v>0</v>
      </c>
      <c r="N209" t="n">
        <v>0</v>
      </c>
      <c r="O209" t="n">
        <v>0</v>
      </c>
      <c r="P209" t="n">
        <v>0</v>
      </c>
      <c r="Q209" t="n">
        <v>0</v>
      </c>
      <c r="R209" s="2" t="inlineStr"/>
    </row>
    <row r="210" ht="15" customHeight="1">
      <c r="A210" t="inlineStr">
        <is>
          <t>A 17046-2025</t>
        </is>
      </c>
      <c r="B210" s="1" t="n">
        <v>45755.59457175926</v>
      </c>
      <c r="C210" s="1" t="n">
        <v>46103</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34661-2024</t>
        </is>
      </c>
      <c r="B211" s="1" t="n">
        <v>45526</v>
      </c>
      <c r="C211" s="1" t="n">
        <v>46103</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767-2025</t>
        </is>
      </c>
      <c r="B212" s="1" t="n">
        <v>45665.45471064815</v>
      </c>
      <c r="C212" s="1" t="n">
        <v>46103</v>
      </c>
      <c r="D212" t="inlineStr">
        <is>
          <t>ÖSTERGÖTLANDS LÄN</t>
        </is>
      </c>
      <c r="E212" t="inlineStr">
        <is>
          <t>KINDA</t>
        </is>
      </c>
      <c r="G212" t="n">
        <v>5</v>
      </c>
      <c r="H212" t="n">
        <v>0</v>
      </c>
      <c r="I212" t="n">
        <v>0</v>
      </c>
      <c r="J212" t="n">
        <v>0</v>
      </c>
      <c r="K212" t="n">
        <v>0</v>
      </c>
      <c r="L212" t="n">
        <v>0</v>
      </c>
      <c r="M212" t="n">
        <v>0</v>
      </c>
      <c r="N212" t="n">
        <v>0</v>
      </c>
      <c r="O212" t="n">
        <v>0</v>
      </c>
      <c r="P212" t="n">
        <v>0</v>
      </c>
      <c r="Q212" t="n">
        <v>0</v>
      </c>
      <c r="R212" s="2" t="inlineStr"/>
    </row>
    <row r="213" ht="15" customHeight="1">
      <c r="A213" t="inlineStr">
        <is>
          <t>A 2967-2024</t>
        </is>
      </c>
      <c r="B213" s="1" t="n">
        <v>45315.66689814815</v>
      </c>
      <c r="C213" s="1" t="n">
        <v>46103</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56710-2025</t>
        </is>
      </c>
      <c r="B214" s="1" t="n">
        <v>45977.81061342593</v>
      </c>
      <c r="C214" s="1" t="n">
        <v>46103</v>
      </c>
      <c r="D214" t="inlineStr">
        <is>
          <t>ÖSTERGÖTLANDS LÄN</t>
        </is>
      </c>
      <c r="E214" t="inlineStr">
        <is>
          <t>KINDA</t>
        </is>
      </c>
      <c r="G214" t="n">
        <v>4.8</v>
      </c>
      <c r="H214" t="n">
        <v>0</v>
      </c>
      <c r="I214" t="n">
        <v>0</v>
      </c>
      <c r="J214" t="n">
        <v>0</v>
      </c>
      <c r="K214" t="n">
        <v>0</v>
      </c>
      <c r="L214" t="n">
        <v>0</v>
      </c>
      <c r="M214" t="n">
        <v>0</v>
      </c>
      <c r="N214" t="n">
        <v>0</v>
      </c>
      <c r="O214" t="n">
        <v>0</v>
      </c>
      <c r="P214" t="n">
        <v>0</v>
      </c>
      <c r="Q214" t="n">
        <v>0</v>
      </c>
      <c r="R214" s="2" t="inlineStr"/>
    </row>
    <row r="215" ht="15" customHeight="1">
      <c r="A215" t="inlineStr">
        <is>
          <t>A 57165-2025</t>
        </is>
      </c>
      <c r="B215" s="1" t="n">
        <v>45978</v>
      </c>
      <c r="C215" s="1" t="n">
        <v>46103</v>
      </c>
      <c r="D215" t="inlineStr">
        <is>
          <t>ÖSTERGÖTLANDS LÄN</t>
        </is>
      </c>
      <c r="E215" t="inlineStr">
        <is>
          <t>KINDA</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8064-2024</t>
        </is>
      </c>
      <c r="B216" s="1" t="n">
        <v>45351.40523148148</v>
      </c>
      <c r="C216" s="1" t="n">
        <v>46103</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46103</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28316-2023</t>
        </is>
      </c>
      <c r="B218" s="1" t="n">
        <v>45098</v>
      </c>
      <c r="C218" s="1" t="n">
        <v>46103</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row>
    <row r="219" ht="15" customHeight="1">
      <c r="A219" t="inlineStr">
        <is>
          <t>A 4001-2025</t>
        </is>
      </c>
      <c r="B219" s="1" t="n">
        <v>45684.57195601852</v>
      </c>
      <c r="C219" s="1" t="n">
        <v>46103</v>
      </c>
      <c r="D219" t="inlineStr">
        <is>
          <t>ÖSTERGÖTLANDS LÄN</t>
        </is>
      </c>
      <c r="E219" t="inlineStr">
        <is>
          <t>KINDA</t>
        </is>
      </c>
      <c r="G219" t="n">
        <v>10.7</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46103</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58737-2024</t>
        </is>
      </c>
      <c r="B221" s="1" t="n">
        <v>45635.68952546296</v>
      </c>
      <c r="C221" s="1" t="n">
        <v>46103</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22029-2025</t>
        </is>
      </c>
      <c r="B222" s="1" t="n">
        <v>45785.24804398148</v>
      </c>
      <c r="C222" s="1" t="n">
        <v>46103</v>
      </c>
      <c r="D222" t="inlineStr">
        <is>
          <t>ÖSTERGÖTLANDS LÄN</t>
        </is>
      </c>
      <c r="E222" t="inlineStr">
        <is>
          <t>KINDA</t>
        </is>
      </c>
      <c r="G222" t="n">
        <v>5.2</v>
      </c>
      <c r="H222" t="n">
        <v>0</v>
      </c>
      <c r="I222" t="n">
        <v>0</v>
      </c>
      <c r="J222" t="n">
        <v>0</v>
      </c>
      <c r="K222" t="n">
        <v>0</v>
      </c>
      <c r="L222" t="n">
        <v>0</v>
      </c>
      <c r="M222" t="n">
        <v>0</v>
      </c>
      <c r="N222" t="n">
        <v>0</v>
      </c>
      <c r="O222" t="n">
        <v>0</v>
      </c>
      <c r="P222" t="n">
        <v>0</v>
      </c>
      <c r="Q222" t="n">
        <v>0</v>
      </c>
      <c r="R222" s="2" t="inlineStr"/>
    </row>
    <row r="223" ht="15" customHeight="1">
      <c r="A223" t="inlineStr">
        <is>
          <t>A 39090-2025</t>
        </is>
      </c>
      <c r="B223" s="1" t="n">
        <v>45888.49229166667</v>
      </c>
      <c r="C223" s="1" t="n">
        <v>46103</v>
      </c>
      <c r="D223" t="inlineStr">
        <is>
          <t>ÖSTERGÖTLANDS LÄN</t>
        </is>
      </c>
      <c r="E223" t="inlineStr">
        <is>
          <t>KINDA</t>
        </is>
      </c>
      <c r="G223" t="n">
        <v>5.4</v>
      </c>
      <c r="H223" t="n">
        <v>0</v>
      </c>
      <c r="I223" t="n">
        <v>0</v>
      </c>
      <c r="J223" t="n">
        <v>0</v>
      </c>
      <c r="K223" t="n">
        <v>0</v>
      </c>
      <c r="L223" t="n">
        <v>0</v>
      </c>
      <c r="M223" t="n">
        <v>0</v>
      </c>
      <c r="N223" t="n">
        <v>0</v>
      </c>
      <c r="O223" t="n">
        <v>0</v>
      </c>
      <c r="P223" t="n">
        <v>0</v>
      </c>
      <c r="Q223" t="n">
        <v>0</v>
      </c>
      <c r="R223" s="2" t="inlineStr"/>
    </row>
    <row r="224" ht="15" customHeight="1">
      <c r="A224" t="inlineStr">
        <is>
          <t>A 39099-2025</t>
        </is>
      </c>
      <c r="B224" s="1" t="n">
        <v>45888</v>
      </c>
      <c r="C224" s="1" t="n">
        <v>46103</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36005-2024</t>
        </is>
      </c>
      <c r="B225" s="1" t="n">
        <v>45533.54908564815</v>
      </c>
      <c r="C225" s="1" t="n">
        <v>46103</v>
      </c>
      <c r="D225" t="inlineStr">
        <is>
          <t>ÖSTERGÖTLANDS LÄN</t>
        </is>
      </c>
      <c r="E225" t="inlineStr">
        <is>
          <t>KINDA</t>
        </is>
      </c>
      <c r="G225" t="n">
        <v>1.8</v>
      </c>
      <c r="H225" t="n">
        <v>0</v>
      </c>
      <c r="I225" t="n">
        <v>0</v>
      </c>
      <c r="J225" t="n">
        <v>0</v>
      </c>
      <c r="K225" t="n">
        <v>0</v>
      </c>
      <c r="L225" t="n">
        <v>0</v>
      </c>
      <c r="M225" t="n">
        <v>0</v>
      </c>
      <c r="N225" t="n">
        <v>0</v>
      </c>
      <c r="O225" t="n">
        <v>0</v>
      </c>
      <c r="P225" t="n">
        <v>0</v>
      </c>
      <c r="Q225" t="n">
        <v>0</v>
      </c>
      <c r="R225" s="2" t="inlineStr"/>
    </row>
    <row r="226" ht="15" customHeight="1">
      <c r="A226" t="inlineStr">
        <is>
          <t>A 23372-2025</t>
        </is>
      </c>
      <c r="B226" s="1" t="n">
        <v>45791</v>
      </c>
      <c r="C226" s="1" t="n">
        <v>46103</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39097-2025</t>
        </is>
      </c>
      <c r="B227" s="1" t="n">
        <v>45888</v>
      </c>
      <c r="C227" s="1" t="n">
        <v>46103</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39101-2025</t>
        </is>
      </c>
      <c r="B228" s="1" t="n">
        <v>45888</v>
      </c>
      <c r="C228" s="1" t="n">
        <v>46103</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45119-2023</t>
        </is>
      </c>
      <c r="B229" s="1" t="n">
        <v>45187</v>
      </c>
      <c r="C229" s="1" t="n">
        <v>46103</v>
      </c>
      <c r="D229" t="inlineStr">
        <is>
          <t>ÖSTERGÖTLANDS LÄN</t>
        </is>
      </c>
      <c r="E229" t="inlineStr">
        <is>
          <t>KINDA</t>
        </is>
      </c>
      <c r="G229" t="n">
        <v>2.3</v>
      </c>
      <c r="H229" t="n">
        <v>0</v>
      </c>
      <c r="I229" t="n">
        <v>0</v>
      </c>
      <c r="J229" t="n">
        <v>0</v>
      </c>
      <c r="K229" t="n">
        <v>0</v>
      </c>
      <c r="L229" t="n">
        <v>0</v>
      </c>
      <c r="M229" t="n">
        <v>0</v>
      </c>
      <c r="N229" t="n">
        <v>0</v>
      </c>
      <c r="O229" t="n">
        <v>0</v>
      </c>
      <c r="P229" t="n">
        <v>0</v>
      </c>
      <c r="Q229" t="n">
        <v>0</v>
      </c>
      <c r="R229" s="2" t="inlineStr"/>
    </row>
    <row r="230" ht="15" customHeight="1">
      <c r="A230" t="inlineStr">
        <is>
          <t>A 49443-2021</t>
        </is>
      </c>
      <c r="B230" s="1" t="n">
        <v>44454.66972222222</v>
      </c>
      <c r="C230" s="1" t="n">
        <v>46103</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23886-2023</t>
        </is>
      </c>
      <c r="B231" s="1" t="n">
        <v>45078.5274537037</v>
      </c>
      <c r="C231" s="1" t="n">
        <v>46103</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59100-2025</t>
        </is>
      </c>
      <c r="B232" s="1" t="n">
        <v>45988.45670138889</v>
      </c>
      <c r="C232" s="1" t="n">
        <v>46103</v>
      </c>
      <c r="D232" t="inlineStr">
        <is>
          <t>ÖSTERGÖTLANDS LÄN</t>
        </is>
      </c>
      <c r="E232" t="inlineStr">
        <is>
          <t>KINDA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21700-2023</t>
        </is>
      </c>
      <c r="B233" s="1" t="n">
        <v>45062</v>
      </c>
      <c r="C233" s="1" t="n">
        <v>46103</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59040-2025</t>
        </is>
      </c>
      <c r="B234" s="1" t="n">
        <v>45988.36878472222</v>
      </c>
      <c r="C234" s="1" t="n">
        <v>46103</v>
      </c>
      <c r="D234" t="inlineStr">
        <is>
          <t>ÖSTERGÖTLANDS LÄN</t>
        </is>
      </c>
      <c r="E234" t="inlineStr">
        <is>
          <t>KINDA</t>
        </is>
      </c>
      <c r="F234" t="inlineStr">
        <is>
          <t>Sveaskog</t>
        </is>
      </c>
      <c r="G234" t="n">
        <v>9.1</v>
      </c>
      <c r="H234" t="n">
        <v>0</v>
      </c>
      <c r="I234" t="n">
        <v>0</v>
      </c>
      <c r="J234" t="n">
        <v>0</v>
      </c>
      <c r="K234" t="n">
        <v>0</v>
      </c>
      <c r="L234" t="n">
        <v>0</v>
      </c>
      <c r="M234" t="n">
        <v>0</v>
      </c>
      <c r="N234" t="n">
        <v>0</v>
      </c>
      <c r="O234" t="n">
        <v>0</v>
      </c>
      <c r="P234" t="n">
        <v>0</v>
      </c>
      <c r="Q234" t="n">
        <v>0</v>
      </c>
      <c r="R234" s="2" t="inlineStr"/>
    </row>
    <row r="235" ht="15" customHeight="1">
      <c r="A235" t="inlineStr">
        <is>
          <t>A 59103-2025</t>
        </is>
      </c>
      <c r="B235" s="1" t="n">
        <v>45988.46053240741</v>
      </c>
      <c r="C235" s="1" t="n">
        <v>46103</v>
      </c>
      <c r="D235" t="inlineStr">
        <is>
          <t>ÖSTERGÖTLANDS LÄN</t>
        </is>
      </c>
      <c r="E235" t="inlineStr">
        <is>
          <t>KINDA</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59079-2025</t>
        </is>
      </c>
      <c r="B236" s="1" t="n">
        <v>45988.43372685185</v>
      </c>
      <c r="C236" s="1" t="n">
        <v>46103</v>
      </c>
      <c r="D236" t="inlineStr">
        <is>
          <t>ÖSTERGÖTLANDS LÄN</t>
        </is>
      </c>
      <c r="E236" t="inlineStr">
        <is>
          <t>KINDA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59081-2025</t>
        </is>
      </c>
      <c r="B237" s="1" t="n">
        <v>45988.43559027778</v>
      </c>
      <c r="C237" s="1" t="n">
        <v>46103</v>
      </c>
      <c r="D237" t="inlineStr">
        <is>
          <t>ÖSTERGÖTLANDS LÄN</t>
        </is>
      </c>
      <c r="E237" t="inlineStr">
        <is>
          <t>KINDA</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59101-2025</t>
        </is>
      </c>
      <c r="B238" s="1" t="n">
        <v>45988.45870370371</v>
      </c>
      <c r="C238" s="1" t="n">
        <v>46103</v>
      </c>
      <c r="D238" t="inlineStr">
        <is>
          <t>ÖSTERGÖTLANDS LÄN</t>
        </is>
      </c>
      <c r="E238" t="inlineStr">
        <is>
          <t>KINDA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46103</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46103</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40847-2025</t>
        </is>
      </c>
      <c r="B241" s="1" t="n">
        <v>45897.54641203704</v>
      </c>
      <c r="C241" s="1" t="n">
        <v>46103</v>
      </c>
      <c r="D241" t="inlineStr">
        <is>
          <t>ÖSTERGÖTLANDS LÄN</t>
        </is>
      </c>
      <c r="E241" t="inlineStr">
        <is>
          <t>KINDA</t>
        </is>
      </c>
      <c r="G241" t="n">
        <v>3.1</v>
      </c>
      <c r="H241" t="n">
        <v>0</v>
      </c>
      <c r="I241" t="n">
        <v>0</v>
      </c>
      <c r="J241" t="n">
        <v>0</v>
      </c>
      <c r="K241" t="n">
        <v>0</v>
      </c>
      <c r="L241" t="n">
        <v>0</v>
      </c>
      <c r="M241" t="n">
        <v>0</v>
      </c>
      <c r="N241" t="n">
        <v>0</v>
      </c>
      <c r="O241" t="n">
        <v>0</v>
      </c>
      <c r="P241" t="n">
        <v>0</v>
      </c>
      <c r="Q241" t="n">
        <v>0</v>
      </c>
      <c r="R241" s="2" t="inlineStr"/>
    </row>
    <row r="242" ht="15" customHeight="1">
      <c r="A242" t="inlineStr">
        <is>
          <t>A 39242-2024</t>
        </is>
      </c>
      <c r="B242" s="1" t="n">
        <v>45551.28467592593</v>
      </c>
      <c r="C242" s="1" t="n">
        <v>46103</v>
      </c>
      <c r="D242" t="inlineStr">
        <is>
          <t>ÖSTERGÖTLANDS LÄN</t>
        </is>
      </c>
      <c r="E242" t="inlineStr">
        <is>
          <t>KINDA</t>
        </is>
      </c>
      <c r="G242" t="n">
        <v>3.9</v>
      </c>
      <c r="H242" t="n">
        <v>0</v>
      </c>
      <c r="I242" t="n">
        <v>0</v>
      </c>
      <c r="J242" t="n">
        <v>0</v>
      </c>
      <c r="K242" t="n">
        <v>0</v>
      </c>
      <c r="L242" t="n">
        <v>0</v>
      </c>
      <c r="M242" t="n">
        <v>0</v>
      </c>
      <c r="N242" t="n">
        <v>0</v>
      </c>
      <c r="O242" t="n">
        <v>0</v>
      </c>
      <c r="P242" t="n">
        <v>0</v>
      </c>
      <c r="Q242" t="n">
        <v>0</v>
      </c>
      <c r="R242" s="2" t="inlineStr"/>
    </row>
    <row r="243" ht="15" customHeight="1">
      <c r="A243" t="inlineStr">
        <is>
          <t>A 40853-2025</t>
        </is>
      </c>
      <c r="B243" s="1" t="n">
        <v>45897.55340277778</v>
      </c>
      <c r="C243" s="1" t="n">
        <v>46103</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46908-2022</t>
        </is>
      </c>
      <c r="B244" s="1" t="n">
        <v>44851</v>
      </c>
      <c r="C244" s="1" t="n">
        <v>46103</v>
      </c>
      <c r="D244" t="inlineStr">
        <is>
          <t>ÖSTERGÖTLANDS LÄN</t>
        </is>
      </c>
      <c r="E244" t="inlineStr">
        <is>
          <t>KINDA</t>
        </is>
      </c>
      <c r="G244" t="n">
        <v>1.8</v>
      </c>
      <c r="H244" t="n">
        <v>0</v>
      </c>
      <c r="I244" t="n">
        <v>0</v>
      </c>
      <c r="J244" t="n">
        <v>0</v>
      </c>
      <c r="K244" t="n">
        <v>0</v>
      </c>
      <c r="L244" t="n">
        <v>0</v>
      </c>
      <c r="M244" t="n">
        <v>0</v>
      </c>
      <c r="N244" t="n">
        <v>0</v>
      </c>
      <c r="O244" t="n">
        <v>0</v>
      </c>
      <c r="P244" t="n">
        <v>0</v>
      </c>
      <c r="Q244" t="n">
        <v>0</v>
      </c>
      <c r="R244" s="2" t="inlineStr"/>
    </row>
    <row r="245" ht="15" customHeight="1">
      <c r="A245" t="inlineStr">
        <is>
          <t>A 23437-2025</t>
        </is>
      </c>
      <c r="B245" s="1" t="n">
        <v>45792.37238425926</v>
      </c>
      <c r="C245" s="1" t="n">
        <v>46103</v>
      </c>
      <c r="D245" t="inlineStr">
        <is>
          <t>ÖSTERGÖTLANDS LÄN</t>
        </is>
      </c>
      <c r="E245" t="inlineStr">
        <is>
          <t>KINDA</t>
        </is>
      </c>
      <c r="G245" t="n">
        <v>5.2</v>
      </c>
      <c r="H245" t="n">
        <v>0</v>
      </c>
      <c r="I245" t="n">
        <v>0</v>
      </c>
      <c r="J245" t="n">
        <v>0</v>
      </c>
      <c r="K245" t="n">
        <v>0</v>
      </c>
      <c r="L245" t="n">
        <v>0</v>
      </c>
      <c r="M245" t="n">
        <v>0</v>
      </c>
      <c r="N245" t="n">
        <v>0</v>
      </c>
      <c r="O245" t="n">
        <v>0</v>
      </c>
      <c r="P245" t="n">
        <v>0</v>
      </c>
      <c r="Q245" t="n">
        <v>0</v>
      </c>
      <c r="R245" s="2" t="inlineStr"/>
    </row>
    <row r="246" ht="15" customHeight="1">
      <c r="A246" t="inlineStr">
        <is>
          <t>A 52863-2023</t>
        </is>
      </c>
      <c r="B246" s="1" t="n">
        <v>45219</v>
      </c>
      <c r="C246" s="1" t="n">
        <v>46103</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46228-2024</t>
        </is>
      </c>
      <c r="B247" s="1" t="n">
        <v>45581.57662037037</v>
      </c>
      <c r="C247" s="1" t="n">
        <v>46103</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40987-2025</t>
        </is>
      </c>
      <c r="B248" s="1" t="n">
        <v>45898.30667824074</v>
      </c>
      <c r="C248" s="1" t="n">
        <v>46103</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38019-2024</t>
        </is>
      </c>
      <c r="B249" s="1" t="n">
        <v>45544.6372337963</v>
      </c>
      <c r="C249" s="1" t="n">
        <v>46103</v>
      </c>
      <c r="D249" t="inlineStr">
        <is>
          <t>ÖSTERGÖTLANDS LÄN</t>
        </is>
      </c>
      <c r="E249" t="inlineStr">
        <is>
          <t>KINDA</t>
        </is>
      </c>
      <c r="G249" t="n">
        <v>6.3</v>
      </c>
      <c r="H249" t="n">
        <v>0</v>
      </c>
      <c r="I249" t="n">
        <v>0</v>
      </c>
      <c r="J249" t="n">
        <v>0</v>
      </c>
      <c r="K249" t="n">
        <v>0</v>
      </c>
      <c r="L249" t="n">
        <v>0</v>
      </c>
      <c r="M249" t="n">
        <v>0</v>
      </c>
      <c r="N249" t="n">
        <v>0</v>
      </c>
      <c r="O249" t="n">
        <v>0</v>
      </c>
      <c r="P249" t="n">
        <v>0</v>
      </c>
      <c r="Q249" t="n">
        <v>0</v>
      </c>
      <c r="R249" s="2" t="inlineStr"/>
      <c r="U249">
        <f>HYPERLINK("https://klasma.github.io/Logging_0513/knärot/A 38019-2024 karta knärot.png", "A 38019-2024")</f>
        <v/>
      </c>
      <c r="V249">
        <f>HYPERLINK("https://klasma.github.io/Logging_0513/klagomål/A 38019-2024 FSC-klagomål.docx", "A 38019-2024")</f>
        <v/>
      </c>
      <c r="W249">
        <f>HYPERLINK("https://klasma.github.io/Logging_0513/klagomålsmail/A 38019-2024 FSC-klagomål mail.docx", "A 38019-2024")</f>
        <v/>
      </c>
      <c r="X249">
        <f>HYPERLINK("https://klasma.github.io/Logging_0513/tillsyn/A 38019-2024 tillsynsbegäran.docx", "A 38019-2024")</f>
        <v/>
      </c>
      <c r="Y249">
        <f>HYPERLINK("https://klasma.github.io/Logging_0513/tillsynsmail/A 38019-2024 tillsynsbegäran mail.docx", "A 38019-2024")</f>
        <v/>
      </c>
    </row>
    <row r="250" ht="15" customHeight="1">
      <c r="A250" t="inlineStr">
        <is>
          <t>A 46925-2023</t>
        </is>
      </c>
      <c r="B250" s="1" t="n">
        <v>45201.40716435185</v>
      </c>
      <c r="C250" s="1" t="n">
        <v>46103</v>
      </c>
      <c r="D250" t="inlineStr">
        <is>
          <t>ÖSTERGÖTLANDS LÄN</t>
        </is>
      </c>
      <c r="E250" t="inlineStr">
        <is>
          <t>KINDA</t>
        </is>
      </c>
      <c r="G250" t="n">
        <v>1.2</v>
      </c>
      <c r="H250" t="n">
        <v>0</v>
      </c>
      <c r="I250" t="n">
        <v>0</v>
      </c>
      <c r="J250" t="n">
        <v>0</v>
      </c>
      <c r="K250" t="n">
        <v>0</v>
      </c>
      <c r="L250" t="n">
        <v>0</v>
      </c>
      <c r="M250" t="n">
        <v>0</v>
      </c>
      <c r="N250" t="n">
        <v>0</v>
      </c>
      <c r="O250" t="n">
        <v>0</v>
      </c>
      <c r="P250" t="n">
        <v>0</v>
      </c>
      <c r="Q250" t="n">
        <v>0</v>
      </c>
      <c r="R250" s="2" t="inlineStr"/>
    </row>
    <row r="251" ht="15" customHeight="1">
      <c r="A251" t="inlineStr">
        <is>
          <t>A 41396-2025</t>
        </is>
      </c>
      <c r="B251" s="1" t="n">
        <v>45901.32078703704</v>
      </c>
      <c r="C251" s="1" t="n">
        <v>46103</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60314-2025</t>
        </is>
      </c>
      <c r="B252" s="1" t="n">
        <v>45994.70809027777</v>
      </c>
      <c r="C252" s="1" t="n">
        <v>46103</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21293-2021</t>
        </is>
      </c>
      <c r="B253" s="1" t="n">
        <v>44320.65725694445</v>
      </c>
      <c r="C253" s="1" t="n">
        <v>46103</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43857-2023</t>
        </is>
      </c>
      <c r="B254" s="1" t="n">
        <v>45187.61545138889</v>
      </c>
      <c r="C254" s="1" t="n">
        <v>46103</v>
      </c>
      <c r="D254" t="inlineStr">
        <is>
          <t>ÖSTERGÖTLANDS LÄN</t>
        </is>
      </c>
      <c r="E254" t="inlineStr">
        <is>
          <t>KINDA</t>
        </is>
      </c>
      <c r="G254" t="n">
        <v>2</v>
      </c>
      <c r="H254" t="n">
        <v>0</v>
      </c>
      <c r="I254" t="n">
        <v>0</v>
      </c>
      <c r="J254" t="n">
        <v>0</v>
      </c>
      <c r="K254" t="n">
        <v>0</v>
      </c>
      <c r="L254" t="n">
        <v>0</v>
      </c>
      <c r="M254" t="n">
        <v>0</v>
      </c>
      <c r="N254" t="n">
        <v>0</v>
      </c>
      <c r="O254" t="n">
        <v>0</v>
      </c>
      <c r="P254" t="n">
        <v>0</v>
      </c>
      <c r="Q254" t="n">
        <v>0</v>
      </c>
      <c r="R254" s="2" t="inlineStr"/>
    </row>
    <row r="255" ht="15" customHeight="1">
      <c r="A255" t="inlineStr">
        <is>
          <t>A 43069-2024</t>
        </is>
      </c>
      <c r="B255" s="1" t="n">
        <v>45567.47780092592</v>
      </c>
      <c r="C255" s="1" t="n">
        <v>46103</v>
      </c>
      <c r="D255" t="inlineStr">
        <is>
          <t>ÖSTERGÖTLANDS LÄN</t>
        </is>
      </c>
      <c r="E255" t="inlineStr">
        <is>
          <t>KINDA</t>
        </is>
      </c>
      <c r="G255" t="n">
        <v>4.1</v>
      </c>
      <c r="H255" t="n">
        <v>0</v>
      </c>
      <c r="I255" t="n">
        <v>0</v>
      </c>
      <c r="J255" t="n">
        <v>0</v>
      </c>
      <c r="K255" t="n">
        <v>0</v>
      </c>
      <c r="L255" t="n">
        <v>0</v>
      </c>
      <c r="M255" t="n">
        <v>0</v>
      </c>
      <c r="N255" t="n">
        <v>0</v>
      </c>
      <c r="O255" t="n">
        <v>0</v>
      </c>
      <c r="P255" t="n">
        <v>0</v>
      </c>
      <c r="Q255" t="n">
        <v>0</v>
      </c>
      <c r="R255" s="2" t="inlineStr"/>
    </row>
    <row r="256" ht="15" customHeight="1">
      <c r="A256" t="inlineStr">
        <is>
          <t>A 19324-2021</t>
        </is>
      </c>
      <c r="B256" s="1" t="n">
        <v>44309</v>
      </c>
      <c r="C256" s="1" t="n">
        <v>46103</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36126-2023</t>
        </is>
      </c>
      <c r="B257" s="1" t="n">
        <v>45149.57319444444</v>
      </c>
      <c r="C257" s="1" t="n">
        <v>46103</v>
      </c>
      <c r="D257" t="inlineStr">
        <is>
          <t>ÖSTERGÖTLANDS LÄN</t>
        </is>
      </c>
      <c r="E257" t="inlineStr">
        <is>
          <t>KINDA</t>
        </is>
      </c>
      <c r="G257" t="n">
        <v>3.8</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46103</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61946-2022</t>
        </is>
      </c>
      <c r="B259" s="1" t="n">
        <v>44918.32740740741</v>
      </c>
      <c r="C259" s="1" t="n">
        <v>46103</v>
      </c>
      <c r="D259" t="inlineStr">
        <is>
          <t>ÖSTERGÖTLANDS LÄN</t>
        </is>
      </c>
      <c r="E259" t="inlineStr">
        <is>
          <t>KINDA</t>
        </is>
      </c>
      <c r="G259" t="n">
        <v>11.6</v>
      </c>
      <c r="H259" t="n">
        <v>0</v>
      </c>
      <c r="I259" t="n">
        <v>0</v>
      </c>
      <c r="J259" t="n">
        <v>0</v>
      </c>
      <c r="K259" t="n">
        <v>0</v>
      </c>
      <c r="L259" t="n">
        <v>0</v>
      </c>
      <c r="M259" t="n">
        <v>0</v>
      </c>
      <c r="N259" t="n">
        <v>0</v>
      </c>
      <c r="O259" t="n">
        <v>0</v>
      </c>
      <c r="P259" t="n">
        <v>0</v>
      </c>
      <c r="Q259" t="n">
        <v>0</v>
      </c>
      <c r="R259" s="2" t="inlineStr"/>
    </row>
    <row r="260" ht="15" customHeight="1">
      <c r="A260" t="inlineStr">
        <is>
          <t>A 61949-2022</t>
        </is>
      </c>
      <c r="B260" s="1" t="n">
        <v>44918.33414351852</v>
      </c>
      <c r="C260" s="1" t="n">
        <v>46103</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61962-2022</t>
        </is>
      </c>
      <c r="B261" s="1" t="n">
        <v>44918</v>
      </c>
      <c r="C261" s="1" t="n">
        <v>46103</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24133-2025</t>
        </is>
      </c>
      <c r="B262" s="1" t="n">
        <v>45796.63584490741</v>
      </c>
      <c r="C262" s="1" t="n">
        <v>46103</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42375-2025</t>
        </is>
      </c>
      <c r="B263" s="1" t="n">
        <v>45905.33846064815</v>
      </c>
      <c r="C263" s="1" t="n">
        <v>46103</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42509-2025</t>
        </is>
      </c>
      <c r="B264" s="1" t="n">
        <v>45904</v>
      </c>
      <c r="C264" s="1" t="n">
        <v>46103</v>
      </c>
      <c r="D264" t="inlineStr">
        <is>
          <t>ÖSTERGÖTLANDS LÄN</t>
        </is>
      </c>
      <c r="E264" t="inlineStr">
        <is>
          <t>KINDA</t>
        </is>
      </c>
      <c r="G264" t="n">
        <v>3.5</v>
      </c>
      <c r="H264" t="n">
        <v>0</v>
      </c>
      <c r="I264" t="n">
        <v>0</v>
      </c>
      <c r="J264" t="n">
        <v>0</v>
      </c>
      <c r="K264" t="n">
        <v>0</v>
      </c>
      <c r="L264" t="n">
        <v>0</v>
      </c>
      <c r="M264" t="n">
        <v>0</v>
      </c>
      <c r="N264" t="n">
        <v>0</v>
      </c>
      <c r="O264" t="n">
        <v>0</v>
      </c>
      <c r="P264" t="n">
        <v>0</v>
      </c>
      <c r="Q264" t="n">
        <v>0</v>
      </c>
      <c r="R264" s="2" t="inlineStr"/>
    </row>
    <row r="265" ht="15" customHeight="1">
      <c r="A265" t="inlineStr">
        <is>
          <t>A 42511-2025</t>
        </is>
      </c>
      <c r="B265" s="1" t="n">
        <v>45904</v>
      </c>
      <c r="C265" s="1" t="n">
        <v>46103</v>
      </c>
      <c r="D265" t="inlineStr">
        <is>
          <t>ÖSTERGÖTLANDS LÄN</t>
        </is>
      </c>
      <c r="E265" t="inlineStr">
        <is>
          <t>KINDA</t>
        </is>
      </c>
      <c r="G265" t="n">
        <v>2.3</v>
      </c>
      <c r="H265" t="n">
        <v>0</v>
      </c>
      <c r="I265" t="n">
        <v>0</v>
      </c>
      <c r="J265" t="n">
        <v>0</v>
      </c>
      <c r="K265" t="n">
        <v>0</v>
      </c>
      <c r="L265" t="n">
        <v>0</v>
      </c>
      <c r="M265" t="n">
        <v>0</v>
      </c>
      <c r="N265" t="n">
        <v>0</v>
      </c>
      <c r="O265" t="n">
        <v>0</v>
      </c>
      <c r="P265" t="n">
        <v>0</v>
      </c>
      <c r="Q265" t="n">
        <v>0</v>
      </c>
      <c r="R265" s="2" t="inlineStr"/>
    </row>
    <row r="266" ht="15" customHeight="1">
      <c r="A266" t="inlineStr">
        <is>
          <t>A 43005-2025</t>
        </is>
      </c>
      <c r="B266" s="1" t="n">
        <v>45909.47525462963</v>
      </c>
      <c r="C266" s="1" t="n">
        <v>46103</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343-2025</t>
        </is>
      </c>
      <c r="B267" s="1" t="n">
        <v>45660.71824074074</v>
      </c>
      <c r="C267" s="1" t="n">
        <v>46103</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8318-2025</t>
        </is>
      </c>
      <c r="B268" s="1" t="n">
        <v>45708.62505787037</v>
      </c>
      <c r="C268" s="1" t="n">
        <v>46103</v>
      </c>
      <c r="D268" t="inlineStr">
        <is>
          <t>ÖSTERGÖTLANDS LÄN</t>
        </is>
      </c>
      <c r="E268" t="inlineStr">
        <is>
          <t>KINDA</t>
        </is>
      </c>
      <c r="G268" t="n">
        <v>2.9</v>
      </c>
      <c r="H268" t="n">
        <v>0</v>
      </c>
      <c r="I268" t="n">
        <v>0</v>
      </c>
      <c r="J268" t="n">
        <v>0</v>
      </c>
      <c r="K268" t="n">
        <v>0</v>
      </c>
      <c r="L268" t="n">
        <v>0</v>
      </c>
      <c r="M268" t="n">
        <v>0</v>
      </c>
      <c r="N268" t="n">
        <v>0</v>
      </c>
      <c r="O268" t="n">
        <v>0</v>
      </c>
      <c r="P268" t="n">
        <v>0</v>
      </c>
      <c r="Q268" t="n">
        <v>0</v>
      </c>
      <c r="R268" s="2" t="inlineStr"/>
    </row>
    <row r="269" ht="15" customHeight="1">
      <c r="A269" t="inlineStr">
        <is>
          <t>A 43007-2025</t>
        </is>
      </c>
      <c r="B269" s="1" t="n">
        <v>45909.48123842593</v>
      </c>
      <c r="C269" s="1" t="n">
        <v>46103</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24110-2024</t>
        </is>
      </c>
      <c r="B270" s="1" t="n">
        <v>45456.61288194444</v>
      </c>
      <c r="C270" s="1" t="n">
        <v>46103</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42981-2025</t>
        </is>
      </c>
      <c r="B271" s="1" t="n">
        <v>45909.43236111111</v>
      </c>
      <c r="C271" s="1" t="n">
        <v>46103</v>
      </c>
      <c r="D271" t="inlineStr">
        <is>
          <t>ÖSTERGÖTLANDS LÄN</t>
        </is>
      </c>
      <c r="E271" t="inlineStr">
        <is>
          <t>KINDA</t>
        </is>
      </c>
      <c r="G271" t="n">
        <v>2.6</v>
      </c>
      <c r="H271" t="n">
        <v>0</v>
      </c>
      <c r="I271" t="n">
        <v>0</v>
      </c>
      <c r="J271" t="n">
        <v>0</v>
      </c>
      <c r="K271" t="n">
        <v>0</v>
      </c>
      <c r="L271" t="n">
        <v>0</v>
      </c>
      <c r="M271" t="n">
        <v>0</v>
      </c>
      <c r="N271" t="n">
        <v>0</v>
      </c>
      <c r="O271" t="n">
        <v>0</v>
      </c>
      <c r="P271" t="n">
        <v>0</v>
      </c>
      <c r="Q271" t="n">
        <v>0</v>
      </c>
      <c r="R271" s="2" t="inlineStr"/>
    </row>
    <row r="272" ht="15" customHeight="1">
      <c r="A272" t="inlineStr">
        <is>
          <t>A 42977-2025</t>
        </is>
      </c>
      <c r="B272" s="1" t="n">
        <v>45909.42916666667</v>
      </c>
      <c r="C272" s="1" t="n">
        <v>46103</v>
      </c>
      <c r="D272" t="inlineStr">
        <is>
          <t>ÖSTERGÖTLANDS LÄN</t>
        </is>
      </c>
      <c r="E272" t="inlineStr">
        <is>
          <t>KINDA</t>
        </is>
      </c>
      <c r="G272" t="n">
        <v>4.3</v>
      </c>
      <c r="H272" t="n">
        <v>0</v>
      </c>
      <c r="I272" t="n">
        <v>0</v>
      </c>
      <c r="J272" t="n">
        <v>0</v>
      </c>
      <c r="K272" t="n">
        <v>0</v>
      </c>
      <c r="L272" t="n">
        <v>0</v>
      </c>
      <c r="M272" t="n">
        <v>0</v>
      </c>
      <c r="N272" t="n">
        <v>0</v>
      </c>
      <c r="O272" t="n">
        <v>0</v>
      </c>
      <c r="P272" t="n">
        <v>0</v>
      </c>
      <c r="Q272" t="n">
        <v>0</v>
      </c>
      <c r="R272" s="2" t="inlineStr"/>
    </row>
    <row r="273" ht="15" customHeight="1">
      <c r="A273" t="inlineStr">
        <is>
          <t>A 42993-2025</t>
        </is>
      </c>
      <c r="B273" s="1" t="n">
        <v>45909.45248842592</v>
      </c>
      <c r="C273" s="1" t="n">
        <v>46103</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59462-2025</t>
        </is>
      </c>
      <c r="B274" s="1" t="n">
        <v>45989</v>
      </c>
      <c r="C274" s="1" t="n">
        <v>46103</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35203-2023</t>
        </is>
      </c>
      <c r="B275" s="1" t="n">
        <v>45145</v>
      </c>
      <c r="C275" s="1" t="n">
        <v>46103</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61774-2025</t>
        </is>
      </c>
      <c r="B276" s="1" t="n">
        <v>46002.65667824074</v>
      </c>
      <c r="C276" s="1" t="n">
        <v>46103</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61572-2025</t>
        </is>
      </c>
      <c r="B277" s="1" t="n">
        <v>46002.30625</v>
      </c>
      <c r="C277" s="1" t="n">
        <v>46103</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61567-2025</t>
        </is>
      </c>
      <c r="B278" s="1" t="n">
        <v>46002.24141203704</v>
      </c>
      <c r="C278" s="1" t="n">
        <v>46103</v>
      </c>
      <c r="D278" t="inlineStr">
        <is>
          <t>ÖSTERGÖTLANDS LÄN</t>
        </is>
      </c>
      <c r="E278" t="inlineStr">
        <is>
          <t>KINDA</t>
        </is>
      </c>
      <c r="G278" t="n">
        <v>5.7</v>
      </c>
      <c r="H278" t="n">
        <v>0</v>
      </c>
      <c r="I278" t="n">
        <v>0</v>
      </c>
      <c r="J278" t="n">
        <v>0</v>
      </c>
      <c r="K278" t="n">
        <v>0</v>
      </c>
      <c r="L278" t="n">
        <v>0</v>
      </c>
      <c r="M278" t="n">
        <v>0</v>
      </c>
      <c r="N278" t="n">
        <v>0</v>
      </c>
      <c r="O278" t="n">
        <v>0</v>
      </c>
      <c r="P278" t="n">
        <v>0</v>
      </c>
      <c r="Q278" t="n">
        <v>0</v>
      </c>
      <c r="R278" s="2" t="inlineStr"/>
    </row>
    <row r="279" ht="15" customHeight="1">
      <c r="A279" t="inlineStr">
        <is>
          <t>A 61776-2025</t>
        </is>
      </c>
      <c r="B279" s="1" t="n">
        <v>46002.6596875</v>
      </c>
      <c r="C279" s="1" t="n">
        <v>46103</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61908-2025</t>
        </is>
      </c>
      <c r="B280" s="1" t="n">
        <v>46003.47145833333</v>
      </c>
      <c r="C280" s="1" t="n">
        <v>46103</v>
      </c>
      <c r="D280" t="inlineStr">
        <is>
          <t>ÖSTERGÖTLANDS LÄN</t>
        </is>
      </c>
      <c r="E280" t="inlineStr">
        <is>
          <t>KINDA</t>
        </is>
      </c>
      <c r="G280" t="n">
        <v>6.7</v>
      </c>
      <c r="H280" t="n">
        <v>0</v>
      </c>
      <c r="I280" t="n">
        <v>0</v>
      </c>
      <c r="J280" t="n">
        <v>0</v>
      </c>
      <c r="K280" t="n">
        <v>0</v>
      </c>
      <c r="L280" t="n">
        <v>0</v>
      </c>
      <c r="M280" t="n">
        <v>0</v>
      </c>
      <c r="N280" t="n">
        <v>0</v>
      </c>
      <c r="O280" t="n">
        <v>0</v>
      </c>
      <c r="P280" t="n">
        <v>0</v>
      </c>
      <c r="Q280" t="n">
        <v>0</v>
      </c>
      <c r="R280" s="2" t="inlineStr"/>
    </row>
    <row r="281" ht="15" customHeight="1">
      <c r="A281" t="inlineStr">
        <is>
          <t>A 5086-2023</t>
        </is>
      </c>
      <c r="B281" s="1" t="n">
        <v>44953</v>
      </c>
      <c r="C281" s="1" t="n">
        <v>46103</v>
      </c>
      <c r="D281" t="inlineStr">
        <is>
          <t>ÖSTERGÖTLANDS LÄN</t>
        </is>
      </c>
      <c r="E281" t="inlineStr">
        <is>
          <t>KINDA</t>
        </is>
      </c>
      <c r="G281" t="n">
        <v>4.2</v>
      </c>
      <c r="H281" t="n">
        <v>0</v>
      </c>
      <c r="I281" t="n">
        <v>0</v>
      </c>
      <c r="J281" t="n">
        <v>0</v>
      </c>
      <c r="K281" t="n">
        <v>0</v>
      </c>
      <c r="L281" t="n">
        <v>0</v>
      </c>
      <c r="M281" t="n">
        <v>0</v>
      </c>
      <c r="N281" t="n">
        <v>0</v>
      </c>
      <c r="O281" t="n">
        <v>0</v>
      </c>
      <c r="P281" t="n">
        <v>0</v>
      </c>
      <c r="Q281" t="n">
        <v>0</v>
      </c>
      <c r="R281" s="2" t="inlineStr"/>
    </row>
    <row r="282" ht="15" customHeight="1">
      <c r="A282" t="inlineStr">
        <is>
          <t>A 19545-2023</t>
        </is>
      </c>
      <c r="B282" s="1" t="n">
        <v>45049</v>
      </c>
      <c r="C282" s="1" t="n">
        <v>46103</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61571-2025</t>
        </is>
      </c>
      <c r="B283" s="1" t="n">
        <v>46002.30209490741</v>
      </c>
      <c r="C283" s="1" t="n">
        <v>46103</v>
      </c>
      <c r="D283" t="inlineStr">
        <is>
          <t>ÖSTERGÖTLANDS LÄN</t>
        </is>
      </c>
      <c r="E283" t="inlineStr">
        <is>
          <t>KINDA</t>
        </is>
      </c>
      <c r="G283" t="n">
        <v>3</v>
      </c>
      <c r="H283" t="n">
        <v>0</v>
      </c>
      <c r="I283" t="n">
        <v>0</v>
      </c>
      <c r="J283" t="n">
        <v>0</v>
      </c>
      <c r="K283" t="n">
        <v>0</v>
      </c>
      <c r="L283" t="n">
        <v>0</v>
      </c>
      <c r="M283" t="n">
        <v>0</v>
      </c>
      <c r="N283" t="n">
        <v>0</v>
      </c>
      <c r="O283" t="n">
        <v>0</v>
      </c>
      <c r="P283" t="n">
        <v>0</v>
      </c>
      <c r="Q283" t="n">
        <v>0</v>
      </c>
      <c r="R283" s="2" t="inlineStr"/>
    </row>
    <row r="284" ht="15" customHeight="1">
      <c r="A284" t="inlineStr">
        <is>
          <t>A 61742-2025</t>
        </is>
      </c>
      <c r="B284" s="1" t="n">
        <v>46002.60186342592</v>
      </c>
      <c r="C284" s="1" t="n">
        <v>46103</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61705-2025</t>
        </is>
      </c>
      <c r="B285" s="1" t="n">
        <v>46002.55034722222</v>
      </c>
      <c r="C285" s="1" t="n">
        <v>46103</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62008-2025</t>
        </is>
      </c>
      <c r="B286" s="1" t="n">
        <v>46003.66984953704</v>
      </c>
      <c r="C286" s="1" t="n">
        <v>46103</v>
      </c>
      <c r="D286" t="inlineStr">
        <is>
          <t>ÖSTERGÖTLANDS LÄN</t>
        </is>
      </c>
      <c r="E286" t="inlineStr">
        <is>
          <t>KINDA</t>
        </is>
      </c>
      <c r="G286" t="n">
        <v>0.6</v>
      </c>
      <c r="H286" t="n">
        <v>0</v>
      </c>
      <c r="I286" t="n">
        <v>0</v>
      </c>
      <c r="J286" t="n">
        <v>0</v>
      </c>
      <c r="K286" t="n">
        <v>0</v>
      </c>
      <c r="L286" t="n">
        <v>0</v>
      </c>
      <c r="M286" t="n">
        <v>0</v>
      </c>
      <c r="N286" t="n">
        <v>0</v>
      </c>
      <c r="O286" t="n">
        <v>0</v>
      </c>
      <c r="P286" t="n">
        <v>0</v>
      </c>
      <c r="Q286" t="n">
        <v>0</v>
      </c>
      <c r="R286" s="2" t="inlineStr"/>
    </row>
    <row r="287" ht="15" customHeight="1">
      <c r="A287" t="inlineStr">
        <is>
          <t>A 61901-2025</t>
        </is>
      </c>
      <c r="B287" s="1" t="n">
        <v>46003.46927083333</v>
      </c>
      <c r="C287" s="1" t="n">
        <v>46103</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4914-2023</t>
        </is>
      </c>
      <c r="B288" s="1" t="n">
        <v>44958.38997685185</v>
      </c>
      <c r="C288" s="1" t="n">
        <v>46103</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60343-2023</t>
        </is>
      </c>
      <c r="B289" s="1" t="n">
        <v>45259.31565972222</v>
      </c>
      <c r="C289" s="1" t="n">
        <v>46103</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61779-2025</t>
        </is>
      </c>
      <c r="B290" s="1" t="n">
        <v>46002.66668981482</v>
      </c>
      <c r="C290" s="1" t="n">
        <v>46103</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43760-2025</t>
        </is>
      </c>
      <c r="B291" s="1" t="n">
        <v>45912.47875</v>
      </c>
      <c r="C291" s="1" t="n">
        <v>46103</v>
      </c>
      <c r="D291" t="inlineStr">
        <is>
          <t>ÖSTERGÖTLANDS LÄN</t>
        </is>
      </c>
      <c r="E291" t="inlineStr">
        <is>
          <t>KINDA</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62415-2025</t>
        </is>
      </c>
      <c r="B292" s="1" t="n">
        <v>46007.44498842592</v>
      </c>
      <c r="C292" s="1" t="n">
        <v>46103</v>
      </c>
      <c r="D292" t="inlineStr">
        <is>
          <t>ÖSTERGÖTLANDS LÄN</t>
        </is>
      </c>
      <c r="E292" t="inlineStr">
        <is>
          <t>KINDA</t>
        </is>
      </c>
      <c r="G292" t="n">
        <v>0.4</v>
      </c>
      <c r="H292" t="n">
        <v>0</v>
      </c>
      <c r="I292" t="n">
        <v>0</v>
      </c>
      <c r="J292" t="n">
        <v>0</v>
      </c>
      <c r="K292" t="n">
        <v>0</v>
      </c>
      <c r="L292" t="n">
        <v>0</v>
      </c>
      <c r="M292" t="n">
        <v>0</v>
      </c>
      <c r="N292" t="n">
        <v>0</v>
      </c>
      <c r="O292" t="n">
        <v>0</v>
      </c>
      <c r="P292" t="n">
        <v>0</v>
      </c>
      <c r="Q292" t="n">
        <v>0</v>
      </c>
      <c r="R292" s="2" t="inlineStr"/>
    </row>
    <row r="293" ht="15" customHeight="1">
      <c r="A293" t="inlineStr">
        <is>
          <t>A 24023-2024</t>
        </is>
      </c>
      <c r="B293" s="1" t="n">
        <v>45456.44684027778</v>
      </c>
      <c r="C293" s="1" t="n">
        <v>46103</v>
      </c>
      <c r="D293" t="inlineStr">
        <is>
          <t>ÖSTERGÖTLANDS LÄN</t>
        </is>
      </c>
      <c r="E293" t="inlineStr">
        <is>
          <t>KINDA</t>
        </is>
      </c>
      <c r="G293" t="n">
        <v>7.1</v>
      </c>
      <c r="H293" t="n">
        <v>0</v>
      </c>
      <c r="I293" t="n">
        <v>0</v>
      </c>
      <c r="J293" t="n">
        <v>0</v>
      </c>
      <c r="K293" t="n">
        <v>0</v>
      </c>
      <c r="L293" t="n">
        <v>0</v>
      </c>
      <c r="M293" t="n">
        <v>0</v>
      </c>
      <c r="N293" t="n">
        <v>0</v>
      </c>
      <c r="O293" t="n">
        <v>0</v>
      </c>
      <c r="P293" t="n">
        <v>0</v>
      </c>
      <c r="Q293" t="n">
        <v>0</v>
      </c>
      <c r="R293" s="2" t="inlineStr"/>
    </row>
    <row r="294" ht="15" customHeight="1">
      <c r="A294" t="inlineStr">
        <is>
          <t>A 62443-2025</t>
        </is>
      </c>
      <c r="B294" s="1" t="n">
        <v>46007.48135416667</v>
      </c>
      <c r="C294" s="1" t="n">
        <v>46103</v>
      </c>
      <c r="D294" t="inlineStr">
        <is>
          <t>ÖSTERGÖTLANDS LÄN</t>
        </is>
      </c>
      <c r="E294" t="inlineStr">
        <is>
          <t>KINDA</t>
        </is>
      </c>
      <c r="G294" t="n">
        <v>1.9</v>
      </c>
      <c r="H294" t="n">
        <v>0</v>
      </c>
      <c r="I294" t="n">
        <v>0</v>
      </c>
      <c r="J294" t="n">
        <v>0</v>
      </c>
      <c r="K294" t="n">
        <v>0</v>
      </c>
      <c r="L294" t="n">
        <v>0</v>
      </c>
      <c r="M294" t="n">
        <v>0</v>
      </c>
      <c r="N294" t="n">
        <v>0</v>
      </c>
      <c r="O294" t="n">
        <v>0</v>
      </c>
      <c r="P294" t="n">
        <v>0</v>
      </c>
      <c r="Q294" t="n">
        <v>0</v>
      </c>
      <c r="R294" s="2" t="inlineStr"/>
    </row>
    <row r="295" ht="15" customHeight="1">
      <c r="A295" t="inlineStr">
        <is>
          <t>A 62444-2025</t>
        </is>
      </c>
      <c r="B295" s="1" t="n">
        <v>46007.48309027778</v>
      </c>
      <c r="C295" s="1" t="n">
        <v>46103</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24130-2025</t>
        </is>
      </c>
      <c r="B296" s="1" t="n">
        <v>45796.63424768519</v>
      </c>
      <c r="C296" s="1" t="n">
        <v>46103</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62703-2025</t>
        </is>
      </c>
      <c r="B297" s="1" t="n">
        <v>46008.49290509259</v>
      </c>
      <c r="C297" s="1" t="n">
        <v>46103</v>
      </c>
      <c r="D297" t="inlineStr">
        <is>
          <t>ÖSTERGÖTLANDS LÄN</t>
        </is>
      </c>
      <c r="E297" t="inlineStr">
        <is>
          <t>KINDA</t>
        </is>
      </c>
      <c r="G297" t="n">
        <v>0.6</v>
      </c>
      <c r="H297" t="n">
        <v>0</v>
      </c>
      <c r="I297" t="n">
        <v>0</v>
      </c>
      <c r="J297" t="n">
        <v>0</v>
      </c>
      <c r="K297" t="n">
        <v>0</v>
      </c>
      <c r="L297" t="n">
        <v>0</v>
      </c>
      <c r="M297" t="n">
        <v>0</v>
      </c>
      <c r="N297" t="n">
        <v>0</v>
      </c>
      <c r="O297" t="n">
        <v>0</v>
      </c>
      <c r="P297" t="n">
        <v>0</v>
      </c>
      <c r="Q297" t="n">
        <v>0</v>
      </c>
      <c r="R297" s="2" t="inlineStr"/>
    </row>
    <row r="298" ht="15" customHeight="1">
      <c r="A298" t="inlineStr">
        <is>
          <t>A 62707-2025</t>
        </is>
      </c>
      <c r="B298" s="1" t="n">
        <v>46008.50423611111</v>
      </c>
      <c r="C298" s="1" t="n">
        <v>46103</v>
      </c>
      <c r="D298" t="inlineStr">
        <is>
          <t>ÖSTERGÖTLANDS LÄN</t>
        </is>
      </c>
      <c r="E298" t="inlineStr">
        <is>
          <t>KINDA</t>
        </is>
      </c>
      <c r="F298" t="inlineStr">
        <is>
          <t>Kommuner</t>
        </is>
      </c>
      <c r="G298" t="n">
        <v>0.9</v>
      </c>
      <c r="H298" t="n">
        <v>0</v>
      </c>
      <c r="I298" t="n">
        <v>0</v>
      </c>
      <c r="J298" t="n">
        <v>0</v>
      </c>
      <c r="K298" t="n">
        <v>0</v>
      </c>
      <c r="L298" t="n">
        <v>0</v>
      </c>
      <c r="M298" t="n">
        <v>0</v>
      </c>
      <c r="N298" t="n">
        <v>0</v>
      </c>
      <c r="O298" t="n">
        <v>0</v>
      </c>
      <c r="P298" t="n">
        <v>0</v>
      </c>
      <c r="Q298" t="n">
        <v>0</v>
      </c>
      <c r="R298" s="2" t="inlineStr"/>
    </row>
    <row r="299" ht="15" customHeight="1">
      <c r="A299" t="inlineStr">
        <is>
          <t>A 62694-2025</t>
        </is>
      </c>
      <c r="B299" s="1" t="n">
        <v>46008.4852662037</v>
      </c>
      <c r="C299" s="1" t="n">
        <v>46103</v>
      </c>
      <c r="D299" t="inlineStr">
        <is>
          <t>ÖSTERGÖTLANDS LÄN</t>
        </is>
      </c>
      <c r="E299" t="inlineStr">
        <is>
          <t>KINDA</t>
        </is>
      </c>
      <c r="G299" t="n">
        <v>5</v>
      </c>
      <c r="H299" t="n">
        <v>0</v>
      </c>
      <c r="I299" t="n">
        <v>0</v>
      </c>
      <c r="J299" t="n">
        <v>0</v>
      </c>
      <c r="K299" t="n">
        <v>0</v>
      </c>
      <c r="L299" t="n">
        <v>0</v>
      </c>
      <c r="M299" t="n">
        <v>0</v>
      </c>
      <c r="N299" t="n">
        <v>0</v>
      </c>
      <c r="O299" t="n">
        <v>0</v>
      </c>
      <c r="P299" t="n">
        <v>0</v>
      </c>
      <c r="Q299" t="n">
        <v>0</v>
      </c>
      <c r="R299" s="2" t="inlineStr"/>
    </row>
    <row r="300" ht="15" customHeight="1">
      <c r="A300" t="inlineStr">
        <is>
          <t>A 62697-2025</t>
        </is>
      </c>
      <c r="B300" s="1" t="n">
        <v>46008.48805555556</v>
      </c>
      <c r="C300" s="1" t="n">
        <v>46103</v>
      </c>
      <c r="D300" t="inlineStr">
        <is>
          <t>ÖSTERGÖTLANDS LÄN</t>
        </is>
      </c>
      <c r="E300" t="inlineStr">
        <is>
          <t>KINDA</t>
        </is>
      </c>
      <c r="G300" t="n">
        <v>2.9</v>
      </c>
      <c r="H300" t="n">
        <v>0</v>
      </c>
      <c r="I300" t="n">
        <v>0</v>
      </c>
      <c r="J300" t="n">
        <v>0</v>
      </c>
      <c r="K300" t="n">
        <v>0</v>
      </c>
      <c r="L300" t="n">
        <v>0</v>
      </c>
      <c r="M300" t="n">
        <v>0</v>
      </c>
      <c r="N300" t="n">
        <v>0</v>
      </c>
      <c r="O300" t="n">
        <v>0</v>
      </c>
      <c r="P300" t="n">
        <v>0</v>
      </c>
      <c r="Q300" t="n">
        <v>0</v>
      </c>
      <c r="R300" s="2" t="inlineStr"/>
    </row>
    <row r="301" ht="15" customHeight="1">
      <c r="A301" t="inlineStr">
        <is>
          <t>A 44633-2025</t>
        </is>
      </c>
      <c r="B301" s="1" t="n">
        <v>45917</v>
      </c>
      <c r="C301" s="1" t="n">
        <v>46103</v>
      </c>
      <c r="D301" t="inlineStr">
        <is>
          <t>ÖSTERGÖTLANDS LÄN</t>
        </is>
      </c>
      <c r="E301" t="inlineStr">
        <is>
          <t>KINDA</t>
        </is>
      </c>
      <c r="G301" t="n">
        <v>5.1</v>
      </c>
      <c r="H301" t="n">
        <v>0</v>
      </c>
      <c r="I301" t="n">
        <v>0</v>
      </c>
      <c r="J301" t="n">
        <v>0</v>
      </c>
      <c r="K301" t="n">
        <v>0</v>
      </c>
      <c r="L301" t="n">
        <v>0</v>
      </c>
      <c r="M301" t="n">
        <v>0</v>
      </c>
      <c r="N301" t="n">
        <v>0</v>
      </c>
      <c r="O301" t="n">
        <v>0</v>
      </c>
      <c r="P301" t="n">
        <v>0</v>
      </c>
      <c r="Q301" t="n">
        <v>0</v>
      </c>
      <c r="R301" s="2" t="inlineStr"/>
    </row>
    <row r="302" ht="15" customHeight="1">
      <c r="A302" t="inlineStr">
        <is>
          <t>A 610-2022</t>
        </is>
      </c>
      <c r="B302" s="1" t="n">
        <v>44567.77518518519</v>
      </c>
      <c r="C302" s="1" t="n">
        <v>46103</v>
      </c>
      <c r="D302" t="inlineStr">
        <is>
          <t>ÖSTERGÖTLANDS LÄN</t>
        </is>
      </c>
      <c r="E302" t="inlineStr">
        <is>
          <t>KINDA</t>
        </is>
      </c>
      <c r="G302" t="n">
        <v>2.2</v>
      </c>
      <c r="H302" t="n">
        <v>0</v>
      </c>
      <c r="I302" t="n">
        <v>0</v>
      </c>
      <c r="J302" t="n">
        <v>0</v>
      </c>
      <c r="K302" t="n">
        <v>0</v>
      </c>
      <c r="L302" t="n">
        <v>0</v>
      </c>
      <c r="M302" t="n">
        <v>0</v>
      </c>
      <c r="N302" t="n">
        <v>0</v>
      </c>
      <c r="O302" t="n">
        <v>0</v>
      </c>
      <c r="P302" t="n">
        <v>0</v>
      </c>
      <c r="Q302" t="n">
        <v>0</v>
      </c>
      <c r="R302" s="2" t="inlineStr"/>
    </row>
    <row r="303" ht="15" customHeight="1">
      <c r="A303" t="inlineStr">
        <is>
          <t>A 24128-2025</t>
        </is>
      </c>
      <c r="B303" s="1" t="n">
        <v>45796.63180555555</v>
      </c>
      <c r="C303" s="1" t="n">
        <v>46103</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63139-2025</t>
        </is>
      </c>
      <c r="B304" s="1" t="n">
        <v>46010.34168981481</v>
      </c>
      <c r="C304" s="1" t="n">
        <v>46103</v>
      </c>
      <c r="D304" t="inlineStr">
        <is>
          <t>ÖSTERGÖTLANDS LÄN</t>
        </is>
      </c>
      <c r="E304" t="inlineStr">
        <is>
          <t>KINDA</t>
        </is>
      </c>
      <c r="F304" t="inlineStr">
        <is>
          <t>Kommuner</t>
        </is>
      </c>
      <c r="G304" t="n">
        <v>2.2</v>
      </c>
      <c r="H304" t="n">
        <v>0</v>
      </c>
      <c r="I304" t="n">
        <v>0</v>
      </c>
      <c r="J304" t="n">
        <v>0</v>
      </c>
      <c r="K304" t="n">
        <v>0</v>
      </c>
      <c r="L304" t="n">
        <v>0</v>
      </c>
      <c r="M304" t="n">
        <v>0</v>
      </c>
      <c r="N304" t="n">
        <v>0</v>
      </c>
      <c r="O304" t="n">
        <v>0</v>
      </c>
      <c r="P304" t="n">
        <v>0</v>
      </c>
      <c r="Q304" t="n">
        <v>0</v>
      </c>
      <c r="R304" s="2" t="inlineStr"/>
    </row>
    <row r="305" ht="15" customHeight="1">
      <c r="A305" t="inlineStr">
        <is>
          <t>A 45674-2025</t>
        </is>
      </c>
      <c r="B305" s="1" t="n">
        <v>45923.3625</v>
      </c>
      <c r="C305" s="1" t="n">
        <v>46103</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12568-2025</t>
        </is>
      </c>
      <c r="B306" s="1" t="n">
        <v>45731.65049768519</v>
      </c>
      <c r="C306" s="1" t="n">
        <v>46103</v>
      </c>
      <c r="D306" t="inlineStr">
        <is>
          <t>ÖSTERGÖTLANDS LÄN</t>
        </is>
      </c>
      <c r="E306" t="inlineStr">
        <is>
          <t>KINDA</t>
        </is>
      </c>
      <c r="G306" t="n">
        <v>3.9</v>
      </c>
      <c r="H306" t="n">
        <v>0</v>
      </c>
      <c r="I306" t="n">
        <v>0</v>
      </c>
      <c r="J306" t="n">
        <v>0</v>
      </c>
      <c r="K306" t="n">
        <v>0</v>
      </c>
      <c r="L306" t="n">
        <v>0</v>
      </c>
      <c r="M306" t="n">
        <v>0</v>
      </c>
      <c r="N306" t="n">
        <v>0</v>
      </c>
      <c r="O306" t="n">
        <v>0</v>
      </c>
      <c r="P306" t="n">
        <v>0</v>
      </c>
      <c r="Q306" t="n">
        <v>0</v>
      </c>
      <c r="R306" s="2" t="inlineStr"/>
    </row>
    <row r="307" ht="15" customHeight="1">
      <c r="A307" t="inlineStr">
        <is>
          <t>A 1503-2023</t>
        </is>
      </c>
      <c r="B307" s="1" t="n">
        <v>44935</v>
      </c>
      <c r="C307" s="1" t="n">
        <v>46103</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24446-2025</t>
        </is>
      </c>
      <c r="B308" s="1" t="n">
        <v>45798.33460648148</v>
      </c>
      <c r="C308" s="1" t="n">
        <v>46103</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24448-2025</t>
        </is>
      </c>
      <c r="B309" s="1" t="n">
        <v>45798.33824074074</v>
      </c>
      <c r="C309" s="1" t="n">
        <v>46103</v>
      </c>
      <c r="D309" t="inlineStr">
        <is>
          <t>ÖSTERGÖTLANDS LÄN</t>
        </is>
      </c>
      <c r="E309" t="inlineStr">
        <is>
          <t>KINDA</t>
        </is>
      </c>
      <c r="G309" t="n">
        <v>0.7</v>
      </c>
      <c r="H309" t="n">
        <v>0</v>
      </c>
      <c r="I309" t="n">
        <v>0</v>
      </c>
      <c r="J309" t="n">
        <v>0</v>
      </c>
      <c r="K309" t="n">
        <v>0</v>
      </c>
      <c r="L309" t="n">
        <v>0</v>
      </c>
      <c r="M309" t="n">
        <v>0</v>
      </c>
      <c r="N309" t="n">
        <v>0</v>
      </c>
      <c r="O309" t="n">
        <v>0</v>
      </c>
      <c r="P309" t="n">
        <v>0</v>
      </c>
      <c r="Q309" t="n">
        <v>0</v>
      </c>
      <c r="R309" s="2" t="inlineStr"/>
    </row>
    <row r="310" ht="15" customHeight="1">
      <c r="A310" t="inlineStr">
        <is>
          <t>A 25626-2022</t>
        </is>
      </c>
      <c r="B310" s="1" t="n">
        <v>44732</v>
      </c>
      <c r="C310" s="1" t="n">
        <v>46103</v>
      </c>
      <c r="D310" t="inlineStr">
        <is>
          <t>ÖSTERGÖTLANDS LÄN</t>
        </is>
      </c>
      <c r="E310" t="inlineStr">
        <is>
          <t>KINDA</t>
        </is>
      </c>
      <c r="G310" t="n">
        <v>7</v>
      </c>
      <c r="H310" t="n">
        <v>0</v>
      </c>
      <c r="I310" t="n">
        <v>0</v>
      </c>
      <c r="J310" t="n">
        <v>0</v>
      </c>
      <c r="K310" t="n">
        <v>0</v>
      </c>
      <c r="L310" t="n">
        <v>0</v>
      </c>
      <c r="M310" t="n">
        <v>0</v>
      </c>
      <c r="N310" t="n">
        <v>0</v>
      </c>
      <c r="O310" t="n">
        <v>0</v>
      </c>
      <c r="P310" t="n">
        <v>0</v>
      </c>
      <c r="Q310" t="n">
        <v>0</v>
      </c>
      <c r="R310" s="2" t="inlineStr"/>
    </row>
    <row r="311" ht="15" customHeight="1">
      <c r="A311" t="inlineStr">
        <is>
          <t>A 40850-2025</t>
        </is>
      </c>
      <c r="B311" s="1" t="n">
        <v>45897.55149305556</v>
      </c>
      <c r="C311" s="1" t="n">
        <v>46103</v>
      </c>
      <c r="D311" t="inlineStr">
        <is>
          <t>ÖSTERGÖTLANDS LÄN</t>
        </is>
      </c>
      <c r="E311" t="inlineStr">
        <is>
          <t>KINDA</t>
        </is>
      </c>
      <c r="G311" t="n">
        <v>3</v>
      </c>
      <c r="H311" t="n">
        <v>0</v>
      </c>
      <c r="I311" t="n">
        <v>0</v>
      </c>
      <c r="J311" t="n">
        <v>0</v>
      </c>
      <c r="K311" t="n">
        <v>0</v>
      </c>
      <c r="L311" t="n">
        <v>0</v>
      </c>
      <c r="M311" t="n">
        <v>0</v>
      </c>
      <c r="N311" t="n">
        <v>0</v>
      </c>
      <c r="O311" t="n">
        <v>0</v>
      </c>
      <c r="P311" t="n">
        <v>0</v>
      </c>
      <c r="Q311" t="n">
        <v>0</v>
      </c>
      <c r="R311" s="2" t="inlineStr"/>
    </row>
    <row r="312" ht="15" customHeight="1">
      <c r="A312" t="inlineStr">
        <is>
          <t>A 17174-2022</t>
        </is>
      </c>
      <c r="B312" s="1" t="n">
        <v>44677</v>
      </c>
      <c r="C312" s="1" t="n">
        <v>46103</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41379-2024</t>
        </is>
      </c>
      <c r="B313" s="1" t="n">
        <v>45560.2703125</v>
      </c>
      <c r="C313" s="1" t="n">
        <v>46103</v>
      </c>
      <c r="D313" t="inlineStr">
        <is>
          <t>ÖSTERGÖTLANDS LÄN</t>
        </is>
      </c>
      <c r="E313" t="inlineStr">
        <is>
          <t>KINDA</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46919-2025</t>
        </is>
      </c>
      <c r="B314" s="1" t="n">
        <v>45929.43230324074</v>
      </c>
      <c r="C314" s="1" t="n">
        <v>46103</v>
      </c>
      <c r="D314" t="inlineStr">
        <is>
          <t>ÖSTERGÖTLANDS LÄN</t>
        </is>
      </c>
      <c r="E314" t="inlineStr">
        <is>
          <t>KINDA</t>
        </is>
      </c>
      <c r="G314" t="n">
        <v>2.9</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46103</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46103</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46103</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46890-2025</t>
        </is>
      </c>
      <c r="B318" s="1" t="n">
        <v>45929</v>
      </c>
      <c r="C318" s="1" t="n">
        <v>46103</v>
      </c>
      <c r="D318" t="inlineStr">
        <is>
          <t>ÖSTERGÖTLANDS LÄN</t>
        </is>
      </c>
      <c r="E318" t="inlineStr">
        <is>
          <t>KINDA</t>
        </is>
      </c>
      <c r="G318" t="n">
        <v>3.8</v>
      </c>
      <c r="H318" t="n">
        <v>0</v>
      </c>
      <c r="I318" t="n">
        <v>0</v>
      </c>
      <c r="J318" t="n">
        <v>0</v>
      </c>
      <c r="K318" t="n">
        <v>0</v>
      </c>
      <c r="L318" t="n">
        <v>0</v>
      </c>
      <c r="M318" t="n">
        <v>0</v>
      </c>
      <c r="N318" t="n">
        <v>0</v>
      </c>
      <c r="O318" t="n">
        <v>0</v>
      </c>
      <c r="P318" t="n">
        <v>0</v>
      </c>
      <c r="Q318" t="n">
        <v>0</v>
      </c>
      <c r="R318" s="2" t="inlineStr"/>
    </row>
    <row r="319" ht="15" customHeight="1">
      <c r="A319" t="inlineStr">
        <is>
          <t>A 46901-2025</t>
        </is>
      </c>
      <c r="B319" s="1" t="n">
        <v>45929.39244212963</v>
      </c>
      <c r="C319" s="1" t="n">
        <v>46103</v>
      </c>
      <c r="D319" t="inlineStr">
        <is>
          <t>ÖSTERGÖTLANDS LÄN</t>
        </is>
      </c>
      <c r="E319" t="inlineStr">
        <is>
          <t>KINDA</t>
        </is>
      </c>
      <c r="G319" t="n">
        <v>3.1</v>
      </c>
      <c r="H319" t="n">
        <v>0</v>
      </c>
      <c r="I319" t="n">
        <v>0</v>
      </c>
      <c r="J319" t="n">
        <v>0</v>
      </c>
      <c r="K319" t="n">
        <v>0</v>
      </c>
      <c r="L319" t="n">
        <v>0</v>
      </c>
      <c r="M319" t="n">
        <v>0</v>
      </c>
      <c r="N319" t="n">
        <v>0</v>
      </c>
      <c r="O319" t="n">
        <v>0</v>
      </c>
      <c r="P319" t="n">
        <v>0</v>
      </c>
      <c r="Q319" t="n">
        <v>0</v>
      </c>
      <c r="R319" s="2" t="inlineStr"/>
    </row>
    <row r="320" ht="15" customHeight="1">
      <c r="A320" t="inlineStr">
        <is>
          <t>A 8387-2026</t>
        </is>
      </c>
      <c r="B320" s="1" t="n">
        <v>46064.90125</v>
      </c>
      <c r="C320" s="1" t="n">
        <v>46103</v>
      </c>
      <c r="D320" t="inlineStr">
        <is>
          <t>ÖSTERGÖTLANDS LÄN</t>
        </is>
      </c>
      <c r="E320" t="inlineStr">
        <is>
          <t>KINDA</t>
        </is>
      </c>
      <c r="G320" t="n">
        <v>2.1</v>
      </c>
      <c r="H320" t="n">
        <v>0</v>
      </c>
      <c r="I320" t="n">
        <v>0</v>
      </c>
      <c r="J320" t="n">
        <v>0</v>
      </c>
      <c r="K320" t="n">
        <v>0</v>
      </c>
      <c r="L320" t="n">
        <v>0</v>
      </c>
      <c r="M320" t="n">
        <v>0</v>
      </c>
      <c r="N320" t="n">
        <v>0</v>
      </c>
      <c r="O320" t="n">
        <v>0</v>
      </c>
      <c r="P320" t="n">
        <v>0</v>
      </c>
      <c r="Q320" t="n">
        <v>0</v>
      </c>
      <c r="R320" s="2" t="inlineStr"/>
    </row>
    <row r="321" ht="15" customHeight="1">
      <c r="A321" t="inlineStr">
        <is>
          <t>A 46947-2025</t>
        </is>
      </c>
      <c r="B321" s="1" t="n">
        <v>45929.46361111111</v>
      </c>
      <c r="C321" s="1" t="n">
        <v>46103</v>
      </c>
      <c r="D321" t="inlineStr">
        <is>
          <t>ÖSTERGÖTLANDS LÄN</t>
        </is>
      </c>
      <c r="E321" t="inlineStr">
        <is>
          <t>KINDA</t>
        </is>
      </c>
      <c r="G321" t="n">
        <v>3.7</v>
      </c>
      <c r="H321" t="n">
        <v>0</v>
      </c>
      <c r="I321" t="n">
        <v>0</v>
      </c>
      <c r="J321" t="n">
        <v>0</v>
      </c>
      <c r="K321" t="n">
        <v>0</v>
      </c>
      <c r="L321" t="n">
        <v>0</v>
      </c>
      <c r="M321" t="n">
        <v>0</v>
      </c>
      <c r="N321" t="n">
        <v>0</v>
      </c>
      <c r="O321" t="n">
        <v>0</v>
      </c>
      <c r="P321" t="n">
        <v>0</v>
      </c>
      <c r="Q321" t="n">
        <v>0</v>
      </c>
      <c r="R321" s="2" t="inlineStr"/>
    </row>
    <row r="322" ht="15" customHeight="1">
      <c r="A322" t="inlineStr">
        <is>
          <t>A 9182-2024</t>
        </is>
      </c>
      <c r="B322" s="1" t="n">
        <v>45358.44520833333</v>
      </c>
      <c r="C322" s="1" t="n">
        <v>46103</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49798-2024</t>
        </is>
      </c>
      <c r="B323" s="1" t="n">
        <v>45597.37384259259</v>
      </c>
      <c r="C323" s="1" t="n">
        <v>46103</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46944-2025</t>
        </is>
      </c>
      <c r="B324" s="1" t="n">
        <v>45929.45878472222</v>
      </c>
      <c r="C324" s="1" t="n">
        <v>46103</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45757.48918981481</v>
      </c>
      <c r="C325" s="1" t="n">
        <v>46103</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24774-2025</t>
        </is>
      </c>
      <c r="B326" s="1" t="n">
        <v>45799</v>
      </c>
      <c r="C326" s="1" t="n">
        <v>46103</v>
      </c>
      <c r="D326" t="inlineStr">
        <is>
          <t>ÖSTERGÖTLANDS LÄN</t>
        </is>
      </c>
      <c r="E326" t="inlineStr">
        <is>
          <t>KINDA</t>
        </is>
      </c>
      <c r="G326" t="n">
        <v>1</v>
      </c>
      <c r="H326" t="n">
        <v>0</v>
      </c>
      <c r="I326" t="n">
        <v>0</v>
      </c>
      <c r="J326" t="n">
        <v>0</v>
      </c>
      <c r="K326" t="n">
        <v>0</v>
      </c>
      <c r="L326" t="n">
        <v>0</v>
      </c>
      <c r="M326" t="n">
        <v>0</v>
      </c>
      <c r="N326" t="n">
        <v>0</v>
      </c>
      <c r="O326" t="n">
        <v>0</v>
      </c>
      <c r="P326" t="n">
        <v>0</v>
      </c>
      <c r="Q326" t="n">
        <v>0</v>
      </c>
      <c r="R326" s="2" t="inlineStr"/>
    </row>
    <row r="327" ht="15" customHeight="1">
      <c r="A327" t="inlineStr">
        <is>
          <t>A 24754-2025</t>
        </is>
      </c>
      <c r="B327" s="1" t="n">
        <v>45799.36881944445</v>
      </c>
      <c r="C327" s="1" t="n">
        <v>46103</v>
      </c>
      <c r="D327" t="inlineStr">
        <is>
          <t>ÖSTERGÖTLANDS LÄN</t>
        </is>
      </c>
      <c r="E327" t="inlineStr">
        <is>
          <t>KINDA</t>
        </is>
      </c>
      <c r="G327" t="n">
        <v>2</v>
      </c>
      <c r="H327" t="n">
        <v>0</v>
      </c>
      <c r="I327" t="n">
        <v>0</v>
      </c>
      <c r="J327" t="n">
        <v>0</v>
      </c>
      <c r="K327" t="n">
        <v>0</v>
      </c>
      <c r="L327" t="n">
        <v>0</v>
      </c>
      <c r="M327" t="n">
        <v>0</v>
      </c>
      <c r="N327" t="n">
        <v>0</v>
      </c>
      <c r="O327" t="n">
        <v>0</v>
      </c>
      <c r="P327" t="n">
        <v>0</v>
      </c>
      <c r="Q327" t="n">
        <v>0</v>
      </c>
      <c r="R327" s="2" t="inlineStr"/>
    </row>
    <row r="328" ht="15" customHeight="1">
      <c r="A328" t="inlineStr">
        <is>
          <t>A 10823-2024</t>
        </is>
      </c>
      <c r="B328" s="1" t="n">
        <v>45369.67408564815</v>
      </c>
      <c r="C328" s="1" t="n">
        <v>46103</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46103</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21244-2023</t>
        </is>
      </c>
      <c r="B330" s="1" t="n">
        <v>45062.57160879629</v>
      </c>
      <c r="C330" s="1" t="n">
        <v>46103</v>
      </c>
      <c r="D330" t="inlineStr">
        <is>
          <t>ÖSTERGÖTLANDS LÄN</t>
        </is>
      </c>
      <c r="E330" t="inlineStr">
        <is>
          <t>KINDA</t>
        </is>
      </c>
      <c r="G330" t="n">
        <v>5.5</v>
      </c>
      <c r="H330" t="n">
        <v>0</v>
      </c>
      <c r="I330" t="n">
        <v>0</v>
      </c>
      <c r="J330" t="n">
        <v>0</v>
      </c>
      <c r="K330" t="n">
        <v>0</v>
      </c>
      <c r="L330" t="n">
        <v>0</v>
      </c>
      <c r="M330" t="n">
        <v>0</v>
      </c>
      <c r="N330" t="n">
        <v>0</v>
      </c>
      <c r="O330" t="n">
        <v>0</v>
      </c>
      <c r="P330" t="n">
        <v>0</v>
      </c>
      <c r="Q330" t="n">
        <v>0</v>
      </c>
      <c r="R330" s="2" t="inlineStr"/>
    </row>
    <row r="331" ht="15" customHeight="1">
      <c r="A331" t="inlineStr">
        <is>
          <t>A 9576-2024</t>
        </is>
      </c>
      <c r="B331" s="1" t="n">
        <v>45360.41204861111</v>
      </c>
      <c r="C331" s="1" t="n">
        <v>46103</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17669-2025</t>
        </is>
      </c>
      <c r="B332" s="1" t="n">
        <v>45758.36638888889</v>
      </c>
      <c r="C332" s="1" t="n">
        <v>46103</v>
      </c>
      <c r="D332" t="inlineStr">
        <is>
          <t>ÖSTERGÖTLANDS LÄN</t>
        </is>
      </c>
      <c r="E332" t="inlineStr">
        <is>
          <t>KINDA</t>
        </is>
      </c>
      <c r="G332" t="n">
        <v>0.5</v>
      </c>
      <c r="H332" t="n">
        <v>0</v>
      </c>
      <c r="I332" t="n">
        <v>0</v>
      </c>
      <c r="J332" t="n">
        <v>0</v>
      </c>
      <c r="K332" t="n">
        <v>0</v>
      </c>
      <c r="L332" t="n">
        <v>0</v>
      </c>
      <c r="M332" t="n">
        <v>0</v>
      </c>
      <c r="N332" t="n">
        <v>0</v>
      </c>
      <c r="O332" t="n">
        <v>0</v>
      </c>
      <c r="P332" t="n">
        <v>0</v>
      </c>
      <c r="Q332" t="n">
        <v>0</v>
      </c>
      <c r="R332" s="2" t="inlineStr"/>
    </row>
    <row r="333" ht="15" customHeight="1">
      <c r="A333" t="inlineStr">
        <is>
          <t>A 50403-2024</t>
        </is>
      </c>
      <c r="B333" s="1" t="n">
        <v>45601.35335648148</v>
      </c>
      <c r="C333" s="1" t="n">
        <v>46103</v>
      </c>
      <c r="D333" t="inlineStr">
        <is>
          <t>ÖSTERGÖTLANDS LÄN</t>
        </is>
      </c>
      <c r="E333" t="inlineStr">
        <is>
          <t>KINDA</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48193-2025</t>
        </is>
      </c>
      <c r="B334" s="1" t="n">
        <v>45933.46984953704</v>
      </c>
      <c r="C334" s="1" t="n">
        <v>46103</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47956-2025</t>
        </is>
      </c>
      <c r="B335" s="1" t="n">
        <v>45932.59002314815</v>
      </c>
      <c r="C335" s="1" t="n">
        <v>46103</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47958-2025</t>
        </is>
      </c>
      <c r="B336" s="1" t="n">
        <v>45932.59138888889</v>
      </c>
      <c r="C336" s="1" t="n">
        <v>46103</v>
      </c>
      <c r="D336" t="inlineStr">
        <is>
          <t>ÖSTERGÖTLANDS LÄN</t>
        </is>
      </c>
      <c r="E336" t="inlineStr">
        <is>
          <t>KINDA</t>
        </is>
      </c>
      <c r="G336" t="n">
        <v>5.5</v>
      </c>
      <c r="H336" t="n">
        <v>0</v>
      </c>
      <c r="I336" t="n">
        <v>0</v>
      </c>
      <c r="J336" t="n">
        <v>0</v>
      </c>
      <c r="K336" t="n">
        <v>0</v>
      </c>
      <c r="L336" t="n">
        <v>0</v>
      </c>
      <c r="M336" t="n">
        <v>0</v>
      </c>
      <c r="N336" t="n">
        <v>0</v>
      </c>
      <c r="O336" t="n">
        <v>0</v>
      </c>
      <c r="P336" t="n">
        <v>0</v>
      </c>
      <c r="Q336" t="n">
        <v>0</v>
      </c>
      <c r="R336" s="2" t="inlineStr"/>
    </row>
    <row r="337" ht="15" customHeight="1">
      <c r="A337" t="inlineStr">
        <is>
          <t>A 47936-2025</t>
        </is>
      </c>
      <c r="B337" s="1" t="n">
        <v>45932.55936342593</v>
      </c>
      <c r="C337" s="1" t="n">
        <v>46103</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46103</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654-2026</t>
        </is>
      </c>
      <c r="B339" s="1" t="n">
        <v>46029.57982638889</v>
      </c>
      <c r="C339" s="1" t="n">
        <v>46103</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35650-2022</t>
        </is>
      </c>
      <c r="B340" s="1" t="n">
        <v>44799</v>
      </c>
      <c r="C340" s="1" t="n">
        <v>46103</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35654-2022</t>
        </is>
      </c>
      <c r="B341" s="1" t="n">
        <v>44799.57753472222</v>
      </c>
      <c r="C341" s="1" t="n">
        <v>46103</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48194-2025</t>
        </is>
      </c>
      <c r="B342" s="1" t="n">
        <v>45933.47111111111</v>
      </c>
      <c r="C342" s="1" t="n">
        <v>46103</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656-2026</t>
        </is>
      </c>
      <c r="B343" s="1" t="n">
        <v>46029.58138888889</v>
      </c>
      <c r="C343" s="1" t="n">
        <v>46103</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57500-2024</t>
        </is>
      </c>
      <c r="B344" s="1" t="n">
        <v>45629</v>
      </c>
      <c r="C344" s="1" t="n">
        <v>46103</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10095-2026</t>
        </is>
      </c>
      <c r="B345" s="1" t="n">
        <v>46073.72185185185</v>
      </c>
      <c r="C345" s="1" t="n">
        <v>46103</v>
      </c>
      <c r="D345" t="inlineStr">
        <is>
          <t>ÖSTERGÖTLANDS LÄN</t>
        </is>
      </c>
      <c r="E345" t="inlineStr">
        <is>
          <t>KINDA</t>
        </is>
      </c>
      <c r="G345" t="n">
        <v>4.1</v>
      </c>
      <c r="H345" t="n">
        <v>0</v>
      </c>
      <c r="I345" t="n">
        <v>0</v>
      </c>
      <c r="J345" t="n">
        <v>0</v>
      </c>
      <c r="K345" t="n">
        <v>0</v>
      </c>
      <c r="L345" t="n">
        <v>0</v>
      </c>
      <c r="M345" t="n">
        <v>0</v>
      </c>
      <c r="N345" t="n">
        <v>0</v>
      </c>
      <c r="O345" t="n">
        <v>0</v>
      </c>
      <c r="P345" t="n">
        <v>0</v>
      </c>
      <c r="Q345" t="n">
        <v>0</v>
      </c>
      <c r="R345" s="2" t="inlineStr"/>
    </row>
    <row r="346" ht="15" customHeight="1">
      <c r="A346" t="inlineStr">
        <is>
          <t>A 48592-2025</t>
        </is>
      </c>
      <c r="B346" s="1" t="n">
        <v>45935</v>
      </c>
      <c r="C346" s="1" t="n">
        <v>46103</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61957-2022</t>
        </is>
      </c>
      <c r="B347" s="1" t="n">
        <v>44918.34216435185</v>
      </c>
      <c r="C347" s="1" t="n">
        <v>46103</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26146-2024</t>
        </is>
      </c>
      <c r="B348" s="1" t="n">
        <v>45468.49909722222</v>
      </c>
      <c r="C348" s="1" t="n">
        <v>46103</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46103</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57336-2023</t>
        </is>
      </c>
      <c r="B350" s="1" t="n">
        <v>45245.66636574074</v>
      </c>
      <c r="C350" s="1" t="n">
        <v>46103</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13782-2023</t>
        </is>
      </c>
      <c r="B351" s="1" t="n">
        <v>45007</v>
      </c>
      <c r="C351" s="1" t="n">
        <v>46103</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17671-2025</t>
        </is>
      </c>
      <c r="B352" s="1" t="n">
        <v>45758.36788194445</v>
      </c>
      <c r="C352" s="1" t="n">
        <v>46103</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15302-2025</t>
        </is>
      </c>
      <c r="B353" s="1" t="n">
        <v>45746.48921296297</v>
      </c>
      <c r="C353" s="1" t="n">
        <v>46103</v>
      </c>
      <c r="D353" t="inlineStr">
        <is>
          <t>ÖSTERGÖTLANDS LÄN</t>
        </is>
      </c>
      <c r="E353" t="inlineStr">
        <is>
          <t>KINDA</t>
        </is>
      </c>
      <c r="G353" t="n">
        <v>5.6</v>
      </c>
      <c r="H353" t="n">
        <v>0</v>
      </c>
      <c r="I353" t="n">
        <v>0</v>
      </c>
      <c r="J353" t="n">
        <v>0</v>
      </c>
      <c r="K353" t="n">
        <v>0</v>
      </c>
      <c r="L353" t="n">
        <v>0</v>
      </c>
      <c r="M353" t="n">
        <v>0</v>
      </c>
      <c r="N353" t="n">
        <v>0</v>
      </c>
      <c r="O353" t="n">
        <v>0</v>
      </c>
      <c r="P353" t="n">
        <v>0</v>
      </c>
      <c r="Q353" t="n">
        <v>0</v>
      </c>
      <c r="R353" s="2" t="inlineStr"/>
    </row>
    <row r="354" ht="15" customHeight="1">
      <c r="A354" t="inlineStr">
        <is>
          <t>A 49834-2025</t>
        </is>
      </c>
      <c r="B354" s="1" t="n">
        <v>45940.46385416666</v>
      </c>
      <c r="C354" s="1" t="n">
        <v>46103</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50179-2025</t>
        </is>
      </c>
      <c r="B355" s="1" t="n">
        <v>45943.61493055556</v>
      </c>
      <c r="C355" s="1" t="n">
        <v>46103</v>
      </c>
      <c r="D355" t="inlineStr">
        <is>
          <t>ÖSTERGÖTLANDS LÄN</t>
        </is>
      </c>
      <c r="E355" t="inlineStr">
        <is>
          <t>KINDA</t>
        </is>
      </c>
      <c r="G355" t="n">
        <v>1.6</v>
      </c>
      <c r="H355" t="n">
        <v>0</v>
      </c>
      <c r="I355" t="n">
        <v>0</v>
      </c>
      <c r="J355" t="n">
        <v>0</v>
      </c>
      <c r="K355" t="n">
        <v>0</v>
      </c>
      <c r="L355" t="n">
        <v>0</v>
      </c>
      <c r="M355" t="n">
        <v>0</v>
      </c>
      <c r="N355" t="n">
        <v>0</v>
      </c>
      <c r="O355" t="n">
        <v>0</v>
      </c>
      <c r="P355" t="n">
        <v>0</v>
      </c>
      <c r="Q355" t="n">
        <v>0</v>
      </c>
      <c r="R355" s="2" t="inlineStr"/>
    </row>
    <row r="356" ht="15" customHeight="1">
      <c r="A356" t="inlineStr">
        <is>
          <t>A 15599-2023</t>
        </is>
      </c>
      <c r="B356" s="1" t="n">
        <v>45020.71773148148</v>
      </c>
      <c r="C356" s="1" t="n">
        <v>46103</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1491-2026</t>
        </is>
      </c>
      <c r="B357" s="1" t="n">
        <v>46034.30648148148</v>
      </c>
      <c r="C357" s="1" t="n">
        <v>46103</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5706-2024</t>
        </is>
      </c>
      <c r="B358" s="1" t="n">
        <v>45334.82431712963</v>
      </c>
      <c r="C358" s="1" t="n">
        <v>46103</v>
      </c>
      <c r="D358" t="inlineStr">
        <is>
          <t>ÖSTERGÖTLANDS LÄN</t>
        </is>
      </c>
      <c r="E358" t="inlineStr">
        <is>
          <t>KINDA</t>
        </is>
      </c>
      <c r="G358" t="n">
        <v>5.3</v>
      </c>
      <c r="H358" t="n">
        <v>0</v>
      </c>
      <c r="I358" t="n">
        <v>0</v>
      </c>
      <c r="J358" t="n">
        <v>0</v>
      </c>
      <c r="K358" t="n">
        <v>0</v>
      </c>
      <c r="L358" t="n">
        <v>0</v>
      </c>
      <c r="M358" t="n">
        <v>0</v>
      </c>
      <c r="N358" t="n">
        <v>0</v>
      </c>
      <c r="O358" t="n">
        <v>0</v>
      </c>
      <c r="P358" t="n">
        <v>0</v>
      </c>
      <c r="Q358" t="n">
        <v>0</v>
      </c>
      <c r="R358" s="2" t="inlineStr"/>
    </row>
    <row r="359" ht="15" customHeight="1">
      <c r="A359" t="inlineStr">
        <is>
          <t>A 62260-2023</t>
        </is>
      </c>
      <c r="B359" s="1" t="n">
        <v>45267.6274537037</v>
      </c>
      <c r="C359" s="1" t="n">
        <v>46103</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3820-2024</t>
        </is>
      </c>
      <c r="B360" s="1" t="n">
        <v>45321.70762731481</v>
      </c>
      <c r="C360" s="1" t="n">
        <v>46103</v>
      </c>
      <c r="D360" t="inlineStr">
        <is>
          <t>ÖSTERGÖTLANDS LÄN</t>
        </is>
      </c>
      <c r="E360" t="inlineStr">
        <is>
          <t>KINDA</t>
        </is>
      </c>
      <c r="G360" t="n">
        <v>3.4</v>
      </c>
      <c r="H360" t="n">
        <v>0</v>
      </c>
      <c r="I360" t="n">
        <v>0</v>
      </c>
      <c r="J360" t="n">
        <v>0</v>
      </c>
      <c r="K360" t="n">
        <v>0</v>
      </c>
      <c r="L360" t="n">
        <v>0</v>
      </c>
      <c r="M360" t="n">
        <v>0</v>
      </c>
      <c r="N360" t="n">
        <v>0</v>
      </c>
      <c r="O360" t="n">
        <v>0</v>
      </c>
      <c r="P360" t="n">
        <v>0</v>
      </c>
      <c r="Q360" t="n">
        <v>0</v>
      </c>
      <c r="R360" s="2" t="inlineStr"/>
    </row>
    <row r="361" ht="15" customHeight="1">
      <c r="A361" t="inlineStr">
        <is>
          <t>A 10517-2026</t>
        </is>
      </c>
      <c r="B361" s="1" t="n">
        <v>46077.57380787037</v>
      </c>
      <c r="C361" s="1" t="n">
        <v>46103</v>
      </c>
      <c r="D361" t="inlineStr">
        <is>
          <t>ÖSTERGÖTLANDS LÄN</t>
        </is>
      </c>
      <c r="E361" t="inlineStr">
        <is>
          <t>KINDA</t>
        </is>
      </c>
      <c r="G361" t="n">
        <v>3.3</v>
      </c>
      <c r="H361" t="n">
        <v>0</v>
      </c>
      <c r="I361" t="n">
        <v>0</v>
      </c>
      <c r="J361" t="n">
        <v>0</v>
      </c>
      <c r="K361" t="n">
        <v>0</v>
      </c>
      <c r="L361" t="n">
        <v>0</v>
      </c>
      <c r="M361" t="n">
        <v>0</v>
      </c>
      <c r="N361" t="n">
        <v>0</v>
      </c>
      <c r="O361" t="n">
        <v>0</v>
      </c>
      <c r="P361" t="n">
        <v>0</v>
      </c>
      <c r="Q361" t="n">
        <v>0</v>
      </c>
      <c r="R361" s="2" t="inlineStr"/>
    </row>
    <row r="362" ht="15" customHeight="1">
      <c r="A362" t="inlineStr">
        <is>
          <t>A 1818-2026</t>
        </is>
      </c>
      <c r="B362" s="1" t="n">
        <v>46035.35317129629</v>
      </c>
      <c r="C362" s="1" t="n">
        <v>46103</v>
      </c>
      <c r="D362" t="inlineStr">
        <is>
          <t>ÖSTERGÖTLANDS LÄN</t>
        </is>
      </c>
      <c r="E362" t="inlineStr">
        <is>
          <t>KINDA</t>
        </is>
      </c>
      <c r="G362" t="n">
        <v>5.3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46103</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1704-2026</t>
        </is>
      </c>
      <c r="B364" s="1" t="n">
        <v>46034.59744212963</v>
      </c>
      <c r="C364" s="1" t="n">
        <v>46103</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9399-2023</t>
        </is>
      </c>
      <c r="B365" s="1" t="n">
        <v>44981</v>
      </c>
      <c r="C365" s="1" t="n">
        <v>46103</v>
      </c>
      <c r="D365" t="inlineStr">
        <is>
          <t>ÖSTERGÖTLANDS LÄN</t>
        </is>
      </c>
      <c r="E365" t="inlineStr">
        <is>
          <t>KINDA</t>
        </is>
      </c>
      <c r="G365" t="n">
        <v>0.5</v>
      </c>
      <c r="H365" t="n">
        <v>0</v>
      </c>
      <c r="I365" t="n">
        <v>0</v>
      </c>
      <c r="J365" t="n">
        <v>0</v>
      </c>
      <c r="K365" t="n">
        <v>0</v>
      </c>
      <c r="L365" t="n">
        <v>0</v>
      </c>
      <c r="M365" t="n">
        <v>0</v>
      </c>
      <c r="N365" t="n">
        <v>0</v>
      </c>
      <c r="O365" t="n">
        <v>0</v>
      </c>
      <c r="P365" t="n">
        <v>0</v>
      </c>
      <c r="Q365" t="n">
        <v>0</v>
      </c>
      <c r="R365" s="2" t="inlineStr"/>
    </row>
    <row r="366" ht="15" customHeight="1">
      <c r="A366" t="inlineStr">
        <is>
          <t>A 39774-2023</t>
        </is>
      </c>
      <c r="B366" s="1" t="n">
        <v>45167</v>
      </c>
      <c r="C366" s="1" t="n">
        <v>46103</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12623-2024</t>
        </is>
      </c>
      <c r="B367" s="1" t="n">
        <v>45383</v>
      </c>
      <c r="C367" s="1" t="n">
        <v>46103</v>
      </c>
      <c r="D367" t="inlineStr">
        <is>
          <t>ÖSTERGÖTLANDS LÄN</t>
        </is>
      </c>
      <c r="E367" t="inlineStr">
        <is>
          <t>KINDA</t>
        </is>
      </c>
      <c r="G367" t="n">
        <v>2.4</v>
      </c>
      <c r="H367" t="n">
        <v>0</v>
      </c>
      <c r="I367" t="n">
        <v>0</v>
      </c>
      <c r="J367" t="n">
        <v>0</v>
      </c>
      <c r="K367" t="n">
        <v>0</v>
      </c>
      <c r="L367" t="n">
        <v>0</v>
      </c>
      <c r="M367" t="n">
        <v>0</v>
      </c>
      <c r="N367" t="n">
        <v>0</v>
      </c>
      <c r="O367" t="n">
        <v>0</v>
      </c>
      <c r="P367" t="n">
        <v>0</v>
      </c>
      <c r="Q367" t="n">
        <v>0</v>
      </c>
      <c r="R367" s="2" t="inlineStr"/>
    </row>
    <row r="368" ht="15" customHeight="1">
      <c r="A368" t="inlineStr">
        <is>
          <t>A 2168-2026</t>
        </is>
      </c>
      <c r="B368" s="1" t="n">
        <v>46036.44412037037</v>
      </c>
      <c r="C368" s="1" t="n">
        <v>46103</v>
      </c>
      <c r="D368" t="inlineStr">
        <is>
          <t>ÖSTERGÖTLANDS LÄN</t>
        </is>
      </c>
      <c r="E368" t="inlineStr">
        <is>
          <t>KINDA</t>
        </is>
      </c>
      <c r="G368" t="n">
        <v>1.5</v>
      </c>
      <c r="H368" t="n">
        <v>0</v>
      </c>
      <c r="I368" t="n">
        <v>0</v>
      </c>
      <c r="J368" t="n">
        <v>0</v>
      </c>
      <c r="K368" t="n">
        <v>0</v>
      </c>
      <c r="L368" t="n">
        <v>0</v>
      </c>
      <c r="M368" t="n">
        <v>0</v>
      </c>
      <c r="N368" t="n">
        <v>0</v>
      </c>
      <c r="O368" t="n">
        <v>0</v>
      </c>
      <c r="P368" t="n">
        <v>0</v>
      </c>
      <c r="Q368" t="n">
        <v>0</v>
      </c>
      <c r="R368" s="2" t="inlineStr"/>
    </row>
    <row r="369" ht="15" customHeight="1">
      <c r="A369" t="inlineStr">
        <is>
          <t>A 47003-2025</t>
        </is>
      </c>
      <c r="B369" s="1" t="n">
        <v>45929</v>
      </c>
      <c r="C369" s="1" t="n">
        <v>46103</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3486-2023</t>
        </is>
      </c>
      <c r="B370" s="1" t="n">
        <v>44949.73369212963</v>
      </c>
      <c r="C370" s="1" t="n">
        <v>46103</v>
      </c>
      <c r="D370" t="inlineStr">
        <is>
          <t>ÖSTERGÖTLANDS LÄN</t>
        </is>
      </c>
      <c r="E370" t="inlineStr">
        <is>
          <t>KINDA</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50741-2025</t>
        </is>
      </c>
      <c r="B371" s="1" t="n">
        <v>45946.3800462963</v>
      </c>
      <c r="C371" s="1" t="n">
        <v>46103</v>
      </c>
      <c r="D371" t="inlineStr">
        <is>
          <t>ÖSTERGÖTLANDS LÄN</t>
        </is>
      </c>
      <c r="E371" t="inlineStr">
        <is>
          <t>KINDA</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53239-2023</t>
        </is>
      </c>
      <c r="B372" s="1" t="n">
        <v>45229</v>
      </c>
      <c r="C372" s="1" t="n">
        <v>46103</v>
      </c>
      <c r="D372" t="inlineStr">
        <is>
          <t>ÖSTERGÖTLANDS LÄN</t>
        </is>
      </c>
      <c r="E372" t="inlineStr">
        <is>
          <t>KINDA</t>
        </is>
      </c>
      <c r="F372" t="inlineStr">
        <is>
          <t>Allmännings- och besparingsskogar</t>
        </is>
      </c>
      <c r="G372" t="n">
        <v>10.3</v>
      </c>
      <c r="H372" t="n">
        <v>0</v>
      </c>
      <c r="I372" t="n">
        <v>0</v>
      </c>
      <c r="J372" t="n">
        <v>0</v>
      </c>
      <c r="K372" t="n">
        <v>0</v>
      </c>
      <c r="L372" t="n">
        <v>0</v>
      </c>
      <c r="M372" t="n">
        <v>0</v>
      </c>
      <c r="N372" t="n">
        <v>0</v>
      </c>
      <c r="O372" t="n">
        <v>0</v>
      </c>
      <c r="P372" t="n">
        <v>0</v>
      </c>
      <c r="Q372" t="n">
        <v>0</v>
      </c>
      <c r="R372" s="2" t="inlineStr"/>
    </row>
    <row r="373" ht="15" customHeight="1">
      <c r="A373" t="inlineStr">
        <is>
          <t>A 10758-2022</t>
        </is>
      </c>
      <c r="B373" s="1" t="n">
        <v>44627</v>
      </c>
      <c r="C373" s="1" t="n">
        <v>46103</v>
      </c>
      <c r="D373" t="inlineStr">
        <is>
          <t>ÖSTERGÖTLANDS LÄN</t>
        </is>
      </c>
      <c r="E373" t="inlineStr">
        <is>
          <t>KINDA</t>
        </is>
      </c>
      <c r="G373" t="n">
        <v>0.1</v>
      </c>
      <c r="H373" t="n">
        <v>0</v>
      </c>
      <c r="I373" t="n">
        <v>0</v>
      </c>
      <c r="J373" t="n">
        <v>0</v>
      </c>
      <c r="K373" t="n">
        <v>0</v>
      </c>
      <c r="L373" t="n">
        <v>0</v>
      </c>
      <c r="M373" t="n">
        <v>0</v>
      </c>
      <c r="N373" t="n">
        <v>0</v>
      </c>
      <c r="O373" t="n">
        <v>0</v>
      </c>
      <c r="P373" t="n">
        <v>0</v>
      </c>
      <c r="Q373" t="n">
        <v>0</v>
      </c>
      <c r="R373" s="2" t="inlineStr"/>
    </row>
    <row r="374" ht="15" customHeight="1">
      <c r="A374" t="inlineStr">
        <is>
          <t>A 24067-2022</t>
        </is>
      </c>
      <c r="B374" s="1" t="n">
        <v>44725.33693287037</v>
      </c>
      <c r="C374" s="1" t="n">
        <v>46103</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1880-2025</t>
        </is>
      </c>
      <c r="B375" s="1" t="n">
        <v>45671.62322916667</v>
      </c>
      <c r="C375" s="1" t="n">
        <v>46103</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43688-2023</t>
        </is>
      </c>
      <c r="B376" s="1" t="n">
        <v>45187</v>
      </c>
      <c r="C376" s="1" t="n">
        <v>46103</v>
      </c>
      <c r="D376" t="inlineStr">
        <is>
          <t>ÖSTERGÖTLANDS LÄN</t>
        </is>
      </c>
      <c r="E376" t="inlineStr">
        <is>
          <t>KINDA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24844-2024</t>
        </is>
      </c>
      <c r="B377" s="1" t="n">
        <v>45461.42116898148</v>
      </c>
      <c r="C377" s="1" t="n">
        <v>46103</v>
      </c>
      <c r="D377" t="inlineStr">
        <is>
          <t>ÖSTERGÖTLANDS LÄN</t>
        </is>
      </c>
      <c r="E377" t="inlineStr">
        <is>
          <t>KINDA</t>
        </is>
      </c>
      <c r="G377" t="n">
        <v>0.9</v>
      </c>
      <c r="H377" t="n">
        <v>0</v>
      </c>
      <c r="I377" t="n">
        <v>0</v>
      </c>
      <c r="J377" t="n">
        <v>0</v>
      </c>
      <c r="K377" t="n">
        <v>0</v>
      </c>
      <c r="L377" t="n">
        <v>0</v>
      </c>
      <c r="M377" t="n">
        <v>0</v>
      </c>
      <c r="N377" t="n">
        <v>0</v>
      </c>
      <c r="O377" t="n">
        <v>0</v>
      </c>
      <c r="P377" t="n">
        <v>0</v>
      </c>
      <c r="Q377" t="n">
        <v>0</v>
      </c>
      <c r="R377" s="2" t="inlineStr"/>
    </row>
    <row r="378" ht="15" customHeight="1">
      <c r="A378" t="inlineStr">
        <is>
          <t>A 11183-2026</t>
        </is>
      </c>
      <c r="B378" s="1" t="n">
        <v>46080.39516203704</v>
      </c>
      <c r="C378" s="1" t="n">
        <v>46103</v>
      </c>
      <c r="D378" t="inlineStr">
        <is>
          <t>ÖSTERGÖTLANDS LÄN</t>
        </is>
      </c>
      <c r="E378" t="inlineStr">
        <is>
          <t>KINDA</t>
        </is>
      </c>
      <c r="G378" t="n">
        <v>0.8</v>
      </c>
      <c r="H378" t="n">
        <v>0</v>
      </c>
      <c r="I378" t="n">
        <v>0</v>
      </c>
      <c r="J378" t="n">
        <v>0</v>
      </c>
      <c r="K378" t="n">
        <v>0</v>
      </c>
      <c r="L378" t="n">
        <v>0</v>
      </c>
      <c r="M378" t="n">
        <v>0</v>
      </c>
      <c r="N378" t="n">
        <v>0</v>
      </c>
      <c r="O378" t="n">
        <v>0</v>
      </c>
      <c r="P378" t="n">
        <v>0</v>
      </c>
      <c r="Q378" t="n">
        <v>0</v>
      </c>
      <c r="R378" s="2" t="inlineStr"/>
    </row>
    <row r="379" ht="15" customHeight="1">
      <c r="A379" t="inlineStr">
        <is>
          <t>A 3217-2026</t>
        </is>
      </c>
      <c r="B379" s="1" t="n">
        <v>46041.50924768519</v>
      </c>
      <c r="C379" s="1" t="n">
        <v>46103</v>
      </c>
      <c r="D379" t="inlineStr">
        <is>
          <t>ÖSTERGÖTLANDS LÄN</t>
        </is>
      </c>
      <c r="E379" t="inlineStr">
        <is>
          <t>KINDA</t>
        </is>
      </c>
      <c r="G379" t="n">
        <v>7.9</v>
      </c>
      <c r="H379" t="n">
        <v>0</v>
      </c>
      <c r="I379" t="n">
        <v>0</v>
      </c>
      <c r="J379" t="n">
        <v>0</v>
      </c>
      <c r="K379" t="n">
        <v>0</v>
      </c>
      <c r="L379" t="n">
        <v>0</v>
      </c>
      <c r="M379" t="n">
        <v>0</v>
      </c>
      <c r="N379" t="n">
        <v>0</v>
      </c>
      <c r="O379" t="n">
        <v>0</v>
      </c>
      <c r="P379" t="n">
        <v>0</v>
      </c>
      <c r="Q379" t="n">
        <v>0</v>
      </c>
      <c r="R379" s="2" t="inlineStr"/>
    </row>
    <row r="380" ht="15" customHeight="1">
      <c r="A380" t="inlineStr">
        <is>
          <t>A 8590-2024</t>
        </is>
      </c>
      <c r="B380" s="1" t="n">
        <v>45352</v>
      </c>
      <c r="C380" s="1" t="n">
        <v>46103</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21716-2024</t>
        </is>
      </c>
      <c r="B381" s="1" t="n">
        <v>45442.48741898148</v>
      </c>
      <c r="C381" s="1" t="n">
        <v>46103</v>
      </c>
      <c r="D381" t="inlineStr">
        <is>
          <t>ÖSTERGÖTLANDS LÄN</t>
        </is>
      </c>
      <c r="E381" t="inlineStr">
        <is>
          <t>KINDA</t>
        </is>
      </c>
      <c r="G381" t="n">
        <v>0.2</v>
      </c>
      <c r="H381" t="n">
        <v>0</v>
      </c>
      <c r="I381" t="n">
        <v>0</v>
      </c>
      <c r="J381" t="n">
        <v>0</v>
      </c>
      <c r="K381" t="n">
        <v>0</v>
      </c>
      <c r="L381" t="n">
        <v>0</v>
      </c>
      <c r="M381" t="n">
        <v>0</v>
      </c>
      <c r="N381" t="n">
        <v>0</v>
      </c>
      <c r="O381" t="n">
        <v>0</v>
      </c>
      <c r="P381" t="n">
        <v>0</v>
      </c>
      <c r="Q381" t="n">
        <v>0</v>
      </c>
      <c r="R381" s="2" t="inlineStr"/>
    </row>
    <row r="382" ht="15" customHeight="1">
      <c r="A382" t="inlineStr">
        <is>
          <t>A 52766-2025</t>
        </is>
      </c>
      <c r="B382" s="1" t="n">
        <v>45957.4008912037</v>
      </c>
      <c r="C382" s="1" t="n">
        <v>46103</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11231-2026</t>
        </is>
      </c>
      <c r="B383" s="1" t="n">
        <v>46080.49003472222</v>
      </c>
      <c r="C383" s="1" t="n">
        <v>46103</v>
      </c>
      <c r="D383" t="inlineStr">
        <is>
          <t>ÖSTERGÖTLANDS LÄN</t>
        </is>
      </c>
      <c r="E383" t="inlineStr">
        <is>
          <t>KINDA</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1157-2024</t>
        </is>
      </c>
      <c r="B384" s="1" t="n">
        <v>45302.51340277777</v>
      </c>
      <c r="C384" s="1" t="n">
        <v>46103</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5665-2023</t>
        </is>
      </c>
      <c r="B385" s="1" t="n">
        <v>44960.64481481481</v>
      </c>
      <c r="C385" s="1" t="n">
        <v>46103</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19161-2025</t>
        </is>
      </c>
      <c r="B386" s="1" t="n">
        <v>45769.37105324074</v>
      </c>
      <c r="C386" s="1" t="n">
        <v>46103</v>
      </c>
      <c r="D386" t="inlineStr">
        <is>
          <t>ÖSTERGÖTLANDS LÄN</t>
        </is>
      </c>
      <c r="E386" t="inlineStr">
        <is>
          <t>KINDA</t>
        </is>
      </c>
      <c r="F386" t="inlineStr">
        <is>
          <t>Övriga Aktiebolag</t>
        </is>
      </c>
      <c r="G386" t="n">
        <v>2.5</v>
      </c>
      <c r="H386" t="n">
        <v>0</v>
      </c>
      <c r="I386" t="n">
        <v>0</v>
      </c>
      <c r="J386" t="n">
        <v>0</v>
      </c>
      <c r="K386" t="n">
        <v>0</v>
      </c>
      <c r="L386" t="n">
        <v>0</v>
      </c>
      <c r="M386" t="n">
        <v>0</v>
      </c>
      <c r="N386" t="n">
        <v>0</v>
      </c>
      <c r="O386" t="n">
        <v>0</v>
      </c>
      <c r="P386" t="n">
        <v>0</v>
      </c>
      <c r="Q386" t="n">
        <v>0</v>
      </c>
      <c r="R386" s="2" t="inlineStr"/>
    </row>
    <row r="387" ht="15" customHeight="1">
      <c r="A387" t="inlineStr">
        <is>
          <t>A 3752-2026</t>
        </is>
      </c>
      <c r="B387" s="1" t="n">
        <v>46043.54976851852</v>
      </c>
      <c r="C387" s="1" t="n">
        <v>46103</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3849-2026</t>
        </is>
      </c>
      <c r="B388" s="1" t="n">
        <v>46043.6057175926</v>
      </c>
      <c r="C388" s="1" t="n">
        <v>46103</v>
      </c>
      <c r="D388" t="inlineStr">
        <is>
          <t>ÖSTERGÖTLANDS LÄN</t>
        </is>
      </c>
      <c r="E388" t="inlineStr">
        <is>
          <t>KINDA</t>
        </is>
      </c>
      <c r="F388" t="inlineStr">
        <is>
          <t>Kommuner</t>
        </is>
      </c>
      <c r="G388" t="n">
        <v>0.8</v>
      </c>
      <c r="H388" t="n">
        <v>0</v>
      </c>
      <c r="I388" t="n">
        <v>0</v>
      </c>
      <c r="J388" t="n">
        <v>0</v>
      </c>
      <c r="K388" t="n">
        <v>0</v>
      </c>
      <c r="L388" t="n">
        <v>0</v>
      </c>
      <c r="M388" t="n">
        <v>0</v>
      </c>
      <c r="N388" t="n">
        <v>0</v>
      </c>
      <c r="O388" t="n">
        <v>0</v>
      </c>
      <c r="P388" t="n">
        <v>0</v>
      </c>
      <c r="Q388" t="n">
        <v>0</v>
      </c>
      <c r="R388" s="2" t="inlineStr"/>
    </row>
    <row r="389" ht="15" customHeight="1">
      <c r="A389" t="inlineStr">
        <is>
          <t>A 53417-2025</t>
        </is>
      </c>
      <c r="B389" s="1" t="n">
        <v>45959.58710648148</v>
      </c>
      <c r="C389" s="1" t="n">
        <v>46103</v>
      </c>
      <c r="D389" t="inlineStr">
        <is>
          <t>ÖSTERGÖTLANDS LÄN</t>
        </is>
      </c>
      <c r="E389" t="inlineStr">
        <is>
          <t>KINDA</t>
        </is>
      </c>
      <c r="G389" t="n">
        <v>4.5</v>
      </c>
      <c r="H389" t="n">
        <v>0</v>
      </c>
      <c r="I389" t="n">
        <v>0</v>
      </c>
      <c r="J389" t="n">
        <v>0</v>
      </c>
      <c r="K389" t="n">
        <v>0</v>
      </c>
      <c r="L389" t="n">
        <v>0</v>
      </c>
      <c r="M389" t="n">
        <v>0</v>
      </c>
      <c r="N389" t="n">
        <v>0</v>
      </c>
      <c r="O389" t="n">
        <v>0</v>
      </c>
      <c r="P389" t="n">
        <v>0</v>
      </c>
      <c r="Q389" t="n">
        <v>0</v>
      </c>
      <c r="R389" s="2" t="inlineStr"/>
    </row>
    <row r="390" ht="15" customHeight="1">
      <c r="A390" t="inlineStr">
        <is>
          <t>A 57342-2023</t>
        </is>
      </c>
      <c r="B390" s="1" t="n">
        <v>45245.67082175926</v>
      </c>
      <c r="C390" s="1" t="n">
        <v>46103</v>
      </c>
      <c r="D390" t="inlineStr">
        <is>
          <t>ÖSTERGÖTLANDS LÄN</t>
        </is>
      </c>
      <c r="E390" t="inlineStr">
        <is>
          <t>KINDA</t>
        </is>
      </c>
      <c r="G390" t="n">
        <v>2.7</v>
      </c>
      <c r="H390" t="n">
        <v>0</v>
      </c>
      <c r="I390" t="n">
        <v>0</v>
      </c>
      <c r="J390" t="n">
        <v>0</v>
      </c>
      <c r="K390" t="n">
        <v>0</v>
      </c>
      <c r="L390" t="n">
        <v>0</v>
      </c>
      <c r="M390" t="n">
        <v>0</v>
      </c>
      <c r="N390" t="n">
        <v>0</v>
      </c>
      <c r="O390" t="n">
        <v>0</v>
      </c>
      <c r="P390" t="n">
        <v>0</v>
      </c>
      <c r="Q390" t="n">
        <v>0</v>
      </c>
      <c r="R390" s="2" t="inlineStr"/>
    </row>
    <row r="391" ht="15" customHeight="1">
      <c r="A391" t="inlineStr">
        <is>
          <t>A 11922-2026</t>
        </is>
      </c>
      <c r="B391" s="1" t="n">
        <v>46085.571875</v>
      </c>
      <c r="C391" s="1" t="n">
        <v>46103</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53808-2025</t>
        </is>
      </c>
      <c r="B392" s="1" t="n">
        <v>45960.86200231482</v>
      </c>
      <c r="C392" s="1" t="n">
        <v>46103</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35672-2022</t>
        </is>
      </c>
      <c r="B393" s="1" t="n">
        <v>44799.59876157407</v>
      </c>
      <c r="C393" s="1" t="n">
        <v>46103</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29717-2023</t>
        </is>
      </c>
      <c r="B394" s="1" t="n">
        <v>45107.42807870371</v>
      </c>
      <c r="C394" s="1" t="n">
        <v>46103</v>
      </c>
      <c r="D394" t="inlineStr">
        <is>
          <t>ÖSTERGÖTLANDS LÄN</t>
        </is>
      </c>
      <c r="E394" t="inlineStr">
        <is>
          <t>KINDA</t>
        </is>
      </c>
      <c r="G394" t="n">
        <v>2.9</v>
      </c>
      <c r="H394" t="n">
        <v>0</v>
      </c>
      <c r="I394" t="n">
        <v>0</v>
      </c>
      <c r="J394" t="n">
        <v>0</v>
      </c>
      <c r="K394" t="n">
        <v>0</v>
      </c>
      <c r="L394" t="n">
        <v>0</v>
      </c>
      <c r="M394" t="n">
        <v>0</v>
      </c>
      <c r="N394" t="n">
        <v>0</v>
      </c>
      <c r="O394" t="n">
        <v>0</v>
      </c>
      <c r="P394" t="n">
        <v>0</v>
      </c>
      <c r="Q394" t="n">
        <v>0</v>
      </c>
      <c r="R394" s="2" t="inlineStr"/>
    </row>
    <row r="395" ht="15" customHeight="1">
      <c r="A395" t="inlineStr">
        <is>
          <t>A 54403-2025</t>
        </is>
      </c>
      <c r="B395" s="1" t="n">
        <v>45965.45344907408</v>
      </c>
      <c r="C395" s="1" t="n">
        <v>46103</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35104-2023</t>
        </is>
      </c>
      <c r="B396" s="1" t="n">
        <v>45145</v>
      </c>
      <c r="C396" s="1" t="n">
        <v>46103</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20920-2021</t>
        </is>
      </c>
      <c r="B397" s="1" t="n">
        <v>44319</v>
      </c>
      <c r="C397" s="1" t="n">
        <v>46103</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49096-2022</t>
        </is>
      </c>
      <c r="B398" s="1" t="n">
        <v>44860</v>
      </c>
      <c r="C398" s="1" t="n">
        <v>46103</v>
      </c>
      <c r="D398" t="inlineStr">
        <is>
          <t>ÖSTERGÖTLANDS LÄN</t>
        </is>
      </c>
      <c r="E398" t="inlineStr">
        <is>
          <t>KINDA</t>
        </is>
      </c>
      <c r="G398" t="n">
        <v>5.1</v>
      </c>
      <c r="H398" t="n">
        <v>0</v>
      </c>
      <c r="I398" t="n">
        <v>0</v>
      </c>
      <c r="J398" t="n">
        <v>0</v>
      </c>
      <c r="K398" t="n">
        <v>0</v>
      </c>
      <c r="L398" t="n">
        <v>0</v>
      </c>
      <c r="M398" t="n">
        <v>0</v>
      </c>
      <c r="N398" t="n">
        <v>0</v>
      </c>
      <c r="O398" t="n">
        <v>0</v>
      </c>
      <c r="P398" t="n">
        <v>0</v>
      </c>
      <c r="Q398" t="n">
        <v>0</v>
      </c>
      <c r="R398" s="2" t="inlineStr"/>
    </row>
    <row r="399" ht="15" customHeight="1">
      <c r="A399" t="inlineStr">
        <is>
          <t>A 2644-2025</t>
        </is>
      </c>
      <c r="B399" s="1" t="n">
        <v>45676</v>
      </c>
      <c r="C399" s="1" t="n">
        <v>46103</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2645-2025</t>
        </is>
      </c>
      <c r="B400" s="1" t="n">
        <v>45676.49690972222</v>
      </c>
      <c r="C400" s="1" t="n">
        <v>46103</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4331-2026</t>
        </is>
      </c>
      <c r="B401" s="1" t="n">
        <v>46045.48028935185</v>
      </c>
      <c r="C401" s="1" t="n">
        <v>46103</v>
      </c>
      <c r="D401" t="inlineStr">
        <is>
          <t>ÖSTERGÖTLANDS LÄN</t>
        </is>
      </c>
      <c r="E401" t="inlineStr">
        <is>
          <t>KINDA</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13968-2023</t>
        </is>
      </c>
      <c r="B402" s="1" t="n">
        <v>45008</v>
      </c>
      <c r="C402" s="1" t="n">
        <v>46103</v>
      </c>
      <c r="D402" t="inlineStr">
        <is>
          <t>ÖSTERGÖTLANDS LÄN</t>
        </is>
      </c>
      <c r="E402" t="inlineStr">
        <is>
          <t>KINDA</t>
        </is>
      </c>
      <c r="G402" t="n">
        <v>0.5</v>
      </c>
      <c r="H402" t="n">
        <v>0</v>
      </c>
      <c r="I402" t="n">
        <v>0</v>
      </c>
      <c r="J402" t="n">
        <v>0</v>
      </c>
      <c r="K402" t="n">
        <v>0</v>
      </c>
      <c r="L402" t="n">
        <v>0</v>
      </c>
      <c r="M402" t="n">
        <v>0</v>
      </c>
      <c r="N402" t="n">
        <v>0</v>
      </c>
      <c r="O402" t="n">
        <v>0</v>
      </c>
      <c r="P402" t="n">
        <v>0</v>
      </c>
      <c r="Q402" t="n">
        <v>0</v>
      </c>
      <c r="R402" s="2" t="inlineStr"/>
    </row>
    <row r="403" ht="15" customHeight="1">
      <c r="A403" t="inlineStr">
        <is>
          <t>A 43475-2023</t>
        </is>
      </c>
      <c r="B403" s="1" t="n">
        <v>45184.43140046296</v>
      </c>
      <c r="C403" s="1" t="n">
        <v>46103</v>
      </c>
      <c r="D403" t="inlineStr">
        <is>
          <t>ÖSTERGÖTLANDS LÄN</t>
        </is>
      </c>
      <c r="E403" t="inlineStr">
        <is>
          <t>KINDA</t>
        </is>
      </c>
      <c r="G403" t="n">
        <v>6.1</v>
      </c>
      <c r="H403" t="n">
        <v>0</v>
      </c>
      <c r="I403" t="n">
        <v>0</v>
      </c>
      <c r="J403" t="n">
        <v>0</v>
      </c>
      <c r="K403" t="n">
        <v>0</v>
      </c>
      <c r="L403" t="n">
        <v>0</v>
      </c>
      <c r="M403" t="n">
        <v>0</v>
      </c>
      <c r="N403" t="n">
        <v>0</v>
      </c>
      <c r="O403" t="n">
        <v>0</v>
      </c>
      <c r="P403" t="n">
        <v>0</v>
      </c>
      <c r="Q403" t="n">
        <v>0</v>
      </c>
      <c r="R403" s="2" t="inlineStr"/>
    </row>
    <row r="404" ht="15" customHeight="1">
      <c r="A404" t="inlineStr">
        <is>
          <t>A 54345-2022</t>
        </is>
      </c>
      <c r="B404" s="1" t="n">
        <v>44882</v>
      </c>
      <c r="C404" s="1" t="n">
        <v>46103</v>
      </c>
      <c r="D404" t="inlineStr">
        <is>
          <t>ÖSTERGÖTLANDS LÄN</t>
        </is>
      </c>
      <c r="E404" t="inlineStr">
        <is>
          <t>KINDA</t>
        </is>
      </c>
      <c r="G404" t="n">
        <v>0.1</v>
      </c>
      <c r="H404" t="n">
        <v>0</v>
      </c>
      <c r="I404" t="n">
        <v>0</v>
      </c>
      <c r="J404" t="n">
        <v>0</v>
      </c>
      <c r="K404" t="n">
        <v>0</v>
      </c>
      <c r="L404" t="n">
        <v>0</v>
      </c>
      <c r="M404" t="n">
        <v>0</v>
      </c>
      <c r="N404" t="n">
        <v>0</v>
      </c>
      <c r="O404" t="n">
        <v>0</v>
      </c>
      <c r="P404" t="n">
        <v>0</v>
      </c>
      <c r="Q404" t="n">
        <v>0</v>
      </c>
      <c r="R404" s="2" t="inlineStr"/>
    </row>
    <row r="405" ht="15" customHeight="1">
      <c r="A405" t="inlineStr">
        <is>
          <t>A 13673-2024</t>
        </is>
      </c>
      <c r="B405" s="1" t="n">
        <v>45390.53634259259</v>
      </c>
      <c r="C405" s="1" t="n">
        <v>46103</v>
      </c>
      <c r="D405" t="inlineStr">
        <is>
          <t>ÖSTERGÖTLANDS LÄN</t>
        </is>
      </c>
      <c r="E405" t="inlineStr">
        <is>
          <t>KINDA</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54870-2025</t>
        </is>
      </c>
      <c r="B406" s="1" t="n">
        <v>45966.87212962963</v>
      </c>
      <c r="C406" s="1" t="n">
        <v>46103</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55000-2025</t>
        </is>
      </c>
      <c r="B407" s="1" t="n">
        <v>45967.60479166666</v>
      </c>
      <c r="C407" s="1" t="n">
        <v>46103</v>
      </c>
      <c r="D407" t="inlineStr">
        <is>
          <t>ÖSTERGÖTLANDS LÄN</t>
        </is>
      </c>
      <c r="E407" t="inlineStr">
        <is>
          <t>KINDA</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58875-2023</t>
        </is>
      </c>
      <c r="B408" s="1" t="n">
        <v>45250</v>
      </c>
      <c r="C408" s="1" t="n">
        <v>46103</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12997-2024</t>
        </is>
      </c>
      <c r="B409" s="1" t="n">
        <v>45385.56655092593</v>
      </c>
      <c r="C409" s="1" t="n">
        <v>46103</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55521-2025</t>
        </is>
      </c>
      <c r="B410" s="1" t="n">
        <v>45971.60863425926</v>
      </c>
      <c r="C410" s="1" t="n">
        <v>46103</v>
      </c>
      <c r="D410" t="inlineStr">
        <is>
          <t>ÖSTERGÖTLANDS LÄN</t>
        </is>
      </c>
      <c r="E410" t="inlineStr">
        <is>
          <t>KINDA</t>
        </is>
      </c>
      <c r="F410" t="inlineStr">
        <is>
          <t>Övriga Aktiebolag</t>
        </is>
      </c>
      <c r="G410" t="n">
        <v>5.4</v>
      </c>
      <c r="H410" t="n">
        <v>0</v>
      </c>
      <c r="I410" t="n">
        <v>0</v>
      </c>
      <c r="J410" t="n">
        <v>0</v>
      </c>
      <c r="K410" t="n">
        <v>0</v>
      </c>
      <c r="L410" t="n">
        <v>0</v>
      </c>
      <c r="M410" t="n">
        <v>0</v>
      </c>
      <c r="N410" t="n">
        <v>0</v>
      </c>
      <c r="O410" t="n">
        <v>0</v>
      </c>
      <c r="P410" t="n">
        <v>0</v>
      </c>
      <c r="Q410" t="n">
        <v>0</v>
      </c>
      <c r="R410" s="2" t="inlineStr"/>
    </row>
    <row r="411" ht="15" customHeight="1">
      <c r="A411" t="inlineStr">
        <is>
          <t>A 1876-2025</t>
        </is>
      </c>
      <c r="B411" s="1" t="n">
        <v>45671.62127314815</v>
      </c>
      <c r="C411" s="1" t="n">
        <v>46103</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5371-2024</t>
        </is>
      </c>
      <c r="B412" s="1" t="n">
        <v>45331</v>
      </c>
      <c r="C412" s="1" t="n">
        <v>46103</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12506-2026</t>
        </is>
      </c>
      <c r="B413" s="1" t="n">
        <v>46090.57879629629</v>
      </c>
      <c r="C413" s="1" t="n">
        <v>46103</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34860-2024</t>
        </is>
      </c>
      <c r="B414" s="1" t="n">
        <v>45527.33670138889</v>
      </c>
      <c r="C414" s="1" t="n">
        <v>46103</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34871-2024</t>
        </is>
      </c>
      <c r="B415" s="1" t="n">
        <v>45527.3469212963</v>
      </c>
      <c r="C415" s="1" t="n">
        <v>46103</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43074-2024</t>
        </is>
      </c>
      <c r="B416" s="1" t="n">
        <v>45567.48658564815</v>
      </c>
      <c r="C416" s="1" t="n">
        <v>46103</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48386-2024</t>
        </is>
      </c>
      <c r="B417" s="1" t="n">
        <v>45590.59793981481</v>
      </c>
      <c r="C417" s="1" t="n">
        <v>46103</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24839-2024</t>
        </is>
      </c>
      <c r="B418" s="1" t="n">
        <v>45461.41216435185</v>
      </c>
      <c r="C418" s="1" t="n">
        <v>46103</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24903-2022</t>
        </is>
      </c>
      <c r="B419" s="1" t="n">
        <v>44728.60424768519</v>
      </c>
      <c r="C419" s="1" t="n">
        <v>46103</v>
      </c>
      <c r="D419" t="inlineStr">
        <is>
          <t>ÖSTERGÖTLANDS LÄN</t>
        </is>
      </c>
      <c r="E419" t="inlineStr">
        <is>
          <t>KINDA</t>
        </is>
      </c>
      <c r="G419" t="n">
        <v>6.3</v>
      </c>
      <c r="H419" t="n">
        <v>0</v>
      </c>
      <c r="I419" t="n">
        <v>0</v>
      </c>
      <c r="J419" t="n">
        <v>0</v>
      </c>
      <c r="K419" t="n">
        <v>0</v>
      </c>
      <c r="L419" t="n">
        <v>0</v>
      </c>
      <c r="M419" t="n">
        <v>0</v>
      </c>
      <c r="N419" t="n">
        <v>0</v>
      </c>
      <c r="O419" t="n">
        <v>0</v>
      </c>
      <c r="P419" t="n">
        <v>0</v>
      </c>
      <c r="Q419" t="n">
        <v>0</v>
      </c>
      <c r="R419" s="2" t="inlineStr"/>
    </row>
    <row r="420" ht="15" customHeight="1">
      <c r="A420" t="inlineStr">
        <is>
          <t>A 17366-2023</t>
        </is>
      </c>
      <c r="B420" s="1" t="n">
        <v>45035</v>
      </c>
      <c r="C420" s="1" t="n">
        <v>46103</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12605-2026</t>
        </is>
      </c>
      <c r="B421" s="1" t="n">
        <v>46090</v>
      </c>
      <c r="C421" s="1" t="n">
        <v>46103</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46103</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46103</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26567-2025</t>
        </is>
      </c>
      <c r="B424" s="1" t="n">
        <v>45807.66878472222</v>
      </c>
      <c r="C424" s="1" t="n">
        <v>46103</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13297-2026</t>
        </is>
      </c>
      <c r="B425" s="1" t="n">
        <v>46094.31621527778</v>
      </c>
      <c r="C425" s="1" t="n">
        <v>46103</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13291-2026</t>
        </is>
      </c>
      <c r="B426" s="1" t="n">
        <v>46094.29189814815</v>
      </c>
      <c r="C426" s="1" t="n">
        <v>46103</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5943-2026</t>
        </is>
      </c>
      <c r="B427" s="1" t="n">
        <v>46052.48008101852</v>
      </c>
      <c r="C427" s="1" t="n">
        <v>46103</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42084-2024</t>
        </is>
      </c>
      <c r="B428" s="1" t="n">
        <v>45562.3316087963</v>
      </c>
      <c r="C428" s="1" t="n">
        <v>46103</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13455-2026</t>
        </is>
      </c>
      <c r="B429" s="1" t="n">
        <v>46094.5216087963</v>
      </c>
      <c r="C429" s="1" t="n">
        <v>46103</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24150-2024</t>
        </is>
      </c>
      <c r="B430" s="1" t="n">
        <v>45456</v>
      </c>
      <c r="C430" s="1" t="n">
        <v>46103</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5707-2024</t>
        </is>
      </c>
      <c r="B431" s="1" t="n">
        <v>45334</v>
      </c>
      <c r="C431" s="1" t="n">
        <v>46103</v>
      </c>
      <c r="D431" t="inlineStr">
        <is>
          <t>ÖSTERGÖTLANDS LÄN</t>
        </is>
      </c>
      <c r="E431" t="inlineStr">
        <is>
          <t>KINDA</t>
        </is>
      </c>
      <c r="G431" t="n">
        <v>6.2</v>
      </c>
      <c r="H431" t="n">
        <v>0</v>
      </c>
      <c r="I431" t="n">
        <v>0</v>
      </c>
      <c r="J431" t="n">
        <v>0</v>
      </c>
      <c r="K431" t="n">
        <v>0</v>
      </c>
      <c r="L431" t="n">
        <v>0</v>
      </c>
      <c r="M431" t="n">
        <v>0</v>
      </c>
      <c r="N431" t="n">
        <v>0</v>
      </c>
      <c r="O431" t="n">
        <v>0</v>
      </c>
      <c r="P431" t="n">
        <v>0</v>
      </c>
      <c r="Q431" t="n">
        <v>0</v>
      </c>
      <c r="R431" s="2" t="inlineStr"/>
    </row>
    <row r="432" ht="15" customHeight="1">
      <c r="A432" t="inlineStr">
        <is>
          <t>A 5935-2026</t>
        </is>
      </c>
      <c r="B432" s="1" t="n">
        <v>46052.47105324074</v>
      </c>
      <c r="C432" s="1" t="n">
        <v>46103</v>
      </c>
      <c r="D432" t="inlineStr">
        <is>
          <t>ÖSTERGÖTLANDS LÄN</t>
        </is>
      </c>
      <c r="E432" t="inlineStr">
        <is>
          <t>KINDA</t>
        </is>
      </c>
      <c r="G432" t="n">
        <v>2.3</v>
      </c>
      <c r="H432" t="n">
        <v>0</v>
      </c>
      <c r="I432" t="n">
        <v>0</v>
      </c>
      <c r="J432" t="n">
        <v>0</v>
      </c>
      <c r="K432" t="n">
        <v>0</v>
      </c>
      <c r="L432" t="n">
        <v>0</v>
      </c>
      <c r="M432" t="n">
        <v>0</v>
      </c>
      <c r="N432" t="n">
        <v>0</v>
      </c>
      <c r="O432" t="n">
        <v>0</v>
      </c>
      <c r="P432" t="n">
        <v>0</v>
      </c>
      <c r="Q432" t="n">
        <v>0</v>
      </c>
      <c r="R432" s="2" t="inlineStr"/>
    </row>
    <row r="433" ht="15" customHeight="1">
      <c r="A433" t="inlineStr">
        <is>
          <t>A 5899-2026</t>
        </is>
      </c>
      <c r="B433" s="1" t="n">
        <v>46052.42929398148</v>
      </c>
      <c r="C433" s="1" t="n">
        <v>46103</v>
      </c>
      <c r="D433" t="inlineStr">
        <is>
          <t>ÖSTERGÖTLANDS LÄN</t>
        </is>
      </c>
      <c r="E433" t="inlineStr">
        <is>
          <t>KINDA</t>
        </is>
      </c>
      <c r="G433" t="n">
        <v>3.8</v>
      </c>
      <c r="H433" t="n">
        <v>0</v>
      </c>
      <c r="I433" t="n">
        <v>0</v>
      </c>
      <c r="J433" t="n">
        <v>0</v>
      </c>
      <c r="K433" t="n">
        <v>0</v>
      </c>
      <c r="L433" t="n">
        <v>0</v>
      </c>
      <c r="M433" t="n">
        <v>0</v>
      </c>
      <c r="N433" t="n">
        <v>0</v>
      </c>
      <c r="O433" t="n">
        <v>0</v>
      </c>
      <c r="P433" t="n">
        <v>0</v>
      </c>
      <c r="Q433" t="n">
        <v>0</v>
      </c>
      <c r="R433" s="2" t="inlineStr"/>
    </row>
    <row r="434" ht="15" customHeight="1">
      <c r="A434" t="inlineStr">
        <is>
          <t>A 56317-2021</t>
        </is>
      </c>
      <c r="B434" s="1" t="n">
        <v>44480.3503587963</v>
      </c>
      <c r="C434" s="1" t="n">
        <v>46103</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27105-2025</t>
        </is>
      </c>
      <c r="B435" s="1" t="n">
        <v>45811</v>
      </c>
      <c r="C435" s="1" t="n">
        <v>46103</v>
      </c>
      <c r="D435" t="inlineStr">
        <is>
          <t>ÖSTERGÖTLANDS LÄN</t>
        </is>
      </c>
      <c r="E435" t="inlineStr">
        <is>
          <t>KINDA</t>
        </is>
      </c>
      <c r="G435" t="n">
        <v>1.7</v>
      </c>
      <c r="H435" t="n">
        <v>0</v>
      </c>
      <c r="I435" t="n">
        <v>0</v>
      </c>
      <c r="J435" t="n">
        <v>0</v>
      </c>
      <c r="K435" t="n">
        <v>0</v>
      </c>
      <c r="L435" t="n">
        <v>0</v>
      </c>
      <c r="M435" t="n">
        <v>0</v>
      </c>
      <c r="N435" t="n">
        <v>0</v>
      </c>
      <c r="O435" t="n">
        <v>0</v>
      </c>
      <c r="P435" t="n">
        <v>0</v>
      </c>
      <c r="Q435" t="n">
        <v>0</v>
      </c>
      <c r="R435" s="2" t="inlineStr"/>
    </row>
    <row r="436" ht="15" customHeight="1">
      <c r="A436" t="inlineStr">
        <is>
          <t>A 27600-2025</t>
        </is>
      </c>
      <c r="B436" s="1" t="n">
        <v>45813.52677083333</v>
      </c>
      <c r="C436" s="1" t="n">
        <v>46103</v>
      </c>
      <c r="D436" t="inlineStr">
        <is>
          <t>ÖSTERGÖTLANDS LÄN</t>
        </is>
      </c>
      <c r="E436" t="inlineStr">
        <is>
          <t>KINDA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27587-2025</t>
        </is>
      </c>
      <c r="B437" s="1" t="n">
        <v>45813.50763888889</v>
      </c>
      <c r="C437" s="1" t="n">
        <v>46103</v>
      </c>
      <c r="D437" t="inlineStr">
        <is>
          <t>ÖSTERGÖTLANDS LÄN</t>
        </is>
      </c>
      <c r="E437" t="inlineStr">
        <is>
          <t>KINDA</t>
        </is>
      </c>
      <c r="F437" t="inlineStr">
        <is>
          <t>Övriga Aktiebolag</t>
        </is>
      </c>
      <c r="G437" t="n">
        <v>13.6</v>
      </c>
      <c r="H437" t="n">
        <v>0</v>
      </c>
      <c r="I437" t="n">
        <v>0</v>
      </c>
      <c r="J437" t="n">
        <v>0</v>
      </c>
      <c r="K437" t="n">
        <v>0</v>
      </c>
      <c r="L437" t="n">
        <v>0</v>
      </c>
      <c r="M437" t="n">
        <v>0</v>
      </c>
      <c r="N437" t="n">
        <v>0</v>
      </c>
      <c r="O437" t="n">
        <v>0</v>
      </c>
      <c r="P437" t="n">
        <v>0</v>
      </c>
      <c r="Q437" t="n">
        <v>0</v>
      </c>
      <c r="R437" s="2" t="inlineStr"/>
    </row>
    <row r="438" ht="15" customHeight="1">
      <c r="A438" t="inlineStr">
        <is>
          <t>A 10935-2023</t>
        </is>
      </c>
      <c r="B438" s="1" t="n">
        <v>44991.5281712963</v>
      </c>
      <c r="C438" s="1" t="n">
        <v>46103</v>
      </c>
      <c r="D438" t="inlineStr">
        <is>
          <t>ÖSTERGÖTLANDS LÄN</t>
        </is>
      </c>
      <c r="E438" t="inlineStr">
        <is>
          <t>KINDA</t>
        </is>
      </c>
      <c r="G438" t="n">
        <v>3.2</v>
      </c>
      <c r="H438" t="n">
        <v>0</v>
      </c>
      <c r="I438" t="n">
        <v>0</v>
      </c>
      <c r="J438" t="n">
        <v>0</v>
      </c>
      <c r="K438" t="n">
        <v>0</v>
      </c>
      <c r="L438" t="n">
        <v>0</v>
      </c>
      <c r="M438" t="n">
        <v>0</v>
      </c>
      <c r="N438" t="n">
        <v>0</v>
      </c>
      <c r="O438" t="n">
        <v>0</v>
      </c>
      <c r="P438" t="n">
        <v>0</v>
      </c>
      <c r="Q438" t="n">
        <v>0</v>
      </c>
      <c r="R438" s="2" t="inlineStr"/>
    </row>
    <row r="439" ht="15" customHeight="1">
      <c r="A439" t="inlineStr">
        <is>
          <t>A 9702-2022</t>
        </is>
      </c>
      <c r="B439" s="1" t="n">
        <v>44617.6878125</v>
      </c>
      <c r="C439" s="1" t="n">
        <v>46103</v>
      </c>
      <c r="D439" t="inlineStr">
        <is>
          <t>ÖSTERGÖTLANDS LÄN</t>
        </is>
      </c>
      <c r="E439" t="inlineStr">
        <is>
          <t>KINDA</t>
        </is>
      </c>
      <c r="G439" t="n">
        <v>2.8</v>
      </c>
      <c r="H439" t="n">
        <v>0</v>
      </c>
      <c r="I439" t="n">
        <v>0</v>
      </c>
      <c r="J439" t="n">
        <v>0</v>
      </c>
      <c r="K439" t="n">
        <v>0</v>
      </c>
      <c r="L439" t="n">
        <v>0</v>
      </c>
      <c r="M439" t="n">
        <v>0</v>
      </c>
      <c r="N439" t="n">
        <v>0</v>
      </c>
      <c r="O439" t="n">
        <v>0</v>
      </c>
      <c r="P439" t="n">
        <v>0</v>
      </c>
      <c r="Q439" t="n">
        <v>0</v>
      </c>
      <c r="R439" s="2" t="inlineStr"/>
    </row>
    <row r="440" ht="15" customHeight="1">
      <c r="A440" t="inlineStr">
        <is>
          <t>A 27608-2025</t>
        </is>
      </c>
      <c r="B440" s="1" t="n">
        <v>45813.53402777778</v>
      </c>
      <c r="C440" s="1" t="n">
        <v>46103</v>
      </c>
      <c r="D440" t="inlineStr">
        <is>
          <t>ÖSTERGÖTLANDS LÄN</t>
        </is>
      </c>
      <c r="E440" t="inlineStr">
        <is>
          <t>KINDA</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9600-2024</t>
        </is>
      </c>
      <c r="B441" s="1" t="n">
        <v>45361.37284722222</v>
      </c>
      <c r="C441" s="1" t="n">
        <v>46103</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13976-2022</t>
        </is>
      </c>
      <c r="B442" s="1" t="n">
        <v>44650.56546296296</v>
      </c>
      <c r="C442" s="1" t="n">
        <v>46103</v>
      </c>
      <c r="D442" t="inlineStr">
        <is>
          <t>ÖSTERGÖTLANDS LÄN</t>
        </is>
      </c>
      <c r="E442" t="inlineStr">
        <is>
          <t>KINDA</t>
        </is>
      </c>
      <c r="F442" t="inlineStr">
        <is>
          <t>Övriga Aktiebolag</t>
        </is>
      </c>
      <c r="G442" t="n">
        <v>7.4</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46103</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6534-2026</t>
        </is>
      </c>
      <c r="B444" s="1" t="n">
        <v>46056.41675925926</v>
      </c>
      <c r="C444" s="1" t="n">
        <v>46103</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11184-2026</t>
        </is>
      </c>
      <c r="B445" s="1" t="n">
        <v>46080</v>
      </c>
      <c r="C445" s="1" t="n">
        <v>46103</v>
      </c>
      <c r="D445" t="inlineStr">
        <is>
          <t>ÖSTERGÖTLANDS LÄN</t>
        </is>
      </c>
      <c r="E445" t="inlineStr">
        <is>
          <t>KINDA</t>
        </is>
      </c>
      <c r="G445" t="n">
        <v>0.7</v>
      </c>
      <c r="H445" t="n">
        <v>0</v>
      </c>
      <c r="I445" t="n">
        <v>0</v>
      </c>
      <c r="J445" t="n">
        <v>0</v>
      </c>
      <c r="K445" t="n">
        <v>0</v>
      </c>
      <c r="L445" t="n">
        <v>0</v>
      </c>
      <c r="M445" t="n">
        <v>0</v>
      </c>
      <c r="N445" t="n">
        <v>0</v>
      </c>
      <c r="O445" t="n">
        <v>0</v>
      </c>
      <c r="P445" t="n">
        <v>0</v>
      </c>
      <c r="Q445" t="n">
        <v>0</v>
      </c>
      <c r="R445" s="2" t="inlineStr"/>
    </row>
    <row r="446" ht="15" customHeight="1">
      <c r="A446" t="inlineStr">
        <is>
          <t>A 62254-2023</t>
        </is>
      </c>
      <c r="B446" s="1" t="n">
        <v>45267.61618055555</v>
      </c>
      <c r="C446" s="1" t="n">
        <v>46103</v>
      </c>
      <c r="D446" t="inlineStr">
        <is>
          <t>ÖSTERGÖTLANDS LÄN</t>
        </is>
      </c>
      <c r="E446" t="inlineStr">
        <is>
          <t>KINDA</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27969-2025</t>
        </is>
      </c>
      <c r="B447" s="1" t="n">
        <v>45817.55887731481</v>
      </c>
      <c r="C447" s="1" t="n">
        <v>46103</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27966-2025</t>
        </is>
      </c>
      <c r="B448" s="1" t="n">
        <v>45817.55668981482</v>
      </c>
      <c r="C448" s="1" t="n">
        <v>46103</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28256-2025</t>
        </is>
      </c>
      <c r="B449" s="1" t="n">
        <v>45818</v>
      </c>
      <c r="C449" s="1" t="n">
        <v>46103</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28258-2025</t>
        </is>
      </c>
      <c r="B450" s="1" t="n">
        <v>45818</v>
      </c>
      <c r="C450" s="1" t="n">
        <v>46103</v>
      </c>
      <c r="D450" t="inlineStr">
        <is>
          <t>ÖSTERGÖTLANDS LÄN</t>
        </is>
      </c>
      <c r="E450" t="inlineStr">
        <is>
          <t>KINDA</t>
        </is>
      </c>
      <c r="G450" t="n">
        <v>3.4</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46103</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28552-2025</t>
        </is>
      </c>
      <c r="B452" s="1" t="n">
        <v>45819.53686342593</v>
      </c>
      <c r="C452" s="1" t="n">
        <v>46103</v>
      </c>
      <c r="D452" t="inlineStr">
        <is>
          <t>ÖSTERGÖTLANDS LÄN</t>
        </is>
      </c>
      <c r="E452" t="inlineStr">
        <is>
          <t>KINDA</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28568-2025</t>
        </is>
      </c>
      <c r="B453" s="1" t="n">
        <v>45819.55849537037</v>
      </c>
      <c r="C453" s="1" t="n">
        <v>46103</v>
      </c>
      <c r="D453" t="inlineStr">
        <is>
          <t>ÖSTERGÖTLANDS LÄN</t>
        </is>
      </c>
      <c r="E453" t="inlineStr">
        <is>
          <t>KINDA</t>
        </is>
      </c>
      <c r="F453" t="inlineStr">
        <is>
          <t>Övriga Aktiebolag</t>
        </is>
      </c>
      <c r="G453" t="n">
        <v>4.4</v>
      </c>
      <c r="H453" t="n">
        <v>0</v>
      </c>
      <c r="I453" t="n">
        <v>0</v>
      </c>
      <c r="J453" t="n">
        <v>0</v>
      </c>
      <c r="K453" t="n">
        <v>0</v>
      </c>
      <c r="L453" t="n">
        <v>0</v>
      </c>
      <c r="M453" t="n">
        <v>0</v>
      </c>
      <c r="N453" t="n">
        <v>0</v>
      </c>
      <c r="O453" t="n">
        <v>0</v>
      </c>
      <c r="P453" t="n">
        <v>0</v>
      </c>
      <c r="Q453" t="n">
        <v>0</v>
      </c>
      <c r="R453" s="2" t="inlineStr"/>
    </row>
    <row r="454" ht="15" customHeight="1">
      <c r="A454" t="inlineStr">
        <is>
          <t>A 28611-2025</t>
        </is>
      </c>
      <c r="B454" s="1" t="n">
        <v>45819.60376157407</v>
      </c>
      <c r="C454" s="1" t="n">
        <v>46103</v>
      </c>
      <c r="D454" t="inlineStr">
        <is>
          <t>ÖSTERGÖTLANDS LÄN</t>
        </is>
      </c>
      <c r="E454" t="inlineStr">
        <is>
          <t>KINDA</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28479-2025</t>
        </is>
      </c>
      <c r="B455" s="1" t="n">
        <v>45819.4475</v>
      </c>
      <c r="C455" s="1" t="n">
        <v>46103</v>
      </c>
      <c r="D455" t="inlineStr">
        <is>
          <t>ÖSTERGÖTLANDS LÄN</t>
        </is>
      </c>
      <c r="E455" t="inlineStr">
        <is>
          <t>KINDA</t>
        </is>
      </c>
      <c r="F455" t="inlineStr">
        <is>
          <t>Övriga Aktiebolag</t>
        </is>
      </c>
      <c r="G455" t="n">
        <v>15.2</v>
      </c>
      <c r="H455" t="n">
        <v>0</v>
      </c>
      <c r="I455" t="n">
        <v>0</v>
      </c>
      <c r="J455" t="n">
        <v>0</v>
      </c>
      <c r="K455" t="n">
        <v>0</v>
      </c>
      <c r="L455" t="n">
        <v>0</v>
      </c>
      <c r="M455" t="n">
        <v>0</v>
      </c>
      <c r="N455" t="n">
        <v>0</v>
      </c>
      <c r="O455" t="n">
        <v>0</v>
      </c>
      <c r="P455" t="n">
        <v>0</v>
      </c>
      <c r="Q455" t="n">
        <v>0</v>
      </c>
      <c r="R455" s="2" t="inlineStr"/>
    </row>
    <row r="456" ht="15" customHeight="1">
      <c r="A456" t="inlineStr">
        <is>
          <t>A 32610-2023</t>
        </is>
      </c>
      <c r="B456" s="1" t="n">
        <v>45111</v>
      </c>
      <c r="C456" s="1" t="n">
        <v>46103</v>
      </c>
      <c r="D456" t="inlineStr">
        <is>
          <t>ÖSTERGÖTLANDS LÄN</t>
        </is>
      </c>
      <c r="E456" t="inlineStr">
        <is>
          <t>KINDA</t>
        </is>
      </c>
      <c r="G456" t="n">
        <v>8.9</v>
      </c>
      <c r="H456" t="n">
        <v>0</v>
      </c>
      <c r="I456" t="n">
        <v>0</v>
      </c>
      <c r="J456" t="n">
        <v>0</v>
      </c>
      <c r="K456" t="n">
        <v>0</v>
      </c>
      <c r="L456" t="n">
        <v>0</v>
      </c>
      <c r="M456" t="n">
        <v>0</v>
      </c>
      <c r="N456" t="n">
        <v>0</v>
      </c>
      <c r="O456" t="n">
        <v>0</v>
      </c>
      <c r="P456" t="n">
        <v>0</v>
      </c>
      <c r="Q456" t="n">
        <v>0</v>
      </c>
      <c r="R456" s="2" t="inlineStr"/>
    </row>
    <row r="457" ht="15" customHeight="1">
      <c r="A457" t="inlineStr">
        <is>
          <t>A 21246-2023</t>
        </is>
      </c>
      <c r="B457" s="1" t="n">
        <v>45062.57262731482</v>
      </c>
      <c r="C457" s="1" t="n">
        <v>46103</v>
      </c>
      <c r="D457" t="inlineStr">
        <is>
          <t>ÖSTERGÖTLANDS LÄN</t>
        </is>
      </c>
      <c r="E457" t="inlineStr">
        <is>
          <t>KINDA</t>
        </is>
      </c>
      <c r="G457" t="n">
        <v>5.5</v>
      </c>
      <c r="H457" t="n">
        <v>0</v>
      </c>
      <c r="I457" t="n">
        <v>0</v>
      </c>
      <c r="J457" t="n">
        <v>0</v>
      </c>
      <c r="K457" t="n">
        <v>0</v>
      </c>
      <c r="L457" t="n">
        <v>0</v>
      </c>
      <c r="M457" t="n">
        <v>0</v>
      </c>
      <c r="N457" t="n">
        <v>0</v>
      </c>
      <c r="O457" t="n">
        <v>0</v>
      </c>
      <c r="P457" t="n">
        <v>0</v>
      </c>
      <c r="Q457" t="n">
        <v>0</v>
      </c>
      <c r="R457" s="2" t="inlineStr"/>
    </row>
    <row r="458" ht="15" customHeight="1">
      <c r="A458" t="inlineStr">
        <is>
          <t>A 28519-2025</t>
        </is>
      </c>
      <c r="B458" s="1" t="n">
        <v>45819.4893287037</v>
      </c>
      <c r="C458" s="1" t="n">
        <v>46103</v>
      </c>
      <c r="D458" t="inlineStr">
        <is>
          <t>ÖSTERGÖTLANDS LÄN</t>
        </is>
      </c>
      <c r="E458" t="inlineStr">
        <is>
          <t>KINDA</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29086-2025</t>
        </is>
      </c>
      <c r="B459" s="1" t="n">
        <v>45821</v>
      </c>
      <c r="C459" s="1" t="n">
        <v>46103</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row>
    <row r="460" ht="15" customHeight="1">
      <c r="A460" t="inlineStr">
        <is>
          <t>A 27099-2023</t>
        </is>
      </c>
      <c r="B460" s="1" t="n">
        <v>45096</v>
      </c>
      <c r="C460" s="1" t="n">
        <v>46103</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29061-2025</t>
        </is>
      </c>
      <c r="B461" s="1" t="n">
        <v>45821</v>
      </c>
      <c r="C461" s="1" t="n">
        <v>46103</v>
      </c>
      <c r="D461" t="inlineStr">
        <is>
          <t>ÖSTERGÖTLANDS LÄN</t>
        </is>
      </c>
      <c r="E461" t="inlineStr">
        <is>
          <t>KINDA</t>
        </is>
      </c>
      <c r="G461" t="n">
        <v>1.2</v>
      </c>
      <c r="H461" t="n">
        <v>0</v>
      </c>
      <c r="I461" t="n">
        <v>0</v>
      </c>
      <c r="J461" t="n">
        <v>0</v>
      </c>
      <c r="K461" t="n">
        <v>0</v>
      </c>
      <c r="L461" t="n">
        <v>0</v>
      </c>
      <c r="M461" t="n">
        <v>0</v>
      </c>
      <c r="N461" t="n">
        <v>0</v>
      </c>
      <c r="O461" t="n">
        <v>0</v>
      </c>
      <c r="P461" t="n">
        <v>0</v>
      </c>
      <c r="Q461" t="n">
        <v>0</v>
      </c>
      <c r="R461" s="2" t="inlineStr"/>
    </row>
    <row r="462" ht="15" customHeight="1">
      <c r="A462" t="inlineStr">
        <is>
          <t>A 29092-2025</t>
        </is>
      </c>
      <c r="B462" s="1" t="n">
        <v>45821</v>
      </c>
      <c r="C462" s="1" t="n">
        <v>46103</v>
      </c>
      <c r="D462" t="inlineStr">
        <is>
          <t>ÖSTERGÖTLANDS LÄN</t>
        </is>
      </c>
      <c r="E462" t="inlineStr">
        <is>
          <t>KINDA</t>
        </is>
      </c>
      <c r="G462" t="n">
        <v>1.8</v>
      </c>
      <c r="H462" t="n">
        <v>0</v>
      </c>
      <c r="I462" t="n">
        <v>0</v>
      </c>
      <c r="J462" t="n">
        <v>0</v>
      </c>
      <c r="K462" t="n">
        <v>0</v>
      </c>
      <c r="L462" t="n">
        <v>0</v>
      </c>
      <c r="M462" t="n">
        <v>0</v>
      </c>
      <c r="N462" t="n">
        <v>0</v>
      </c>
      <c r="O462" t="n">
        <v>0</v>
      </c>
      <c r="P462" t="n">
        <v>0</v>
      </c>
      <c r="Q462" t="n">
        <v>0</v>
      </c>
      <c r="R462" s="2" t="inlineStr"/>
    </row>
    <row r="463" ht="15" customHeight="1">
      <c r="A463" t="inlineStr">
        <is>
          <t>A 31839-2023</t>
        </is>
      </c>
      <c r="B463" s="1" t="n">
        <v>45118.57342592593</v>
      </c>
      <c r="C463" s="1" t="n">
        <v>46103</v>
      </c>
      <c r="D463" t="inlineStr">
        <is>
          <t>ÖSTERGÖTLANDS LÄN</t>
        </is>
      </c>
      <c r="E463" t="inlineStr">
        <is>
          <t>KINDA</t>
        </is>
      </c>
      <c r="G463" t="n">
        <v>1.6</v>
      </c>
      <c r="H463" t="n">
        <v>0</v>
      </c>
      <c r="I463" t="n">
        <v>0</v>
      </c>
      <c r="J463" t="n">
        <v>0</v>
      </c>
      <c r="K463" t="n">
        <v>0</v>
      </c>
      <c r="L463" t="n">
        <v>0</v>
      </c>
      <c r="M463" t="n">
        <v>0</v>
      </c>
      <c r="N463" t="n">
        <v>0</v>
      </c>
      <c r="O463" t="n">
        <v>0</v>
      </c>
      <c r="P463" t="n">
        <v>0</v>
      </c>
      <c r="Q463" t="n">
        <v>0</v>
      </c>
      <c r="R463" s="2" t="inlineStr"/>
    </row>
    <row r="464" ht="15" customHeight="1">
      <c r="A464" t="inlineStr">
        <is>
          <t>A 44139-2024</t>
        </is>
      </c>
      <c r="B464" s="1" t="n">
        <v>45572.6625</v>
      </c>
      <c r="C464" s="1" t="n">
        <v>46103</v>
      </c>
      <c r="D464" t="inlineStr">
        <is>
          <t>ÖSTERGÖTLANDS LÄN</t>
        </is>
      </c>
      <c r="E464" t="inlineStr">
        <is>
          <t>KINDA</t>
        </is>
      </c>
      <c r="G464" t="n">
        <v>3.6</v>
      </c>
      <c r="H464" t="n">
        <v>0</v>
      </c>
      <c r="I464" t="n">
        <v>0</v>
      </c>
      <c r="J464" t="n">
        <v>0</v>
      </c>
      <c r="K464" t="n">
        <v>0</v>
      </c>
      <c r="L464" t="n">
        <v>0</v>
      </c>
      <c r="M464" t="n">
        <v>0</v>
      </c>
      <c r="N464" t="n">
        <v>0</v>
      </c>
      <c r="O464" t="n">
        <v>0</v>
      </c>
      <c r="P464" t="n">
        <v>0</v>
      </c>
      <c r="Q464" t="n">
        <v>0</v>
      </c>
      <c r="R464" s="2" t="inlineStr"/>
    </row>
    <row r="465" ht="15" customHeight="1">
      <c r="A465" t="inlineStr">
        <is>
          <t>A 29471-2025</t>
        </is>
      </c>
      <c r="B465" s="1" t="n">
        <v>45824</v>
      </c>
      <c r="C465" s="1" t="n">
        <v>46103</v>
      </c>
      <c r="D465" t="inlineStr">
        <is>
          <t>ÖSTERGÖTLANDS LÄN</t>
        </is>
      </c>
      <c r="E465" t="inlineStr">
        <is>
          <t>KINDA</t>
        </is>
      </c>
      <c r="G465" t="n">
        <v>5.4</v>
      </c>
      <c r="H465" t="n">
        <v>0</v>
      </c>
      <c r="I465" t="n">
        <v>0</v>
      </c>
      <c r="J465" t="n">
        <v>0</v>
      </c>
      <c r="K465" t="n">
        <v>0</v>
      </c>
      <c r="L465" t="n">
        <v>0</v>
      </c>
      <c r="M465" t="n">
        <v>0</v>
      </c>
      <c r="N465" t="n">
        <v>0</v>
      </c>
      <c r="O465" t="n">
        <v>0</v>
      </c>
      <c r="P465" t="n">
        <v>0</v>
      </c>
      <c r="Q465" t="n">
        <v>0</v>
      </c>
      <c r="R465" s="2" t="inlineStr"/>
    </row>
    <row r="466" ht="15" customHeight="1">
      <c r="A466" t="inlineStr">
        <is>
          <t>A 29516-2024</t>
        </is>
      </c>
      <c r="B466" s="1" t="n">
        <v>45484</v>
      </c>
      <c r="C466" s="1" t="n">
        <v>46103</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29078-2025</t>
        </is>
      </c>
      <c r="B467" s="1" t="n">
        <v>45821</v>
      </c>
      <c r="C467" s="1" t="n">
        <v>46103</v>
      </c>
      <c r="D467" t="inlineStr">
        <is>
          <t>ÖSTERGÖTLANDS LÄN</t>
        </is>
      </c>
      <c r="E467" t="inlineStr">
        <is>
          <t>KINDA</t>
        </is>
      </c>
      <c r="G467" t="n">
        <v>2</v>
      </c>
      <c r="H467" t="n">
        <v>0</v>
      </c>
      <c r="I467" t="n">
        <v>0</v>
      </c>
      <c r="J467" t="n">
        <v>0</v>
      </c>
      <c r="K467" t="n">
        <v>0</v>
      </c>
      <c r="L467" t="n">
        <v>0</v>
      </c>
      <c r="M467" t="n">
        <v>0</v>
      </c>
      <c r="N467" t="n">
        <v>0</v>
      </c>
      <c r="O467" t="n">
        <v>0</v>
      </c>
      <c r="P467" t="n">
        <v>0</v>
      </c>
      <c r="Q467" t="n">
        <v>0</v>
      </c>
      <c r="R467" s="2" t="inlineStr"/>
    </row>
    <row r="468" ht="15" customHeight="1">
      <c r="A468" t="inlineStr">
        <is>
          <t>A 29211-2025</t>
        </is>
      </c>
      <c r="B468" s="1" t="n">
        <v>45823.95393518519</v>
      </c>
      <c r="C468" s="1" t="n">
        <v>46103</v>
      </c>
      <c r="D468" t="inlineStr">
        <is>
          <t>ÖSTERGÖTLANDS LÄN</t>
        </is>
      </c>
      <c r="E468" t="inlineStr">
        <is>
          <t>KINDA</t>
        </is>
      </c>
      <c r="G468" t="n">
        <v>2.4</v>
      </c>
      <c r="H468" t="n">
        <v>0</v>
      </c>
      <c r="I468" t="n">
        <v>0</v>
      </c>
      <c r="J468" t="n">
        <v>0</v>
      </c>
      <c r="K468" t="n">
        <v>0</v>
      </c>
      <c r="L468" t="n">
        <v>0</v>
      </c>
      <c r="M468" t="n">
        <v>0</v>
      </c>
      <c r="N468" t="n">
        <v>0</v>
      </c>
      <c r="O468" t="n">
        <v>0</v>
      </c>
      <c r="P468" t="n">
        <v>0</v>
      </c>
      <c r="Q468" t="n">
        <v>0</v>
      </c>
      <c r="R468" s="2" t="inlineStr"/>
    </row>
    <row r="469" ht="15" customHeight="1">
      <c r="A469" t="inlineStr">
        <is>
          <t>A 29210-2025</t>
        </is>
      </c>
      <c r="B469" s="1" t="n">
        <v>45823.95060185185</v>
      </c>
      <c r="C469" s="1" t="n">
        <v>46103</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61954-2022</t>
        </is>
      </c>
      <c r="B470" s="1" t="n">
        <v>44918.33840277778</v>
      </c>
      <c r="C470" s="1" t="n">
        <v>46103</v>
      </c>
      <c r="D470" t="inlineStr">
        <is>
          <t>ÖSTERGÖTLANDS LÄN</t>
        </is>
      </c>
      <c r="E470" t="inlineStr">
        <is>
          <t>KINDA</t>
        </is>
      </c>
      <c r="G470" t="n">
        <v>6.2</v>
      </c>
      <c r="H470" t="n">
        <v>0</v>
      </c>
      <c r="I470" t="n">
        <v>0</v>
      </c>
      <c r="J470" t="n">
        <v>0</v>
      </c>
      <c r="K470" t="n">
        <v>0</v>
      </c>
      <c r="L470" t="n">
        <v>0</v>
      </c>
      <c r="M470" t="n">
        <v>0</v>
      </c>
      <c r="N470" t="n">
        <v>0</v>
      </c>
      <c r="O470" t="n">
        <v>0</v>
      </c>
      <c r="P470" t="n">
        <v>0</v>
      </c>
      <c r="Q470" t="n">
        <v>0</v>
      </c>
      <c r="R470" s="2" t="inlineStr"/>
    </row>
    <row r="471" ht="15" customHeight="1">
      <c r="A471" t="inlineStr">
        <is>
          <t>A 57194-2023</t>
        </is>
      </c>
      <c r="B471" s="1" t="n">
        <v>45245.47634259259</v>
      </c>
      <c r="C471" s="1" t="n">
        <v>46103</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29079-2025</t>
        </is>
      </c>
      <c r="B472" s="1" t="n">
        <v>45821</v>
      </c>
      <c r="C472" s="1" t="n">
        <v>46103</v>
      </c>
      <c r="D472" t="inlineStr">
        <is>
          <t>ÖSTERGÖTLANDS LÄN</t>
        </is>
      </c>
      <c r="E472" t="inlineStr">
        <is>
          <t>KINDA</t>
        </is>
      </c>
      <c r="G472" t="n">
        <v>5.7</v>
      </c>
      <c r="H472" t="n">
        <v>0</v>
      </c>
      <c r="I472" t="n">
        <v>0</v>
      </c>
      <c r="J472" t="n">
        <v>0</v>
      </c>
      <c r="K472" t="n">
        <v>0</v>
      </c>
      <c r="L472" t="n">
        <v>0</v>
      </c>
      <c r="M472" t="n">
        <v>0</v>
      </c>
      <c r="N472" t="n">
        <v>0</v>
      </c>
      <c r="O472" t="n">
        <v>0</v>
      </c>
      <c r="P472" t="n">
        <v>0</v>
      </c>
      <c r="Q472" t="n">
        <v>0</v>
      </c>
      <c r="R472" s="2" t="inlineStr"/>
    </row>
    <row r="473" ht="15" customHeight="1">
      <c r="A473" t="inlineStr">
        <is>
          <t>A 6409-2025</t>
        </is>
      </c>
      <c r="B473" s="1" t="n">
        <v>45699.45700231481</v>
      </c>
      <c r="C473" s="1" t="n">
        <v>46103</v>
      </c>
      <c r="D473" t="inlineStr">
        <is>
          <t>ÖSTERGÖTLANDS LÄN</t>
        </is>
      </c>
      <c r="E473" t="inlineStr">
        <is>
          <t>KINDA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3911-2023</t>
        </is>
      </c>
      <c r="B474" s="1" t="n">
        <v>44952</v>
      </c>
      <c r="C474" s="1" t="n">
        <v>46103</v>
      </c>
      <c r="D474" t="inlineStr">
        <is>
          <t>ÖSTERGÖTLANDS LÄN</t>
        </is>
      </c>
      <c r="E474" t="inlineStr">
        <is>
          <t>KINDA</t>
        </is>
      </c>
      <c r="G474" t="n">
        <v>1.4</v>
      </c>
      <c r="H474" t="n">
        <v>0</v>
      </c>
      <c r="I474" t="n">
        <v>0</v>
      </c>
      <c r="J474" t="n">
        <v>0</v>
      </c>
      <c r="K474" t="n">
        <v>0</v>
      </c>
      <c r="L474" t="n">
        <v>0</v>
      </c>
      <c r="M474" t="n">
        <v>0</v>
      </c>
      <c r="N474" t="n">
        <v>0</v>
      </c>
      <c r="O474" t="n">
        <v>0</v>
      </c>
      <c r="P474" t="n">
        <v>0</v>
      </c>
      <c r="Q474" t="n">
        <v>0</v>
      </c>
      <c r="R474" s="2" t="inlineStr"/>
    </row>
    <row r="475" ht="15" customHeight="1">
      <c r="A475" t="inlineStr">
        <is>
          <t>A 2969-2024</t>
        </is>
      </c>
      <c r="B475" s="1" t="n">
        <v>45315.66914351852</v>
      </c>
      <c r="C475" s="1" t="n">
        <v>46103</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46103</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30613-2025</t>
        </is>
      </c>
      <c r="B477" s="1" t="n">
        <v>45831.46635416667</v>
      </c>
      <c r="C477" s="1" t="n">
        <v>46103</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30631-2025</t>
        </is>
      </c>
      <c r="B478" s="1" t="n">
        <v>45831.47709490741</v>
      </c>
      <c r="C478" s="1" t="n">
        <v>46103</v>
      </c>
      <c r="D478" t="inlineStr">
        <is>
          <t>ÖSTERGÖTLANDS LÄN</t>
        </is>
      </c>
      <c r="E478" t="inlineStr">
        <is>
          <t>KINDA</t>
        </is>
      </c>
      <c r="G478" t="n">
        <v>1.6</v>
      </c>
      <c r="H478" t="n">
        <v>0</v>
      </c>
      <c r="I478" t="n">
        <v>0</v>
      </c>
      <c r="J478" t="n">
        <v>0</v>
      </c>
      <c r="K478" t="n">
        <v>0</v>
      </c>
      <c r="L478" t="n">
        <v>0</v>
      </c>
      <c r="M478" t="n">
        <v>0</v>
      </c>
      <c r="N478" t="n">
        <v>0</v>
      </c>
      <c r="O478" t="n">
        <v>0</v>
      </c>
      <c r="P478" t="n">
        <v>0</v>
      </c>
      <c r="Q478" t="n">
        <v>0</v>
      </c>
      <c r="R478" s="2" t="inlineStr"/>
    </row>
    <row r="479" ht="15" customHeight="1">
      <c r="A479" t="inlineStr">
        <is>
          <t>A 37489-2024</t>
        </is>
      </c>
      <c r="B479" s="1" t="n">
        <v>45541.34607638889</v>
      </c>
      <c r="C479" s="1" t="n">
        <v>46103</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4731-2025</t>
        </is>
      </c>
      <c r="B480" s="1" t="n">
        <v>45688.43620370371</v>
      </c>
      <c r="C480" s="1" t="n">
        <v>46103</v>
      </c>
      <c r="D480" t="inlineStr">
        <is>
          <t>ÖSTERGÖTLANDS LÄN</t>
        </is>
      </c>
      <c r="E480" t="inlineStr">
        <is>
          <t>KINDA</t>
        </is>
      </c>
      <c r="F480" t="inlineStr">
        <is>
          <t>Övriga Aktiebolag</t>
        </is>
      </c>
      <c r="G480" t="n">
        <v>6.3</v>
      </c>
      <c r="H480" t="n">
        <v>0</v>
      </c>
      <c r="I480" t="n">
        <v>0</v>
      </c>
      <c r="J480" t="n">
        <v>0</v>
      </c>
      <c r="K480" t="n">
        <v>0</v>
      </c>
      <c r="L480" t="n">
        <v>0</v>
      </c>
      <c r="M480" t="n">
        <v>0</v>
      </c>
      <c r="N480" t="n">
        <v>0</v>
      </c>
      <c r="O480" t="n">
        <v>0</v>
      </c>
      <c r="P480" t="n">
        <v>0</v>
      </c>
      <c r="Q480" t="n">
        <v>0</v>
      </c>
      <c r="R480" s="2" t="inlineStr"/>
    </row>
    <row r="481" ht="15" customHeight="1">
      <c r="A481" t="inlineStr">
        <is>
          <t>A 31054-2025</t>
        </is>
      </c>
      <c r="B481" s="1" t="n">
        <v>45832.56275462963</v>
      </c>
      <c r="C481" s="1" t="n">
        <v>46103</v>
      </c>
      <c r="D481" t="inlineStr">
        <is>
          <t>ÖSTERGÖTLANDS LÄN</t>
        </is>
      </c>
      <c r="E481" t="inlineStr">
        <is>
          <t>KINDA</t>
        </is>
      </c>
      <c r="G481" t="n">
        <v>2.3</v>
      </c>
      <c r="H481" t="n">
        <v>0</v>
      </c>
      <c r="I481" t="n">
        <v>0</v>
      </c>
      <c r="J481" t="n">
        <v>0</v>
      </c>
      <c r="K481" t="n">
        <v>0</v>
      </c>
      <c r="L481" t="n">
        <v>0</v>
      </c>
      <c r="M481" t="n">
        <v>0</v>
      </c>
      <c r="N481" t="n">
        <v>0</v>
      </c>
      <c r="O481" t="n">
        <v>0</v>
      </c>
      <c r="P481" t="n">
        <v>0</v>
      </c>
      <c r="Q481" t="n">
        <v>0</v>
      </c>
      <c r="R481" s="2" t="inlineStr"/>
    </row>
    <row r="482" ht="15" customHeight="1">
      <c r="A482" t="inlineStr">
        <is>
          <t>A 5508-2025</t>
        </is>
      </c>
      <c r="B482" s="1" t="n">
        <v>45693.39354166666</v>
      </c>
      <c r="C482" s="1" t="n">
        <v>46103</v>
      </c>
      <c r="D482" t="inlineStr">
        <is>
          <t>ÖSTERGÖTLANDS LÄN</t>
        </is>
      </c>
      <c r="E482" t="inlineStr">
        <is>
          <t>KINDA</t>
        </is>
      </c>
      <c r="G482" t="n">
        <v>1.3</v>
      </c>
      <c r="H482" t="n">
        <v>0</v>
      </c>
      <c r="I482" t="n">
        <v>0</v>
      </c>
      <c r="J482" t="n">
        <v>0</v>
      </c>
      <c r="K482" t="n">
        <v>0</v>
      </c>
      <c r="L482" t="n">
        <v>0</v>
      </c>
      <c r="M482" t="n">
        <v>0</v>
      </c>
      <c r="N482" t="n">
        <v>0</v>
      </c>
      <c r="O482" t="n">
        <v>0</v>
      </c>
      <c r="P482" t="n">
        <v>0</v>
      </c>
      <c r="Q482" t="n">
        <v>0</v>
      </c>
      <c r="R482" s="2" t="inlineStr"/>
    </row>
    <row r="483" ht="15" customHeight="1">
      <c r="A483" t="inlineStr">
        <is>
          <t>A 37831-2023</t>
        </is>
      </c>
      <c r="B483" s="1" t="n">
        <v>45160.3425</v>
      </c>
      <c r="C483" s="1" t="n">
        <v>46103</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31048-2025</t>
        </is>
      </c>
      <c r="B484" s="1" t="n">
        <v>45832.55696759259</v>
      </c>
      <c r="C484" s="1" t="n">
        <v>46103</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48520-2024</t>
        </is>
      </c>
      <c r="B485" s="1" t="n">
        <v>45593.32488425926</v>
      </c>
      <c r="C485" s="1" t="n">
        <v>46103</v>
      </c>
      <c r="D485" t="inlineStr">
        <is>
          <t>ÖSTERGÖTLANDS LÄN</t>
        </is>
      </c>
      <c r="E485" t="inlineStr">
        <is>
          <t>KINDA</t>
        </is>
      </c>
      <c r="G485" t="n">
        <v>4.6</v>
      </c>
      <c r="H485" t="n">
        <v>0</v>
      </c>
      <c r="I485" t="n">
        <v>0</v>
      </c>
      <c r="J485" t="n">
        <v>0</v>
      </c>
      <c r="K485" t="n">
        <v>0</v>
      </c>
      <c r="L485" t="n">
        <v>0</v>
      </c>
      <c r="M485" t="n">
        <v>0</v>
      </c>
      <c r="N485" t="n">
        <v>0</v>
      </c>
      <c r="O485" t="n">
        <v>0</v>
      </c>
      <c r="P485" t="n">
        <v>0</v>
      </c>
      <c r="Q485" t="n">
        <v>0</v>
      </c>
      <c r="R485" s="2" t="inlineStr"/>
    </row>
    <row r="486" ht="15" customHeight="1">
      <c r="A486" t="inlineStr">
        <is>
          <t>A 31811-2025</t>
        </is>
      </c>
      <c r="B486" s="1" t="n">
        <v>45834.56487268519</v>
      </c>
      <c r="C486" s="1" t="n">
        <v>46103</v>
      </c>
      <c r="D486" t="inlineStr">
        <is>
          <t>ÖSTERGÖTLANDS LÄN</t>
        </is>
      </c>
      <c r="E486" t="inlineStr">
        <is>
          <t>KINDA</t>
        </is>
      </c>
      <c r="G486" t="n">
        <v>4.4</v>
      </c>
      <c r="H486" t="n">
        <v>0</v>
      </c>
      <c r="I486" t="n">
        <v>0</v>
      </c>
      <c r="J486" t="n">
        <v>0</v>
      </c>
      <c r="K486" t="n">
        <v>0</v>
      </c>
      <c r="L486" t="n">
        <v>0</v>
      </c>
      <c r="M486" t="n">
        <v>0</v>
      </c>
      <c r="N486" t="n">
        <v>0</v>
      </c>
      <c r="O486" t="n">
        <v>0</v>
      </c>
      <c r="P486" t="n">
        <v>0</v>
      </c>
      <c r="Q486" t="n">
        <v>0</v>
      </c>
      <c r="R486" s="2" t="inlineStr"/>
    </row>
    <row r="487" ht="15" customHeight="1">
      <c r="A487" t="inlineStr">
        <is>
          <t>A 26625-2022</t>
        </is>
      </c>
      <c r="B487" s="1" t="n">
        <v>44739.5850462963</v>
      </c>
      <c r="C487" s="1" t="n">
        <v>46103</v>
      </c>
      <c r="D487" t="inlineStr">
        <is>
          <t>ÖSTERGÖTLANDS LÄN</t>
        </is>
      </c>
      <c r="E487" t="inlineStr">
        <is>
          <t>KINDA</t>
        </is>
      </c>
      <c r="G487" t="n">
        <v>3.2</v>
      </c>
      <c r="H487" t="n">
        <v>0</v>
      </c>
      <c r="I487" t="n">
        <v>0</v>
      </c>
      <c r="J487" t="n">
        <v>0</v>
      </c>
      <c r="K487" t="n">
        <v>0</v>
      </c>
      <c r="L487" t="n">
        <v>0</v>
      </c>
      <c r="M487" t="n">
        <v>0</v>
      </c>
      <c r="N487" t="n">
        <v>0</v>
      </c>
      <c r="O487" t="n">
        <v>0</v>
      </c>
      <c r="P487" t="n">
        <v>0</v>
      </c>
      <c r="Q487" t="n">
        <v>0</v>
      </c>
      <c r="R487" s="2" t="inlineStr"/>
    </row>
    <row r="488" ht="15" customHeight="1">
      <c r="A488" t="inlineStr">
        <is>
          <t>A 23883-2023</t>
        </is>
      </c>
      <c r="B488" s="1" t="n">
        <v>45078.51806712963</v>
      </c>
      <c r="C488" s="1" t="n">
        <v>46103</v>
      </c>
      <c r="D488" t="inlineStr">
        <is>
          <t>ÖSTERGÖTLANDS LÄN</t>
        </is>
      </c>
      <c r="E488" t="inlineStr">
        <is>
          <t>KINDA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5184-2023</t>
        </is>
      </c>
      <c r="B489" s="1" t="n">
        <v>44959.3233912037</v>
      </c>
      <c r="C489" s="1" t="n">
        <v>46103</v>
      </c>
      <c r="D489" t="inlineStr">
        <is>
          <t>ÖSTERGÖTLANDS LÄN</t>
        </is>
      </c>
      <c r="E489" t="inlineStr">
        <is>
          <t>KINDA</t>
        </is>
      </c>
      <c r="G489" t="n">
        <v>3.4</v>
      </c>
      <c r="H489" t="n">
        <v>0</v>
      </c>
      <c r="I489" t="n">
        <v>0</v>
      </c>
      <c r="J489" t="n">
        <v>0</v>
      </c>
      <c r="K489" t="n">
        <v>0</v>
      </c>
      <c r="L489" t="n">
        <v>0</v>
      </c>
      <c r="M489" t="n">
        <v>0</v>
      </c>
      <c r="N489" t="n">
        <v>0</v>
      </c>
      <c r="O489" t="n">
        <v>0</v>
      </c>
      <c r="P489" t="n">
        <v>0</v>
      </c>
      <c r="Q489" t="n">
        <v>0</v>
      </c>
      <c r="R489" s="2" t="inlineStr"/>
    </row>
    <row r="490" ht="15" customHeight="1">
      <c r="A490" t="inlineStr">
        <is>
          <t>A 31849-2023</t>
        </is>
      </c>
      <c r="B490" s="1" t="n">
        <v>45118.58756944445</v>
      </c>
      <c r="C490" s="1" t="n">
        <v>46103</v>
      </c>
      <c r="D490" t="inlineStr">
        <is>
          <t>ÖSTERGÖTLANDS LÄN</t>
        </is>
      </c>
      <c r="E490" t="inlineStr">
        <is>
          <t>KINDA</t>
        </is>
      </c>
      <c r="G490" t="n">
        <v>3</v>
      </c>
      <c r="H490" t="n">
        <v>0</v>
      </c>
      <c r="I490" t="n">
        <v>0</v>
      </c>
      <c r="J490" t="n">
        <v>0</v>
      </c>
      <c r="K490" t="n">
        <v>0</v>
      </c>
      <c r="L490" t="n">
        <v>0</v>
      </c>
      <c r="M490" t="n">
        <v>0</v>
      </c>
      <c r="N490" t="n">
        <v>0</v>
      </c>
      <c r="O490" t="n">
        <v>0</v>
      </c>
      <c r="P490" t="n">
        <v>0</v>
      </c>
      <c r="Q490" t="n">
        <v>0</v>
      </c>
      <c r="R490" s="2" t="inlineStr"/>
    </row>
    <row r="491" ht="15" customHeight="1">
      <c r="A491" t="inlineStr">
        <is>
          <t>A 29060-2025</t>
        </is>
      </c>
      <c r="B491" s="1" t="n">
        <v>45821.4841087963</v>
      </c>
      <c r="C491" s="1" t="n">
        <v>46103</v>
      </c>
      <c r="D491" t="inlineStr">
        <is>
          <t>ÖSTERGÖTLANDS LÄN</t>
        </is>
      </c>
      <c r="E491" t="inlineStr">
        <is>
          <t>KINDA</t>
        </is>
      </c>
      <c r="G491" t="n">
        <v>1.9</v>
      </c>
      <c r="H491" t="n">
        <v>0</v>
      </c>
      <c r="I491" t="n">
        <v>0</v>
      </c>
      <c r="J491" t="n">
        <v>0</v>
      </c>
      <c r="K491" t="n">
        <v>0</v>
      </c>
      <c r="L491" t="n">
        <v>0</v>
      </c>
      <c r="M491" t="n">
        <v>0</v>
      </c>
      <c r="N491" t="n">
        <v>0</v>
      </c>
      <c r="O491" t="n">
        <v>0</v>
      </c>
      <c r="P491" t="n">
        <v>0</v>
      </c>
      <c r="Q491" t="n">
        <v>0</v>
      </c>
      <c r="R491" s="2" t="inlineStr"/>
    </row>
    <row r="492" ht="15" customHeight="1">
      <c r="A492" t="inlineStr">
        <is>
          <t>A 31989-2025</t>
        </is>
      </c>
      <c r="B492" s="1" t="n">
        <v>45835.36383101852</v>
      </c>
      <c r="C492" s="1" t="n">
        <v>46103</v>
      </c>
      <c r="D492" t="inlineStr">
        <is>
          <t>ÖSTERGÖTLANDS LÄN</t>
        </is>
      </c>
      <c r="E492" t="inlineStr">
        <is>
          <t>KINDA</t>
        </is>
      </c>
      <c r="G492" t="n">
        <v>1.1</v>
      </c>
      <c r="H492" t="n">
        <v>0</v>
      </c>
      <c r="I492" t="n">
        <v>0</v>
      </c>
      <c r="J492" t="n">
        <v>0</v>
      </c>
      <c r="K492" t="n">
        <v>0</v>
      </c>
      <c r="L492" t="n">
        <v>0</v>
      </c>
      <c r="M492" t="n">
        <v>0</v>
      </c>
      <c r="N492" t="n">
        <v>0</v>
      </c>
      <c r="O492" t="n">
        <v>0</v>
      </c>
      <c r="P492" t="n">
        <v>0</v>
      </c>
      <c r="Q492" t="n">
        <v>0</v>
      </c>
      <c r="R492" s="2" t="inlineStr"/>
    </row>
    <row r="493" ht="15" customHeight="1">
      <c r="A493" t="inlineStr">
        <is>
          <t>A 4659-2023</t>
        </is>
      </c>
      <c r="B493" s="1" t="n">
        <v>44952</v>
      </c>
      <c r="C493" s="1" t="n">
        <v>46103</v>
      </c>
      <c r="D493" t="inlineStr">
        <is>
          <t>ÖSTERGÖTLANDS LÄN</t>
        </is>
      </c>
      <c r="E493" t="inlineStr">
        <is>
          <t>KINDA</t>
        </is>
      </c>
      <c r="G493" t="n">
        <v>1.1</v>
      </c>
      <c r="H493" t="n">
        <v>0</v>
      </c>
      <c r="I493" t="n">
        <v>0</v>
      </c>
      <c r="J493" t="n">
        <v>0</v>
      </c>
      <c r="K493" t="n">
        <v>0</v>
      </c>
      <c r="L493" t="n">
        <v>0</v>
      </c>
      <c r="M493" t="n">
        <v>0</v>
      </c>
      <c r="N493" t="n">
        <v>0</v>
      </c>
      <c r="O493" t="n">
        <v>0</v>
      </c>
      <c r="P493" t="n">
        <v>0</v>
      </c>
      <c r="Q493" t="n">
        <v>0</v>
      </c>
      <c r="R493" s="2" t="inlineStr"/>
    </row>
    <row r="494" ht="15" customHeight="1">
      <c r="A494" t="inlineStr">
        <is>
          <t>A 7792-2022</t>
        </is>
      </c>
      <c r="B494" s="1" t="n">
        <v>44608.48450231482</v>
      </c>
      <c r="C494" s="1" t="n">
        <v>46103</v>
      </c>
      <c r="D494" t="inlineStr">
        <is>
          <t>ÖSTERGÖTLANDS LÄN</t>
        </is>
      </c>
      <c r="E494" t="inlineStr">
        <is>
          <t>KINDA</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31980-2025</t>
        </is>
      </c>
      <c r="B495" s="1" t="n">
        <v>45835.35780092593</v>
      </c>
      <c r="C495" s="1" t="n">
        <v>46103</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32674-2025</t>
        </is>
      </c>
      <c r="B496" s="1" t="n">
        <v>45838.72785879629</v>
      </c>
      <c r="C496" s="1" t="n">
        <v>46103</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50406-2024</t>
        </is>
      </c>
      <c r="B497" s="1" t="n">
        <v>45601.35923611111</v>
      </c>
      <c r="C497" s="1" t="n">
        <v>46103</v>
      </c>
      <c r="D497" t="inlineStr">
        <is>
          <t>ÖSTERGÖTLANDS LÄN</t>
        </is>
      </c>
      <c r="E497" t="inlineStr">
        <is>
          <t>KINDA</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32809-2025</t>
        </is>
      </c>
      <c r="B498" s="1" t="n">
        <v>45839.50966435186</v>
      </c>
      <c r="C498" s="1" t="n">
        <v>46103</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32811-2025</t>
        </is>
      </c>
      <c r="B499" s="1" t="n">
        <v>45839.51413194444</v>
      </c>
      <c r="C499" s="1" t="n">
        <v>46103</v>
      </c>
      <c r="D499" t="inlineStr">
        <is>
          <t>ÖSTERGÖTLANDS LÄN</t>
        </is>
      </c>
      <c r="E499" t="inlineStr">
        <is>
          <t>KINDA</t>
        </is>
      </c>
      <c r="G499" t="n">
        <v>3.7</v>
      </c>
      <c r="H499" t="n">
        <v>0</v>
      </c>
      <c r="I499" t="n">
        <v>0</v>
      </c>
      <c r="J499" t="n">
        <v>0</v>
      </c>
      <c r="K499" t="n">
        <v>0</v>
      </c>
      <c r="L499" t="n">
        <v>0</v>
      </c>
      <c r="M499" t="n">
        <v>0</v>
      </c>
      <c r="N499" t="n">
        <v>0</v>
      </c>
      <c r="O499" t="n">
        <v>0</v>
      </c>
      <c r="P499" t="n">
        <v>0</v>
      </c>
      <c r="Q499" t="n">
        <v>0</v>
      </c>
      <c r="R499" s="2" t="inlineStr"/>
    </row>
    <row r="500" ht="15" customHeight="1">
      <c r="A500" t="inlineStr">
        <is>
          <t>A 3953-2025</t>
        </is>
      </c>
      <c r="B500" s="1" t="n">
        <v>45684.49472222223</v>
      </c>
      <c r="C500" s="1" t="n">
        <v>46103</v>
      </c>
      <c r="D500" t="inlineStr">
        <is>
          <t>ÖSTERGÖTLANDS LÄN</t>
        </is>
      </c>
      <c r="E500" t="inlineStr">
        <is>
          <t>KINDA</t>
        </is>
      </c>
      <c r="G500" t="n">
        <v>4</v>
      </c>
      <c r="H500" t="n">
        <v>0</v>
      </c>
      <c r="I500" t="n">
        <v>0</v>
      </c>
      <c r="J500" t="n">
        <v>0</v>
      </c>
      <c r="K500" t="n">
        <v>0</v>
      </c>
      <c r="L500" t="n">
        <v>0</v>
      </c>
      <c r="M500" t="n">
        <v>0</v>
      </c>
      <c r="N500" t="n">
        <v>0</v>
      </c>
      <c r="O500" t="n">
        <v>0</v>
      </c>
      <c r="P500" t="n">
        <v>0</v>
      </c>
      <c r="Q500" t="n">
        <v>0</v>
      </c>
      <c r="R500" s="2" t="inlineStr"/>
    </row>
    <row r="501" ht="15" customHeight="1">
      <c r="A501" t="inlineStr">
        <is>
          <t>A 33289-2025</t>
        </is>
      </c>
      <c r="B501" s="1" t="n">
        <v>45840.85745370371</v>
      </c>
      <c r="C501" s="1" t="n">
        <v>46103</v>
      </c>
      <c r="D501" t="inlineStr">
        <is>
          <t>ÖSTERGÖTLANDS LÄN</t>
        </is>
      </c>
      <c r="E501" t="inlineStr">
        <is>
          <t>KINDA</t>
        </is>
      </c>
      <c r="G501" t="n">
        <v>3.2</v>
      </c>
      <c r="H501" t="n">
        <v>0</v>
      </c>
      <c r="I501" t="n">
        <v>0</v>
      </c>
      <c r="J501" t="n">
        <v>0</v>
      </c>
      <c r="K501" t="n">
        <v>0</v>
      </c>
      <c r="L501" t="n">
        <v>0</v>
      </c>
      <c r="M501" t="n">
        <v>0</v>
      </c>
      <c r="N501" t="n">
        <v>0</v>
      </c>
      <c r="O501" t="n">
        <v>0</v>
      </c>
      <c r="P501" t="n">
        <v>0</v>
      </c>
      <c r="Q501" t="n">
        <v>0</v>
      </c>
      <c r="R501" s="2" t="inlineStr"/>
    </row>
    <row r="502" ht="15" customHeight="1">
      <c r="A502" t="inlineStr">
        <is>
          <t>A 33445-2025</t>
        </is>
      </c>
      <c r="B502" s="1" t="n">
        <v>45841.4630787037</v>
      </c>
      <c r="C502" s="1" t="n">
        <v>46103</v>
      </c>
      <c r="D502" t="inlineStr">
        <is>
          <t>ÖSTERGÖTLANDS LÄN</t>
        </is>
      </c>
      <c r="E502" t="inlineStr">
        <is>
          <t>KINDA</t>
        </is>
      </c>
      <c r="G502" t="n">
        <v>0.8</v>
      </c>
      <c r="H502" t="n">
        <v>0</v>
      </c>
      <c r="I502" t="n">
        <v>0</v>
      </c>
      <c r="J502" t="n">
        <v>0</v>
      </c>
      <c r="K502" t="n">
        <v>0</v>
      </c>
      <c r="L502" t="n">
        <v>0</v>
      </c>
      <c r="M502" t="n">
        <v>0</v>
      </c>
      <c r="N502" t="n">
        <v>0</v>
      </c>
      <c r="O502" t="n">
        <v>0</v>
      </c>
      <c r="P502" t="n">
        <v>0</v>
      </c>
      <c r="Q502" t="n">
        <v>0</v>
      </c>
      <c r="R502" s="2" t="inlineStr"/>
    </row>
    <row r="503" ht="15" customHeight="1">
      <c r="A503" t="inlineStr">
        <is>
          <t>A 3907-2023</t>
        </is>
      </c>
      <c r="B503" s="1" t="n">
        <v>44952.00760416667</v>
      </c>
      <c r="C503" s="1" t="n">
        <v>46103</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33493-2025</t>
        </is>
      </c>
      <c r="B504" s="1" t="n">
        <v>45841.50858796296</v>
      </c>
      <c r="C504" s="1" t="n">
        <v>46103</v>
      </c>
      <c r="D504" t="inlineStr">
        <is>
          <t>ÖSTERGÖTLANDS LÄN</t>
        </is>
      </c>
      <c r="E504" t="inlineStr">
        <is>
          <t>KINDA</t>
        </is>
      </c>
      <c r="G504" t="n">
        <v>1.6</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46103</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53239-2024</t>
        </is>
      </c>
      <c r="B506" s="1" t="n">
        <v>45613.8235300926</v>
      </c>
      <c r="C506" s="1" t="n">
        <v>46103</v>
      </c>
      <c r="D506" t="inlineStr">
        <is>
          <t>ÖSTERGÖTLANDS LÄN</t>
        </is>
      </c>
      <c r="E506" t="inlineStr">
        <is>
          <t>KINDA</t>
        </is>
      </c>
      <c r="G506" t="n">
        <v>1.3</v>
      </c>
      <c r="H506" t="n">
        <v>0</v>
      </c>
      <c r="I506" t="n">
        <v>0</v>
      </c>
      <c r="J506" t="n">
        <v>0</v>
      </c>
      <c r="K506" t="n">
        <v>0</v>
      </c>
      <c r="L506" t="n">
        <v>0</v>
      </c>
      <c r="M506" t="n">
        <v>0</v>
      </c>
      <c r="N506" t="n">
        <v>0</v>
      </c>
      <c r="O506" t="n">
        <v>0</v>
      </c>
      <c r="P506" t="n">
        <v>0</v>
      </c>
      <c r="Q506" t="n">
        <v>0</v>
      </c>
      <c r="R506" s="2" t="inlineStr"/>
    </row>
    <row r="507" ht="15" customHeight="1">
      <c r="A507" t="inlineStr">
        <is>
          <t>A 33482-2025</t>
        </is>
      </c>
      <c r="B507" s="1" t="n">
        <v>45841.49861111111</v>
      </c>
      <c r="C507" s="1" t="n">
        <v>46103</v>
      </c>
      <c r="D507" t="inlineStr">
        <is>
          <t>ÖSTERGÖTLANDS LÄN</t>
        </is>
      </c>
      <c r="E507" t="inlineStr">
        <is>
          <t>KINDA</t>
        </is>
      </c>
      <c r="G507" t="n">
        <v>1.1</v>
      </c>
      <c r="H507" t="n">
        <v>0</v>
      </c>
      <c r="I507" t="n">
        <v>0</v>
      </c>
      <c r="J507" t="n">
        <v>0</v>
      </c>
      <c r="K507" t="n">
        <v>0</v>
      </c>
      <c r="L507" t="n">
        <v>0</v>
      </c>
      <c r="M507" t="n">
        <v>0</v>
      </c>
      <c r="N507" t="n">
        <v>0</v>
      </c>
      <c r="O507" t="n">
        <v>0</v>
      </c>
      <c r="P507" t="n">
        <v>0</v>
      </c>
      <c r="Q507" t="n">
        <v>0</v>
      </c>
      <c r="R507" s="2" t="inlineStr"/>
    </row>
    <row r="508" ht="15" customHeight="1">
      <c r="A508" t="inlineStr">
        <is>
          <t>A 34262-2025</t>
        </is>
      </c>
      <c r="B508" s="1" t="n">
        <v>45845</v>
      </c>
      <c r="C508" s="1" t="n">
        <v>46103</v>
      </c>
      <c r="D508" t="inlineStr">
        <is>
          <t>ÖSTERGÖTLANDS LÄN</t>
        </is>
      </c>
      <c r="E508" t="inlineStr">
        <is>
          <t>KINDA</t>
        </is>
      </c>
      <c r="G508" t="n">
        <v>1.3</v>
      </c>
      <c r="H508" t="n">
        <v>0</v>
      </c>
      <c r="I508" t="n">
        <v>0</v>
      </c>
      <c r="J508" t="n">
        <v>0</v>
      </c>
      <c r="K508" t="n">
        <v>0</v>
      </c>
      <c r="L508" t="n">
        <v>0</v>
      </c>
      <c r="M508" t="n">
        <v>0</v>
      </c>
      <c r="N508" t="n">
        <v>0</v>
      </c>
      <c r="O508" t="n">
        <v>0</v>
      </c>
      <c r="P508" t="n">
        <v>0</v>
      </c>
      <c r="Q508" t="n">
        <v>0</v>
      </c>
      <c r="R508" s="2" t="inlineStr"/>
    </row>
    <row r="509" ht="15" customHeight="1">
      <c r="A509" t="inlineStr">
        <is>
          <t>A 56041-2024</t>
        </is>
      </c>
      <c r="B509" s="1" t="n">
        <v>45624.33611111111</v>
      </c>
      <c r="C509" s="1" t="n">
        <v>46103</v>
      </c>
      <c r="D509" t="inlineStr">
        <is>
          <t>ÖSTERGÖTLANDS LÄN</t>
        </is>
      </c>
      <c r="E509" t="inlineStr">
        <is>
          <t>KINDA</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34123-2025</t>
        </is>
      </c>
      <c r="B510" s="1" t="n">
        <v>45845.52050925926</v>
      </c>
      <c r="C510" s="1" t="n">
        <v>46103</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46103</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46103</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46103</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46103</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46103</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46103</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46103</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13064-2024</t>
        </is>
      </c>
      <c r="B518" s="1" t="n">
        <v>45385</v>
      </c>
      <c r="C518" s="1" t="n">
        <v>46103</v>
      </c>
      <c r="D518" t="inlineStr">
        <is>
          <t>ÖSTERGÖTLANDS LÄN</t>
        </is>
      </c>
      <c r="E518" t="inlineStr">
        <is>
          <t>KINDA</t>
        </is>
      </c>
      <c r="G518" t="n">
        <v>1.7</v>
      </c>
      <c r="H518" t="n">
        <v>0</v>
      </c>
      <c r="I518" t="n">
        <v>0</v>
      </c>
      <c r="J518" t="n">
        <v>0</v>
      </c>
      <c r="K518" t="n">
        <v>0</v>
      </c>
      <c r="L518" t="n">
        <v>0</v>
      </c>
      <c r="M518" t="n">
        <v>0</v>
      </c>
      <c r="N518" t="n">
        <v>0</v>
      </c>
      <c r="O518" t="n">
        <v>0</v>
      </c>
      <c r="P518" t="n">
        <v>0</v>
      </c>
      <c r="Q518" t="n">
        <v>0</v>
      </c>
      <c r="R518" s="2" t="inlineStr"/>
    </row>
    <row r="519" ht="15" customHeight="1">
      <c r="A519" t="inlineStr">
        <is>
          <t>A 33744-2025</t>
        </is>
      </c>
      <c r="B519" s="1" t="n">
        <v>45842.35203703704</v>
      </c>
      <c r="C519" s="1" t="n">
        <v>46103</v>
      </c>
      <c r="D519" t="inlineStr">
        <is>
          <t>ÖSTERGÖTLANDS LÄN</t>
        </is>
      </c>
      <c r="E519" t="inlineStr">
        <is>
          <t>KINDA</t>
        </is>
      </c>
      <c r="G519" t="n">
        <v>3.5</v>
      </c>
      <c r="H519" t="n">
        <v>0</v>
      </c>
      <c r="I519" t="n">
        <v>0</v>
      </c>
      <c r="J519" t="n">
        <v>0</v>
      </c>
      <c r="K519" t="n">
        <v>0</v>
      </c>
      <c r="L519" t="n">
        <v>0</v>
      </c>
      <c r="M519" t="n">
        <v>0</v>
      </c>
      <c r="N519" t="n">
        <v>0</v>
      </c>
      <c r="O519" t="n">
        <v>0</v>
      </c>
      <c r="P519" t="n">
        <v>0</v>
      </c>
      <c r="Q519" t="n">
        <v>0</v>
      </c>
      <c r="R519" s="2" t="inlineStr"/>
    </row>
    <row r="520" ht="15" customHeight="1">
      <c r="A520" t="inlineStr">
        <is>
          <t>A 12856-2025</t>
        </is>
      </c>
      <c r="B520" s="1" t="n">
        <v>45733.66236111111</v>
      </c>
      <c r="C520" s="1" t="n">
        <v>46103</v>
      </c>
      <c r="D520" t="inlineStr">
        <is>
          <t>ÖSTERGÖTLANDS LÄN</t>
        </is>
      </c>
      <c r="E520" t="inlineStr">
        <is>
          <t>KINDA</t>
        </is>
      </c>
      <c r="G520" t="n">
        <v>2.5</v>
      </c>
      <c r="H520" t="n">
        <v>0</v>
      </c>
      <c r="I520" t="n">
        <v>0</v>
      </c>
      <c r="J520" t="n">
        <v>0</v>
      </c>
      <c r="K520" t="n">
        <v>0</v>
      </c>
      <c r="L520" t="n">
        <v>0</v>
      </c>
      <c r="M520" t="n">
        <v>0</v>
      </c>
      <c r="N520" t="n">
        <v>0</v>
      </c>
      <c r="O520" t="n">
        <v>0</v>
      </c>
      <c r="P520" t="n">
        <v>0</v>
      </c>
      <c r="Q520" t="n">
        <v>0</v>
      </c>
      <c r="R520" s="2" t="inlineStr"/>
    </row>
    <row r="521" ht="15" customHeight="1">
      <c r="A521" t="inlineStr">
        <is>
          <t>A 29782-2025</t>
        </is>
      </c>
      <c r="B521" s="1" t="n">
        <v>45825.6502662037</v>
      </c>
      <c r="C521" s="1" t="n">
        <v>46103</v>
      </c>
      <c r="D521" t="inlineStr">
        <is>
          <t>ÖSTERGÖTLANDS LÄN</t>
        </is>
      </c>
      <c r="E521" t="inlineStr">
        <is>
          <t>KINDA</t>
        </is>
      </c>
      <c r="G521" t="n">
        <v>2.6</v>
      </c>
      <c r="H521" t="n">
        <v>0</v>
      </c>
      <c r="I521" t="n">
        <v>0</v>
      </c>
      <c r="J521" t="n">
        <v>0</v>
      </c>
      <c r="K521" t="n">
        <v>0</v>
      </c>
      <c r="L521" t="n">
        <v>0</v>
      </c>
      <c r="M521" t="n">
        <v>0</v>
      </c>
      <c r="N521" t="n">
        <v>0</v>
      </c>
      <c r="O521" t="n">
        <v>0</v>
      </c>
      <c r="P521" t="n">
        <v>0</v>
      </c>
      <c r="Q521" t="n">
        <v>0</v>
      </c>
      <c r="R521" s="2" t="inlineStr"/>
    </row>
    <row r="522" ht="15" customHeight="1">
      <c r="A522" t="inlineStr">
        <is>
          <t>A 9465-2022</t>
        </is>
      </c>
      <c r="B522" s="1" t="n">
        <v>44616.78555555556</v>
      </c>
      <c r="C522" s="1" t="n">
        <v>46103</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34627-2023</t>
        </is>
      </c>
      <c r="B523" s="1" t="n">
        <v>45139</v>
      </c>
      <c r="C523" s="1" t="n">
        <v>46103</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54671-2023</t>
        </is>
      </c>
      <c r="B524" s="1" t="n">
        <v>45235</v>
      </c>
      <c r="C524" s="1" t="n">
        <v>46103</v>
      </c>
      <c r="D524" t="inlineStr">
        <is>
          <t>ÖSTERGÖTLANDS LÄN</t>
        </is>
      </c>
      <c r="E524" t="inlineStr">
        <is>
          <t>KINDA</t>
        </is>
      </c>
      <c r="G524" t="n">
        <v>10.8</v>
      </c>
      <c r="H524" t="n">
        <v>0</v>
      </c>
      <c r="I524" t="n">
        <v>0</v>
      </c>
      <c r="J524" t="n">
        <v>0</v>
      </c>
      <c r="K524" t="n">
        <v>0</v>
      </c>
      <c r="L524" t="n">
        <v>0</v>
      </c>
      <c r="M524" t="n">
        <v>0</v>
      </c>
      <c r="N524" t="n">
        <v>0</v>
      </c>
      <c r="O524" t="n">
        <v>0</v>
      </c>
      <c r="P524" t="n">
        <v>0</v>
      </c>
      <c r="Q524" t="n">
        <v>0</v>
      </c>
      <c r="R524" s="2" t="inlineStr"/>
    </row>
    <row r="525" ht="15" customHeight="1">
      <c r="A525" t="inlineStr">
        <is>
          <t>A 3908-2023</t>
        </is>
      </c>
      <c r="B525" s="1" t="n">
        <v>44952</v>
      </c>
      <c r="C525" s="1" t="n">
        <v>46103</v>
      </c>
      <c r="D525" t="inlineStr">
        <is>
          <t>ÖSTERGÖTLANDS LÄN</t>
        </is>
      </c>
      <c r="E525" t="inlineStr">
        <is>
          <t>KINDA</t>
        </is>
      </c>
      <c r="G525" t="n">
        <v>2.3</v>
      </c>
      <c r="H525" t="n">
        <v>0</v>
      </c>
      <c r="I525" t="n">
        <v>0</v>
      </c>
      <c r="J525" t="n">
        <v>0</v>
      </c>
      <c r="K525" t="n">
        <v>0</v>
      </c>
      <c r="L525" t="n">
        <v>0</v>
      </c>
      <c r="M525" t="n">
        <v>0</v>
      </c>
      <c r="N525" t="n">
        <v>0</v>
      </c>
      <c r="O525" t="n">
        <v>0</v>
      </c>
      <c r="P525" t="n">
        <v>0</v>
      </c>
      <c r="Q525" t="n">
        <v>0</v>
      </c>
      <c r="R525" s="2" t="inlineStr"/>
    </row>
    <row r="526" ht="15" customHeight="1">
      <c r="A526" t="inlineStr">
        <is>
          <t>A 937-2024</t>
        </is>
      </c>
      <c r="B526" s="1" t="n">
        <v>45301</v>
      </c>
      <c r="C526" s="1" t="n">
        <v>46103</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8228-2025</t>
        </is>
      </c>
      <c r="B527" s="1" t="n">
        <v>45708.46913194445</v>
      </c>
      <c r="C527" s="1" t="n">
        <v>46103</v>
      </c>
      <c r="D527" t="inlineStr">
        <is>
          <t>ÖSTERGÖTLANDS LÄN</t>
        </is>
      </c>
      <c r="E527" t="inlineStr">
        <is>
          <t>KINDA</t>
        </is>
      </c>
      <c r="G527" t="n">
        <v>4.8</v>
      </c>
      <c r="H527" t="n">
        <v>0</v>
      </c>
      <c r="I527" t="n">
        <v>0</v>
      </c>
      <c r="J527" t="n">
        <v>0</v>
      </c>
      <c r="K527" t="n">
        <v>0</v>
      </c>
      <c r="L527" t="n">
        <v>0</v>
      </c>
      <c r="M527" t="n">
        <v>0</v>
      </c>
      <c r="N527" t="n">
        <v>0</v>
      </c>
      <c r="O527" t="n">
        <v>0</v>
      </c>
      <c r="P527" t="n">
        <v>0</v>
      </c>
      <c r="Q527" t="n">
        <v>0</v>
      </c>
      <c r="R527" s="2" t="inlineStr"/>
    </row>
    <row r="528" ht="15" customHeight="1">
      <c r="A528" t="inlineStr">
        <is>
          <t>A 8229-2025</t>
        </is>
      </c>
      <c r="B528" s="1" t="n">
        <v>45708.46960648148</v>
      </c>
      <c r="C528" s="1" t="n">
        <v>46103</v>
      </c>
      <c r="D528" t="inlineStr">
        <is>
          <t>ÖSTERGÖTLANDS LÄN</t>
        </is>
      </c>
      <c r="E528" t="inlineStr">
        <is>
          <t>KINDA</t>
        </is>
      </c>
      <c r="G528" t="n">
        <v>2.8</v>
      </c>
      <c r="H528" t="n">
        <v>0</v>
      </c>
      <c r="I528" t="n">
        <v>0</v>
      </c>
      <c r="J528" t="n">
        <v>0</v>
      </c>
      <c r="K528" t="n">
        <v>0</v>
      </c>
      <c r="L528" t="n">
        <v>0</v>
      </c>
      <c r="M528" t="n">
        <v>0</v>
      </c>
      <c r="N528" t="n">
        <v>0</v>
      </c>
      <c r="O528" t="n">
        <v>0</v>
      </c>
      <c r="P528" t="n">
        <v>0</v>
      </c>
      <c r="Q528" t="n">
        <v>0</v>
      </c>
      <c r="R528" s="2" t="inlineStr"/>
    </row>
    <row r="529" ht="15" customHeight="1">
      <c r="A529" t="inlineStr">
        <is>
          <t>A 58738-2024</t>
        </is>
      </c>
      <c r="B529" s="1" t="n">
        <v>45635.6921875</v>
      </c>
      <c r="C529" s="1" t="n">
        <v>46103</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c r="U529">
        <f>HYPERLINK("https://klasma.github.io/Logging_0513/knärot/A 58738-2024 karta knärot.png", "A 58738-2024")</f>
        <v/>
      </c>
      <c r="V529">
        <f>HYPERLINK("https://klasma.github.io/Logging_0513/klagomål/A 58738-2024 FSC-klagomål.docx", "A 58738-2024")</f>
        <v/>
      </c>
      <c r="W529">
        <f>HYPERLINK("https://klasma.github.io/Logging_0513/klagomålsmail/A 58738-2024 FSC-klagomål mail.docx", "A 58738-2024")</f>
        <v/>
      </c>
      <c r="X529">
        <f>HYPERLINK("https://klasma.github.io/Logging_0513/tillsyn/A 58738-2024 tillsynsbegäran.docx", "A 58738-2024")</f>
        <v/>
      </c>
      <c r="Y529">
        <f>HYPERLINK("https://klasma.github.io/Logging_0513/tillsynsmail/A 58738-2024 tillsynsbegäran mail.docx", "A 58738-2024")</f>
        <v/>
      </c>
    </row>
    <row r="530" ht="15" customHeight="1">
      <c r="A530" t="inlineStr">
        <is>
          <t>A 57449-2021</t>
        </is>
      </c>
      <c r="B530" s="1" t="n">
        <v>44483</v>
      </c>
      <c r="C530" s="1" t="n">
        <v>46103</v>
      </c>
      <c r="D530" t="inlineStr">
        <is>
          <t>ÖSTERGÖTLANDS LÄN</t>
        </is>
      </c>
      <c r="E530" t="inlineStr">
        <is>
          <t>KINDA</t>
        </is>
      </c>
      <c r="G530" t="n">
        <v>5.3</v>
      </c>
      <c r="H530" t="n">
        <v>0</v>
      </c>
      <c r="I530" t="n">
        <v>0</v>
      </c>
      <c r="J530" t="n">
        <v>0</v>
      </c>
      <c r="K530" t="n">
        <v>0</v>
      </c>
      <c r="L530" t="n">
        <v>0</v>
      </c>
      <c r="M530" t="n">
        <v>0</v>
      </c>
      <c r="N530" t="n">
        <v>0</v>
      </c>
      <c r="O530" t="n">
        <v>0</v>
      </c>
      <c r="P530" t="n">
        <v>0</v>
      </c>
      <c r="Q530" t="n">
        <v>0</v>
      </c>
      <c r="R530" s="2" t="inlineStr"/>
    </row>
    <row r="531" ht="15" customHeight="1">
      <c r="A531" t="inlineStr">
        <is>
          <t>A 6411-2025</t>
        </is>
      </c>
      <c r="B531" s="1" t="n">
        <v>45699.45978009259</v>
      </c>
      <c r="C531" s="1" t="n">
        <v>46103</v>
      </c>
      <c r="D531" t="inlineStr">
        <is>
          <t>ÖSTERGÖTLANDS LÄN</t>
        </is>
      </c>
      <c r="E531" t="inlineStr">
        <is>
          <t>KINDA</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42956-2023</t>
        </is>
      </c>
      <c r="B532" s="1" t="n">
        <v>45182</v>
      </c>
      <c r="C532" s="1" t="n">
        <v>46103</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38015-2023</t>
        </is>
      </c>
      <c r="B533" s="1" t="n">
        <v>45160</v>
      </c>
      <c r="C533" s="1" t="n">
        <v>46103</v>
      </c>
      <c r="D533" t="inlineStr">
        <is>
          <t>ÖSTERGÖTLANDS LÄN</t>
        </is>
      </c>
      <c r="E533" t="inlineStr">
        <is>
          <t>KINDA</t>
        </is>
      </c>
      <c r="F533" t="inlineStr">
        <is>
          <t>Allmännings- och besparingsskogar</t>
        </is>
      </c>
      <c r="G533" t="n">
        <v>11.5</v>
      </c>
      <c r="H533" t="n">
        <v>0</v>
      </c>
      <c r="I533" t="n">
        <v>0</v>
      </c>
      <c r="J533" t="n">
        <v>0</v>
      </c>
      <c r="K533" t="n">
        <v>0</v>
      </c>
      <c r="L533" t="n">
        <v>0</v>
      </c>
      <c r="M533" t="n">
        <v>0</v>
      </c>
      <c r="N533" t="n">
        <v>0</v>
      </c>
      <c r="O533" t="n">
        <v>0</v>
      </c>
      <c r="P533" t="n">
        <v>0</v>
      </c>
      <c r="Q533" t="n">
        <v>0</v>
      </c>
      <c r="R533" s="2" t="inlineStr"/>
    </row>
    <row r="534" ht="15" customHeight="1">
      <c r="A534" t="inlineStr">
        <is>
          <t>A 35975-2025</t>
        </is>
      </c>
      <c r="B534" s="1" t="n">
        <v>45863.43395833333</v>
      </c>
      <c r="C534" s="1" t="n">
        <v>46103</v>
      </c>
      <c r="D534" t="inlineStr">
        <is>
          <t>ÖSTERGÖTLANDS LÄN</t>
        </is>
      </c>
      <c r="E534" t="inlineStr">
        <is>
          <t>KINDA</t>
        </is>
      </c>
      <c r="G534" t="n">
        <v>4.9</v>
      </c>
      <c r="H534" t="n">
        <v>0</v>
      </c>
      <c r="I534" t="n">
        <v>0</v>
      </c>
      <c r="J534" t="n">
        <v>0</v>
      </c>
      <c r="K534" t="n">
        <v>0</v>
      </c>
      <c r="L534" t="n">
        <v>0</v>
      </c>
      <c r="M534" t="n">
        <v>0</v>
      </c>
      <c r="N534" t="n">
        <v>0</v>
      </c>
      <c r="O534" t="n">
        <v>0</v>
      </c>
      <c r="P534" t="n">
        <v>0</v>
      </c>
      <c r="Q534" t="n">
        <v>0</v>
      </c>
      <c r="R534" s="2" t="inlineStr"/>
    </row>
    <row r="535" ht="15" customHeight="1">
      <c r="A535" t="inlineStr">
        <is>
          <t>A 36000-2025</t>
        </is>
      </c>
      <c r="B535" s="1" t="n">
        <v>45863.51805555556</v>
      </c>
      <c r="C535" s="1" t="n">
        <v>46103</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35982-2025</t>
        </is>
      </c>
      <c r="B536" s="1" t="n">
        <v>45863.44907407407</v>
      </c>
      <c r="C536" s="1" t="n">
        <v>46103</v>
      </c>
      <c r="D536" t="inlineStr">
        <is>
          <t>ÖSTERGÖTLANDS LÄN</t>
        </is>
      </c>
      <c r="E536" t="inlineStr">
        <is>
          <t>KINDA</t>
        </is>
      </c>
      <c r="G536" t="n">
        <v>2.8</v>
      </c>
      <c r="H536" t="n">
        <v>0</v>
      </c>
      <c r="I536" t="n">
        <v>0</v>
      </c>
      <c r="J536" t="n">
        <v>0</v>
      </c>
      <c r="K536" t="n">
        <v>0</v>
      </c>
      <c r="L536" t="n">
        <v>0</v>
      </c>
      <c r="M536" t="n">
        <v>0</v>
      </c>
      <c r="N536" t="n">
        <v>0</v>
      </c>
      <c r="O536" t="n">
        <v>0</v>
      </c>
      <c r="P536" t="n">
        <v>0</v>
      </c>
      <c r="Q536" t="n">
        <v>0</v>
      </c>
      <c r="R536" s="2" t="inlineStr"/>
    </row>
    <row r="537" ht="15" customHeight="1">
      <c r="A537" t="inlineStr">
        <is>
          <t>A 35986-2025</t>
        </is>
      </c>
      <c r="B537" s="1" t="n">
        <v>45863</v>
      </c>
      <c r="C537" s="1" t="n">
        <v>46103</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20350-2025</t>
        </is>
      </c>
      <c r="B538" s="1" t="n">
        <v>45775</v>
      </c>
      <c r="C538" s="1" t="n">
        <v>46103</v>
      </c>
      <c r="D538" t="inlineStr">
        <is>
          <t>ÖSTERGÖTLANDS LÄN</t>
        </is>
      </c>
      <c r="E538" t="inlineStr">
        <is>
          <t>KINDA</t>
        </is>
      </c>
      <c r="G538" t="n">
        <v>2</v>
      </c>
      <c r="H538" t="n">
        <v>0</v>
      </c>
      <c r="I538" t="n">
        <v>0</v>
      </c>
      <c r="J538" t="n">
        <v>0</v>
      </c>
      <c r="K538" t="n">
        <v>0</v>
      </c>
      <c r="L538" t="n">
        <v>0</v>
      </c>
      <c r="M538" t="n">
        <v>0</v>
      </c>
      <c r="N538" t="n">
        <v>0</v>
      </c>
      <c r="O538" t="n">
        <v>0</v>
      </c>
      <c r="P538" t="n">
        <v>0</v>
      </c>
      <c r="Q538" t="n">
        <v>0</v>
      </c>
      <c r="R538" s="2" t="inlineStr"/>
    </row>
    <row r="539" ht="15" customHeight="1">
      <c r="A539" t="inlineStr">
        <is>
          <t>A 22002-2025</t>
        </is>
      </c>
      <c r="B539" s="1" t="n">
        <v>45784.70443287037</v>
      </c>
      <c r="C539" s="1" t="n">
        <v>46103</v>
      </c>
      <c r="D539" t="inlineStr">
        <is>
          <t>ÖSTERGÖTLANDS LÄN</t>
        </is>
      </c>
      <c r="E539" t="inlineStr">
        <is>
          <t>KINDA</t>
        </is>
      </c>
      <c r="G539" t="n">
        <v>3.7</v>
      </c>
      <c r="H539" t="n">
        <v>0</v>
      </c>
      <c r="I539" t="n">
        <v>0</v>
      </c>
      <c r="J539" t="n">
        <v>0</v>
      </c>
      <c r="K539" t="n">
        <v>0</v>
      </c>
      <c r="L539" t="n">
        <v>0</v>
      </c>
      <c r="M539" t="n">
        <v>0</v>
      </c>
      <c r="N539" t="n">
        <v>0</v>
      </c>
      <c r="O539" t="n">
        <v>0</v>
      </c>
      <c r="P539" t="n">
        <v>0</v>
      </c>
      <c r="Q539" t="n">
        <v>0</v>
      </c>
      <c r="R539" s="2" t="inlineStr"/>
    </row>
    <row r="540" ht="15" customHeight="1">
      <c r="A540" t="inlineStr">
        <is>
          <t>A 22443-2025</t>
        </is>
      </c>
      <c r="B540" s="1" t="n">
        <v>45786</v>
      </c>
      <c r="C540" s="1" t="n">
        <v>46103</v>
      </c>
      <c r="D540" t="inlineStr">
        <is>
          <t>ÖSTERGÖTLANDS LÄN</t>
        </is>
      </c>
      <c r="E540" t="inlineStr">
        <is>
          <t>KINDA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36172-2025</t>
        </is>
      </c>
      <c r="B541" s="1" t="n">
        <v>45866</v>
      </c>
      <c r="C541" s="1" t="n">
        <v>46103</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36173-2025</t>
        </is>
      </c>
      <c r="B542" s="1" t="n">
        <v>45866</v>
      </c>
      <c r="C542" s="1" t="n">
        <v>46103</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2966-2024</t>
        </is>
      </c>
      <c r="B543" s="1" t="n">
        <v>45315.66575231482</v>
      </c>
      <c r="C543" s="1" t="n">
        <v>46103</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56140-2024</t>
        </is>
      </c>
      <c r="B544" s="1" t="n">
        <v>45624</v>
      </c>
      <c r="C544" s="1" t="n">
        <v>46103</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16585-2021</t>
        </is>
      </c>
      <c r="B545" s="1" t="n">
        <v>44294.33396990741</v>
      </c>
      <c r="C545" s="1" t="n">
        <v>46103</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17071-2025</t>
        </is>
      </c>
      <c r="B546" s="1" t="n">
        <v>45755.61784722222</v>
      </c>
      <c r="C546" s="1" t="n">
        <v>46103</v>
      </c>
      <c r="D546" t="inlineStr">
        <is>
          <t>ÖSTERGÖTLANDS LÄN</t>
        </is>
      </c>
      <c r="E546" t="inlineStr">
        <is>
          <t>KINDA</t>
        </is>
      </c>
      <c r="G546" t="n">
        <v>1.2</v>
      </c>
      <c r="H546" t="n">
        <v>0</v>
      </c>
      <c r="I546" t="n">
        <v>0</v>
      </c>
      <c r="J546" t="n">
        <v>0</v>
      </c>
      <c r="K546" t="n">
        <v>0</v>
      </c>
      <c r="L546" t="n">
        <v>0</v>
      </c>
      <c r="M546" t="n">
        <v>0</v>
      </c>
      <c r="N546" t="n">
        <v>0</v>
      </c>
      <c r="O546" t="n">
        <v>0</v>
      </c>
      <c r="P546" t="n">
        <v>0</v>
      </c>
      <c r="Q546" t="n">
        <v>0</v>
      </c>
      <c r="R546" s="2" t="inlineStr"/>
    </row>
    <row r="547" ht="15" customHeight="1">
      <c r="A547" t="inlineStr">
        <is>
          <t>A 35218-2023</t>
        </is>
      </c>
      <c r="B547" s="1" t="n">
        <v>45145.64796296296</v>
      </c>
      <c r="C547" s="1" t="n">
        <v>46103</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8409-2025</t>
        </is>
      </c>
      <c r="B548" s="1" t="n">
        <v>45709.38978009259</v>
      </c>
      <c r="C548" s="1" t="n">
        <v>46103</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c r="U548">
        <f>HYPERLINK("https://klasma.github.io/Logging_0513/knärot/A 8409-2025 karta knärot.png", "A 8409-2025")</f>
        <v/>
      </c>
      <c r="V548">
        <f>HYPERLINK("https://klasma.github.io/Logging_0513/klagomål/A 8409-2025 FSC-klagomål.docx", "A 8409-2025")</f>
        <v/>
      </c>
      <c r="W548">
        <f>HYPERLINK("https://klasma.github.io/Logging_0513/klagomålsmail/A 8409-2025 FSC-klagomål mail.docx", "A 8409-2025")</f>
        <v/>
      </c>
      <c r="X548">
        <f>HYPERLINK("https://klasma.github.io/Logging_0513/tillsyn/A 8409-2025 tillsynsbegäran.docx", "A 8409-2025")</f>
        <v/>
      </c>
      <c r="Y548">
        <f>HYPERLINK("https://klasma.github.io/Logging_0513/tillsynsmail/A 8409-2025 tillsynsbegäran mail.docx", "A 8409-2025")</f>
        <v/>
      </c>
    </row>
    <row r="549" ht="15" customHeight="1">
      <c r="A549" t="inlineStr">
        <is>
          <t>A 37014-2025</t>
        </is>
      </c>
      <c r="B549" s="1" t="n">
        <v>45874</v>
      </c>
      <c r="C549" s="1" t="n">
        <v>46103</v>
      </c>
      <c r="D549" t="inlineStr">
        <is>
          <t>ÖSTERGÖTLANDS LÄN</t>
        </is>
      </c>
      <c r="E549" t="inlineStr">
        <is>
          <t>KINDA</t>
        </is>
      </c>
      <c r="G549" t="n">
        <v>2.7</v>
      </c>
      <c r="H549" t="n">
        <v>0</v>
      </c>
      <c r="I549" t="n">
        <v>0</v>
      </c>
      <c r="J549" t="n">
        <v>0</v>
      </c>
      <c r="K549" t="n">
        <v>0</v>
      </c>
      <c r="L549" t="n">
        <v>0</v>
      </c>
      <c r="M549" t="n">
        <v>0</v>
      </c>
      <c r="N549" t="n">
        <v>0</v>
      </c>
      <c r="O549" t="n">
        <v>0</v>
      </c>
      <c r="P549" t="n">
        <v>0</v>
      </c>
      <c r="Q549" t="n">
        <v>0</v>
      </c>
      <c r="R549" s="2" t="inlineStr"/>
    </row>
    <row r="550" ht="15" customHeight="1">
      <c r="A550" t="inlineStr">
        <is>
          <t>A 19645-2025</t>
        </is>
      </c>
      <c r="B550" s="1" t="n">
        <v>45770.65983796296</v>
      </c>
      <c r="C550" s="1" t="n">
        <v>46103</v>
      </c>
      <c r="D550" t="inlineStr">
        <is>
          <t>ÖSTERGÖTLANDS LÄN</t>
        </is>
      </c>
      <c r="E550" t="inlineStr">
        <is>
          <t>KINDA</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2952-2024</t>
        </is>
      </c>
      <c r="B551" s="1" t="n">
        <v>45315</v>
      </c>
      <c r="C551" s="1" t="n">
        <v>46103</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37069-2025</t>
        </is>
      </c>
      <c r="B552" s="1" t="n">
        <v>45875</v>
      </c>
      <c r="C552" s="1" t="n">
        <v>46103</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24454-2023</t>
        </is>
      </c>
      <c r="B553" s="1" t="n">
        <v>45082.55885416667</v>
      </c>
      <c r="C553" s="1" t="n">
        <v>46103</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4433-2024</t>
        </is>
      </c>
      <c r="B554" s="1" t="n">
        <v>45327.4684375</v>
      </c>
      <c r="C554" s="1" t="n">
        <v>46103</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20325-2025</t>
        </is>
      </c>
      <c r="B555" s="1" t="n">
        <v>45775</v>
      </c>
      <c r="C555" s="1" t="n">
        <v>46103</v>
      </c>
      <c r="D555" t="inlineStr">
        <is>
          <t>ÖSTERGÖTLANDS LÄN</t>
        </is>
      </c>
      <c r="E555" t="inlineStr">
        <is>
          <t>KINDA</t>
        </is>
      </c>
      <c r="G555" t="n">
        <v>3.6</v>
      </c>
      <c r="H555" t="n">
        <v>0</v>
      </c>
      <c r="I555" t="n">
        <v>0</v>
      </c>
      <c r="J555" t="n">
        <v>0</v>
      </c>
      <c r="K555" t="n">
        <v>0</v>
      </c>
      <c r="L555" t="n">
        <v>0</v>
      </c>
      <c r="M555" t="n">
        <v>0</v>
      </c>
      <c r="N555" t="n">
        <v>0</v>
      </c>
      <c r="O555" t="n">
        <v>0</v>
      </c>
      <c r="P555" t="n">
        <v>0</v>
      </c>
      <c r="Q555" t="n">
        <v>0</v>
      </c>
      <c r="R555" s="2" t="inlineStr"/>
    </row>
    <row r="556" ht="15" customHeight="1">
      <c r="A556" t="inlineStr">
        <is>
          <t>A 36824-2022</t>
        </is>
      </c>
      <c r="B556" s="1" t="n">
        <v>44805.55975694444</v>
      </c>
      <c r="C556" s="1" t="n">
        <v>46103</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6301-2025</t>
        </is>
      </c>
      <c r="B557" s="1" t="n">
        <v>45698.67719907407</v>
      </c>
      <c r="C557" s="1" t="n">
        <v>46103</v>
      </c>
      <c r="D557" t="inlineStr">
        <is>
          <t>ÖSTERGÖTLANDS LÄN</t>
        </is>
      </c>
      <c r="E557" t="inlineStr">
        <is>
          <t>KINDA</t>
        </is>
      </c>
      <c r="G557" t="n">
        <v>4.9</v>
      </c>
      <c r="H557" t="n">
        <v>0</v>
      </c>
      <c r="I557" t="n">
        <v>0</v>
      </c>
      <c r="J557" t="n">
        <v>0</v>
      </c>
      <c r="K557" t="n">
        <v>0</v>
      </c>
      <c r="L557" t="n">
        <v>0</v>
      </c>
      <c r="M557" t="n">
        <v>0</v>
      </c>
      <c r="N557" t="n">
        <v>0</v>
      </c>
      <c r="O557" t="n">
        <v>0</v>
      </c>
      <c r="P557" t="n">
        <v>0</v>
      </c>
      <c r="Q557" t="n">
        <v>0</v>
      </c>
      <c r="R557" s="2" t="inlineStr"/>
    </row>
    <row r="558" ht="15" customHeight="1">
      <c r="A558" t="inlineStr">
        <is>
          <t>A 37670-2025</t>
        </is>
      </c>
      <c r="B558" s="1" t="n">
        <v>45880</v>
      </c>
      <c r="C558" s="1" t="n">
        <v>46103</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38138-2025</t>
        </is>
      </c>
      <c r="B559" s="1" t="n">
        <v>45882.57047453704</v>
      </c>
      <c r="C559" s="1" t="n">
        <v>46103</v>
      </c>
      <c r="D559" t="inlineStr">
        <is>
          <t>ÖSTERGÖTLANDS LÄN</t>
        </is>
      </c>
      <c r="E559" t="inlineStr">
        <is>
          <t>KINDA</t>
        </is>
      </c>
      <c r="G559" t="n">
        <v>2.2</v>
      </c>
      <c r="H559" t="n">
        <v>0</v>
      </c>
      <c r="I559" t="n">
        <v>0</v>
      </c>
      <c r="J559" t="n">
        <v>0</v>
      </c>
      <c r="K559" t="n">
        <v>0</v>
      </c>
      <c r="L559" t="n">
        <v>0</v>
      </c>
      <c r="M559" t="n">
        <v>0</v>
      </c>
      <c r="N559" t="n">
        <v>0</v>
      </c>
      <c r="O559" t="n">
        <v>0</v>
      </c>
      <c r="P559" t="n">
        <v>0</v>
      </c>
      <c r="Q559" t="n">
        <v>0</v>
      </c>
      <c r="R559" s="2" t="inlineStr"/>
    </row>
    <row r="560" ht="15" customHeight="1">
      <c r="A560" t="inlineStr">
        <is>
          <t>A 24075-2025</t>
        </is>
      </c>
      <c r="B560" s="1" t="n">
        <v>45796.54888888889</v>
      </c>
      <c r="C560" s="1" t="n">
        <v>46103</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38142-2025</t>
        </is>
      </c>
      <c r="B561" s="1" t="n">
        <v>45882.58010416666</v>
      </c>
      <c r="C561" s="1" t="n">
        <v>46103</v>
      </c>
      <c r="D561" t="inlineStr">
        <is>
          <t>ÖSTERGÖTLANDS LÄN</t>
        </is>
      </c>
      <c r="E561" t="inlineStr">
        <is>
          <t>KINDA</t>
        </is>
      </c>
      <c r="G561" t="n">
        <v>4.2</v>
      </c>
      <c r="H561" t="n">
        <v>0</v>
      </c>
      <c r="I561" t="n">
        <v>0</v>
      </c>
      <c r="J561" t="n">
        <v>0</v>
      </c>
      <c r="K561" t="n">
        <v>0</v>
      </c>
      <c r="L561" t="n">
        <v>0</v>
      </c>
      <c r="M561" t="n">
        <v>0</v>
      </c>
      <c r="N561" t="n">
        <v>0</v>
      </c>
      <c r="O561" t="n">
        <v>0</v>
      </c>
      <c r="P561" t="n">
        <v>0</v>
      </c>
      <c r="Q561" t="n">
        <v>0</v>
      </c>
      <c r="R561" s="2" t="inlineStr"/>
    </row>
    <row r="562" ht="15" customHeight="1">
      <c r="A562" t="inlineStr">
        <is>
          <t>A 51294-2022</t>
        </is>
      </c>
      <c r="B562" s="1" t="n">
        <v>44868</v>
      </c>
      <c r="C562" s="1" t="n">
        <v>46103</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38136-2025</t>
        </is>
      </c>
      <c r="B563" s="1" t="n">
        <v>45882.56710648148</v>
      </c>
      <c r="C563" s="1" t="n">
        <v>46103</v>
      </c>
      <c r="D563" t="inlineStr">
        <is>
          <t>ÖSTERGÖTLANDS LÄN</t>
        </is>
      </c>
      <c r="E563" t="inlineStr">
        <is>
          <t>KINDA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38250-2025</t>
        </is>
      </c>
      <c r="B564" s="1" t="n">
        <v>45883.3749537037</v>
      </c>
      <c r="C564" s="1" t="n">
        <v>46103</v>
      </c>
      <c r="D564" t="inlineStr">
        <is>
          <t>ÖSTERGÖTLANDS LÄN</t>
        </is>
      </c>
      <c r="E564" t="inlineStr">
        <is>
          <t>KINDA</t>
        </is>
      </c>
      <c r="G564" t="n">
        <v>3.1</v>
      </c>
      <c r="H564" t="n">
        <v>0</v>
      </c>
      <c r="I564" t="n">
        <v>0</v>
      </c>
      <c r="J564" t="n">
        <v>0</v>
      </c>
      <c r="K564" t="n">
        <v>0</v>
      </c>
      <c r="L564" t="n">
        <v>0</v>
      </c>
      <c r="M564" t="n">
        <v>0</v>
      </c>
      <c r="N564" t="n">
        <v>0</v>
      </c>
      <c r="O564" t="n">
        <v>0</v>
      </c>
      <c r="P564" t="n">
        <v>0</v>
      </c>
      <c r="Q564" t="n">
        <v>0</v>
      </c>
      <c r="R564" s="2" t="inlineStr"/>
    </row>
    <row r="565" ht="15" customHeight="1">
      <c r="A565" t="inlineStr">
        <is>
          <t>A 38134-2025</t>
        </is>
      </c>
      <c r="B565" s="1" t="n">
        <v>45882.56501157407</v>
      </c>
      <c r="C565" s="1" t="n">
        <v>46103</v>
      </c>
      <c r="D565" t="inlineStr">
        <is>
          <t>ÖSTERGÖTLANDS LÄN</t>
        </is>
      </c>
      <c r="E565" t="inlineStr">
        <is>
          <t>KINDA</t>
        </is>
      </c>
      <c r="G565" t="n">
        <v>2</v>
      </c>
      <c r="H565" t="n">
        <v>0</v>
      </c>
      <c r="I565" t="n">
        <v>0</v>
      </c>
      <c r="J565" t="n">
        <v>0</v>
      </c>
      <c r="K565" t="n">
        <v>0</v>
      </c>
      <c r="L565" t="n">
        <v>0</v>
      </c>
      <c r="M565" t="n">
        <v>0</v>
      </c>
      <c r="N565" t="n">
        <v>0</v>
      </c>
      <c r="O565" t="n">
        <v>0</v>
      </c>
      <c r="P565" t="n">
        <v>0</v>
      </c>
      <c r="Q565" t="n">
        <v>0</v>
      </c>
      <c r="R565" s="2" t="inlineStr"/>
    </row>
    <row r="566" ht="15" customHeight="1">
      <c r="A566" t="inlineStr">
        <is>
          <t>A 38128-2025</t>
        </is>
      </c>
      <c r="B566" s="1" t="n">
        <v>45882.55935185185</v>
      </c>
      <c r="C566" s="1" t="n">
        <v>46103</v>
      </c>
      <c r="D566" t="inlineStr">
        <is>
          <t>ÖSTERGÖTLANDS LÄN</t>
        </is>
      </c>
      <c r="E566" t="inlineStr">
        <is>
          <t>KINDA</t>
        </is>
      </c>
      <c r="G566" t="n">
        <v>9.1</v>
      </c>
      <c r="H566" t="n">
        <v>0</v>
      </c>
      <c r="I566" t="n">
        <v>0</v>
      </c>
      <c r="J566" t="n">
        <v>0</v>
      </c>
      <c r="K566" t="n">
        <v>0</v>
      </c>
      <c r="L566" t="n">
        <v>0</v>
      </c>
      <c r="M566" t="n">
        <v>0</v>
      </c>
      <c r="N566" t="n">
        <v>0</v>
      </c>
      <c r="O566" t="n">
        <v>0</v>
      </c>
      <c r="P566" t="n">
        <v>0</v>
      </c>
      <c r="Q566" t="n">
        <v>0</v>
      </c>
      <c r="R566" s="2" t="inlineStr"/>
    </row>
    <row r="567" ht="15" customHeight="1">
      <c r="A567" t="inlineStr">
        <is>
          <t>A 38131-2025</t>
        </is>
      </c>
      <c r="B567" s="1" t="n">
        <v>45882.56136574074</v>
      </c>
      <c r="C567" s="1" t="n">
        <v>46103</v>
      </c>
      <c r="D567" t="inlineStr">
        <is>
          <t>ÖSTERGÖTLANDS LÄN</t>
        </is>
      </c>
      <c r="E567" t="inlineStr">
        <is>
          <t>KINDA</t>
        </is>
      </c>
      <c r="G567" t="n">
        <v>3.9</v>
      </c>
      <c r="H567" t="n">
        <v>0</v>
      </c>
      <c r="I567" t="n">
        <v>0</v>
      </c>
      <c r="J567" t="n">
        <v>0</v>
      </c>
      <c r="K567" t="n">
        <v>0</v>
      </c>
      <c r="L567" t="n">
        <v>0</v>
      </c>
      <c r="M567" t="n">
        <v>0</v>
      </c>
      <c r="N567" t="n">
        <v>0</v>
      </c>
      <c r="O567" t="n">
        <v>0</v>
      </c>
      <c r="P567" t="n">
        <v>0</v>
      </c>
      <c r="Q567" t="n">
        <v>0</v>
      </c>
      <c r="R567" s="2" t="inlineStr"/>
    </row>
    <row r="568" ht="15" customHeight="1">
      <c r="A568" t="inlineStr">
        <is>
          <t>A 38258-2025</t>
        </is>
      </c>
      <c r="B568" s="1" t="n">
        <v>45883.38797453704</v>
      </c>
      <c r="C568" s="1" t="n">
        <v>46103</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38261-2025</t>
        </is>
      </c>
      <c r="B569" s="1" t="n">
        <v>45883.39684027778</v>
      </c>
      <c r="C569" s="1" t="n">
        <v>46103</v>
      </c>
      <c r="D569" t="inlineStr">
        <is>
          <t>ÖSTERGÖTLANDS LÄN</t>
        </is>
      </c>
      <c r="E569" t="inlineStr">
        <is>
          <t>KINDA</t>
        </is>
      </c>
      <c r="G569" t="n">
        <v>1.7</v>
      </c>
      <c r="H569" t="n">
        <v>0</v>
      </c>
      <c r="I569" t="n">
        <v>0</v>
      </c>
      <c r="J569" t="n">
        <v>0</v>
      </c>
      <c r="K569" t="n">
        <v>0</v>
      </c>
      <c r="L569" t="n">
        <v>0</v>
      </c>
      <c r="M569" t="n">
        <v>0</v>
      </c>
      <c r="N569" t="n">
        <v>0</v>
      </c>
      <c r="O569" t="n">
        <v>0</v>
      </c>
      <c r="P569" t="n">
        <v>0</v>
      </c>
      <c r="Q569" t="n">
        <v>0</v>
      </c>
      <c r="R569" s="2" t="inlineStr"/>
    </row>
    <row r="570" ht="15" customHeight="1">
      <c r="A570" t="inlineStr">
        <is>
          <t>A 1881-2025</t>
        </is>
      </c>
      <c r="B570" s="1" t="n">
        <v>45671.62480324074</v>
      </c>
      <c r="C570" s="1" t="n">
        <v>46103</v>
      </c>
      <c r="D570" t="inlineStr">
        <is>
          <t>ÖSTERGÖTLANDS LÄN</t>
        </is>
      </c>
      <c r="E570" t="inlineStr">
        <is>
          <t>KINDA</t>
        </is>
      </c>
      <c r="G570" t="n">
        <v>2.4</v>
      </c>
      <c r="H570" t="n">
        <v>0</v>
      </c>
      <c r="I570" t="n">
        <v>0</v>
      </c>
      <c r="J570" t="n">
        <v>0</v>
      </c>
      <c r="K570" t="n">
        <v>0</v>
      </c>
      <c r="L570" t="n">
        <v>0</v>
      </c>
      <c r="M570" t="n">
        <v>0</v>
      </c>
      <c r="N570" t="n">
        <v>0</v>
      </c>
      <c r="O570" t="n">
        <v>0</v>
      </c>
      <c r="P570" t="n">
        <v>0</v>
      </c>
      <c r="Q570" t="n">
        <v>0</v>
      </c>
      <c r="R570" s="2" t="inlineStr"/>
    </row>
    <row r="571" ht="15" customHeight="1">
      <c r="A571" t="inlineStr">
        <is>
          <t>A 47187-2023</t>
        </is>
      </c>
      <c r="B571" s="1" t="n">
        <v>45202.26611111111</v>
      </c>
      <c r="C571" s="1" t="n">
        <v>46103</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13769-2023</t>
        </is>
      </c>
      <c r="B572" s="1" t="n">
        <v>45007.45686342593</v>
      </c>
      <c r="C572" s="1" t="n">
        <v>46103</v>
      </c>
      <c r="D572" t="inlineStr">
        <is>
          <t>ÖSTERGÖTLANDS LÄN</t>
        </is>
      </c>
      <c r="E572" t="inlineStr">
        <is>
          <t>KINDA</t>
        </is>
      </c>
      <c r="G572" t="n">
        <v>3.8</v>
      </c>
      <c r="H572" t="n">
        <v>0</v>
      </c>
      <c r="I572" t="n">
        <v>0</v>
      </c>
      <c r="J572" t="n">
        <v>0</v>
      </c>
      <c r="K572" t="n">
        <v>0</v>
      </c>
      <c r="L572" t="n">
        <v>0</v>
      </c>
      <c r="M572" t="n">
        <v>0</v>
      </c>
      <c r="N572" t="n">
        <v>0</v>
      </c>
      <c r="O572" t="n">
        <v>0</v>
      </c>
      <c r="P572" t="n">
        <v>0</v>
      </c>
      <c r="Q572" t="n">
        <v>0</v>
      </c>
      <c r="R572" s="2" t="inlineStr"/>
    </row>
    <row r="573" ht="15" customHeight="1">
      <c r="A573" t="inlineStr">
        <is>
          <t>A 51836-2021</t>
        </is>
      </c>
      <c r="B573" s="1" t="n">
        <v>44462</v>
      </c>
      <c r="C573" s="1" t="n">
        <v>46103</v>
      </c>
      <c r="D573" t="inlineStr">
        <is>
          <t>ÖSTERGÖTLANDS LÄN</t>
        </is>
      </c>
      <c r="E573" t="inlineStr">
        <is>
          <t>KINDA</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6404-2025</t>
        </is>
      </c>
      <c r="B574" s="1" t="n">
        <v>45699.45336805555</v>
      </c>
      <c r="C574" s="1" t="n">
        <v>46103</v>
      </c>
      <c r="D574" t="inlineStr">
        <is>
          <t>ÖSTERGÖTLANDS LÄN</t>
        </is>
      </c>
      <c r="E574" t="inlineStr">
        <is>
          <t>KINDA</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6406-2025</t>
        </is>
      </c>
      <c r="B575" s="1" t="n">
        <v>45699.45508101852</v>
      </c>
      <c r="C575" s="1" t="n">
        <v>46103</v>
      </c>
      <c r="D575" t="inlineStr">
        <is>
          <t>ÖSTERGÖTLANDS LÄN</t>
        </is>
      </c>
      <c r="E575" t="inlineStr">
        <is>
          <t>KINDA</t>
        </is>
      </c>
      <c r="F575" t="inlineStr">
        <is>
          <t>Sveaskog</t>
        </is>
      </c>
      <c r="G575" t="n">
        <v>4.4</v>
      </c>
      <c r="H575" t="n">
        <v>0</v>
      </c>
      <c r="I575" t="n">
        <v>0</v>
      </c>
      <c r="J575" t="n">
        <v>0</v>
      </c>
      <c r="K575" t="n">
        <v>0</v>
      </c>
      <c r="L575" t="n">
        <v>0</v>
      </c>
      <c r="M575" t="n">
        <v>0</v>
      </c>
      <c r="N575" t="n">
        <v>0</v>
      </c>
      <c r="O575" t="n">
        <v>0</v>
      </c>
      <c r="P575" t="n">
        <v>0</v>
      </c>
      <c r="Q575" t="n">
        <v>0</v>
      </c>
      <c r="R575" s="2" t="inlineStr"/>
    </row>
    <row r="576" ht="15" customHeight="1">
      <c r="A576" t="inlineStr">
        <is>
          <t>A 41657-2024</t>
        </is>
      </c>
      <c r="B576" s="1" t="n">
        <v>45560.64243055556</v>
      </c>
      <c r="C576" s="1" t="n">
        <v>46103</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14244-2024</t>
        </is>
      </c>
      <c r="B577" s="1" t="n">
        <v>45393</v>
      </c>
      <c r="C577" s="1" t="n">
        <v>46103</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47724-2024</t>
        </is>
      </c>
      <c r="B578" s="1" t="n">
        <v>45588.49065972222</v>
      </c>
      <c r="C578" s="1" t="n">
        <v>46103</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25268-2023</t>
        </is>
      </c>
      <c r="B579" s="1" t="n">
        <v>45086.66693287037</v>
      </c>
      <c r="C579" s="1" t="n">
        <v>46103</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22048-2021</t>
        </is>
      </c>
      <c r="B580" s="1" t="n">
        <v>44323</v>
      </c>
      <c r="C580" s="1" t="n">
        <v>46103</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5649-2023</t>
        </is>
      </c>
      <c r="B581" s="1" t="n">
        <v>44960</v>
      </c>
      <c r="C581" s="1" t="n">
        <v>46103</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60597-2023</t>
        </is>
      </c>
      <c r="B582" s="1" t="n">
        <v>45260</v>
      </c>
      <c r="C582" s="1" t="n">
        <v>46103</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74202-2021</t>
        </is>
      </c>
      <c r="B583" s="1" t="n">
        <v>44558.51175925926</v>
      </c>
      <c r="C583" s="1" t="n">
        <v>46103</v>
      </c>
      <c r="D583" t="inlineStr">
        <is>
          <t>ÖSTERGÖTLANDS LÄN</t>
        </is>
      </c>
      <c r="E583" t="inlineStr">
        <is>
          <t>KINDA</t>
        </is>
      </c>
      <c r="G583" t="n">
        <v>0.8</v>
      </c>
      <c r="H583" t="n">
        <v>0</v>
      </c>
      <c r="I583" t="n">
        <v>0</v>
      </c>
      <c r="J583" t="n">
        <v>0</v>
      </c>
      <c r="K583" t="n">
        <v>0</v>
      </c>
      <c r="L583" t="n">
        <v>0</v>
      </c>
      <c r="M583" t="n">
        <v>0</v>
      </c>
      <c r="N583" t="n">
        <v>0</v>
      </c>
      <c r="O583" t="n">
        <v>0</v>
      </c>
      <c r="P583" t="n">
        <v>0</v>
      </c>
      <c r="Q583" t="n">
        <v>0</v>
      </c>
      <c r="R583" s="2" t="inlineStr"/>
    </row>
    <row r="584" ht="15" customHeight="1">
      <c r="A584" t="inlineStr">
        <is>
          <t>A 52861-2023</t>
        </is>
      </c>
      <c r="B584" s="1" t="n">
        <v>45219</v>
      </c>
      <c r="C584" s="1" t="n">
        <v>46103</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7645-2024</t>
        </is>
      </c>
      <c r="B585" s="1" t="n">
        <v>45348.65997685185</v>
      </c>
      <c r="C585" s="1" t="n">
        <v>46103</v>
      </c>
      <c r="D585" t="inlineStr">
        <is>
          <t>ÖSTERGÖTLANDS LÄN</t>
        </is>
      </c>
      <c r="E585" t="inlineStr">
        <is>
          <t>KINDA</t>
        </is>
      </c>
      <c r="G585" t="n">
        <v>6.3</v>
      </c>
      <c r="H585" t="n">
        <v>0</v>
      </c>
      <c r="I585" t="n">
        <v>0</v>
      </c>
      <c r="J585" t="n">
        <v>0</v>
      </c>
      <c r="K585" t="n">
        <v>0</v>
      </c>
      <c r="L585" t="n">
        <v>0</v>
      </c>
      <c r="M585" t="n">
        <v>0</v>
      </c>
      <c r="N585" t="n">
        <v>0</v>
      </c>
      <c r="O585" t="n">
        <v>0</v>
      </c>
      <c r="P585" t="n">
        <v>0</v>
      </c>
      <c r="Q585" t="n">
        <v>0</v>
      </c>
      <c r="R585" s="2" t="inlineStr"/>
    </row>
    <row r="586" ht="15" customHeight="1">
      <c r="A586" t="inlineStr">
        <is>
          <t>A 54507-2022</t>
        </is>
      </c>
      <c r="B586" s="1" t="n">
        <v>44882</v>
      </c>
      <c r="C586" s="1" t="n">
        <v>46103</v>
      </c>
      <c r="D586" t="inlineStr">
        <is>
          <t>ÖSTERGÖTLANDS LÄN</t>
        </is>
      </c>
      <c r="E586" t="inlineStr">
        <is>
          <t>KINDA</t>
        </is>
      </c>
      <c r="G586" t="n">
        <v>0.1</v>
      </c>
      <c r="H586" t="n">
        <v>0</v>
      </c>
      <c r="I586" t="n">
        <v>0</v>
      </c>
      <c r="J586" t="n">
        <v>0</v>
      </c>
      <c r="K586" t="n">
        <v>0</v>
      </c>
      <c r="L586" t="n">
        <v>0</v>
      </c>
      <c r="M586" t="n">
        <v>0</v>
      </c>
      <c r="N586" t="n">
        <v>0</v>
      </c>
      <c r="O586" t="n">
        <v>0</v>
      </c>
      <c r="P586" t="n">
        <v>0</v>
      </c>
      <c r="Q586" t="n">
        <v>0</v>
      </c>
      <c r="R586" s="2" t="inlineStr"/>
    </row>
    <row r="587" ht="15" customHeight="1">
      <c r="A587" t="inlineStr">
        <is>
          <t>A 15110-2022</t>
        </is>
      </c>
      <c r="B587" s="1" t="n">
        <v>44657</v>
      </c>
      <c r="C587" s="1" t="n">
        <v>46103</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6104-2022</t>
        </is>
      </c>
      <c r="B588" s="1" t="n">
        <v>44599</v>
      </c>
      <c r="C588" s="1" t="n">
        <v>46103</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2638-2024</t>
        </is>
      </c>
      <c r="B589" s="1" t="n">
        <v>45314.33872685185</v>
      </c>
      <c r="C589" s="1" t="n">
        <v>46103</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45457-2024</t>
        </is>
      </c>
      <c r="B590" s="1" t="n">
        <v>45576.67208333333</v>
      </c>
      <c r="C590" s="1" t="n">
        <v>46103</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7749-2024</t>
        </is>
      </c>
      <c r="B591" s="1" t="n">
        <v>45349.48241898148</v>
      </c>
      <c r="C591" s="1" t="n">
        <v>46103</v>
      </c>
      <c r="D591" t="inlineStr">
        <is>
          <t>ÖSTERGÖTLANDS LÄN</t>
        </is>
      </c>
      <c r="E591" t="inlineStr">
        <is>
          <t>KINDA</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56129-2024</t>
        </is>
      </c>
      <c r="B592" s="1" t="n">
        <v>45624</v>
      </c>
      <c r="C592" s="1" t="n">
        <v>46103</v>
      </c>
      <c r="D592" t="inlineStr">
        <is>
          <t>ÖSTERGÖTLANDS LÄN</t>
        </is>
      </c>
      <c r="E592" t="inlineStr">
        <is>
          <t>KINDA</t>
        </is>
      </c>
      <c r="G592" t="n">
        <v>0.9</v>
      </c>
      <c r="H592" t="n">
        <v>0</v>
      </c>
      <c r="I592" t="n">
        <v>0</v>
      </c>
      <c r="J592" t="n">
        <v>0</v>
      </c>
      <c r="K592" t="n">
        <v>0</v>
      </c>
      <c r="L592" t="n">
        <v>0</v>
      </c>
      <c r="M592" t="n">
        <v>0</v>
      </c>
      <c r="N592" t="n">
        <v>0</v>
      </c>
      <c r="O592" t="n">
        <v>0</v>
      </c>
      <c r="P592" t="n">
        <v>0</v>
      </c>
      <c r="Q592" t="n">
        <v>0</v>
      </c>
      <c r="R592" s="2" t="inlineStr"/>
    </row>
    <row r="593" ht="15" customHeight="1">
      <c r="A593" t="inlineStr">
        <is>
          <t>A 23613-2022</t>
        </is>
      </c>
      <c r="B593" s="1" t="n">
        <v>44721.61611111111</v>
      </c>
      <c r="C593" s="1" t="n">
        <v>46103</v>
      </c>
      <c r="D593" t="inlineStr">
        <is>
          <t>ÖSTERGÖTLANDS LÄN</t>
        </is>
      </c>
      <c r="E593" t="inlineStr">
        <is>
          <t>KINDA</t>
        </is>
      </c>
      <c r="G593" t="n">
        <v>2.6</v>
      </c>
      <c r="H593" t="n">
        <v>0</v>
      </c>
      <c r="I593" t="n">
        <v>0</v>
      </c>
      <c r="J593" t="n">
        <v>0</v>
      </c>
      <c r="K593" t="n">
        <v>0</v>
      </c>
      <c r="L593" t="n">
        <v>0</v>
      </c>
      <c r="M593" t="n">
        <v>0</v>
      </c>
      <c r="N593" t="n">
        <v>0</v>
      </c>
      <c r="O593" t="n">
        <v>0</v>
      </c>
      <c r="P593" t="n">
        <v>0</v>
      </c>
      <c r="Q593" t="n">
        <v>0</v>
      </c>
      <c r="R593" s="2" t="inlineStr"/>
    </row>
    <row r="594" ht="15" customHeight="1">
      <c r="A594" t="inlineStr">
        <is>
          <t>A 4288-2023</t>
        </is>
      </c>
      <c r="B594" s="1" t="n">
        <v>44953</v>
      </c>
      <c r="C594" s="1" t="n">
        <v>46103</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45450-2024</t>
        </is>
      </c>
      <c r="B595" s="1" t="n">
        <v>45576.65969907407</v>
      </c>
      <c r="C595" s="1" t="n">
        <v>46103</v>
      </c>
      <c r="D595" t="inlineStr">
        <is>
          <t>ÖSTERGÖTLANDS LÄN</t>
        </is>
      </c>
      <c r="E595" t="inlineStr">
        <is>
          <t>KINDA</t>
        </is>
      </c>
      <c r="G595" t="n">
        <v>1.7</v>
      </c>
      <c r="H595" t="n">
        <v>0</v>
      </c>
      <c r="I595" t="n">
        <v>0</v>
      </c>
      <c r="J595" t="n">
        <v>0</v>
      </c>
      <c r="K595" t="n">
        <v>0</v>
      </c>
      <c r="L595" t="n">
        <v>0</v>
      </c>
      <c r="M595" t="n">
        <v>0</v>
      </c>
      <c r="N595" t="n">
        <v>0</v>
      </c>
      <c r="O595" t="n">
        <v>0</v>
      </c>
      <c r="P595" t="n">
        <v>0</v>
      </c>
      <c r="Q595" t="n">
        <v>0</v>
      </c>
      <c r="R595" s="2" t="inlineStr"/>
    </row>
    <row r="596" ht="15" customHeight="1">
      <c r="A596" t="inlineStr">
        <is>
          <t>A 7631-2024</t>
        </is>
      </c>
      <c r="B596" s="1" t="n">
        <v>45348.6147337963</v>
      </c>
      <c r="C596" s="1" t="n">
        <v>46103</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8092-2024</t>
        </is>
      </c>
      <c r="B597" s="1" t="n">
        <v>45351.4491550926</v>
      </c>
      <c r="C597" s="1" t="n">
        <v>46103</v>
      </c>
      <c r="D597" t="inlineStr">
        <is>
          <t>ÖSTERGÖTLANDS LÄN</t>
        </is>
      </c>
      <c r="E597" t="inlineStr">
        <is>
          <t>KINDA</t>
        </is>
      </c>
      <c r="G597" t="n">
        <v>0</v>
      </c>
      <c r="H597" t="n">
        <v>0</v>
      </c>
      <c r="I597" t="n">
        <v>0</v>
      </c>
      <c r="J597" t="n">
        <v>0</v>
      </c>
      <c r="K597" t="n">
        <v>0</v>
      </c>
      <c r="L597" t="n">
        <v>0</v>
      </c>
      <c r="M597" t="n">
        <v>0</v>
      </c>
      <c r="N597" t="n">
        <v>0</v>
      </c>
      <c r="O597" t="n">
        <v>0</v>
      </c>
      <c r="P597" t="n">
        <v>0</v>
      </c>
      <c r="Q597" t="n">
        <v>0</v>
      </c>
      <c r="R597" s="2" t="inlineStr"/>
    </row>
    <row r="598" ht="15" customHeight="1">
      <c r="A598" t="inlineStr">
        <is>
          <t>A 1885-2022</t>
        </is>
      </c>
      <c r="B598" s="1" t="n">
        <v>44575</v>
      </c>
      <c r="C598" s="1" t="n">
        <v>46103</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44329-2023</t>
        </is>
      </c>
      <c r="B599" s="1" t="n">
        <v>45188.66209490741</v>
      </c>
      <c r="C599" s="1" t="n">
        <v>46103</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1896-2024</t>
        </is>
      </c>
      <c r="B600" s="1" t="n">
        <v>45308.33431712963</v>
      </c>
      <c r="C600" s="1" t="n">
        <v>46103</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32285-2023</t>
        </is>
      </c>
      <c r="B601" s="1" t="n">
        <v>45120</v>
      </c>
      <c r="C601" s="1" t="n">
        <v>46103</v>
      </c>
      <c r="D601" t="inlineStr">
        <is>
          <t>ÖSTERGÖTLANDS LÄN</t>
        </is>
      </c>
      <c r="E601" t="inlineStr">
        <is>
          <t>KINDA</t>
        </is>
      </c>
      <c r="G601" t="n">
        <v>0.2</v>
      </c>
      <c r="H601" t="n">
        <v>0</v>
      </c>
      <c r="I601" t="n">
        <v>0</v>
      </c>
      <c r="J601" t="n">
        <v>0</v>
      </c>
      <c r="K601" t="n">
        <v>0</v>
      </c>
      <c r="L601" t="n">
        <v>0</v>
      </c>
      <c r="M601" t="n">
        <v>0</v>
      </c>
      <c r="N601" t="n">
        <v>0</v>
      </c>
      <c r="O601" t="n">
        <v>0</v>
      </c>
      <c r="P601" t="n">
        <v>0</v>
      </c>
      <c r="Q601" t="n">
        <v>0</v>
      </c>
      <c r="R601" s="2" t="inlineStr"/>
    </row>
    <row r="602" ht="15" customHeight="1">
      <c r="A602" t="inlineStr">
        <is>
          <t>A 22813-2024</t>
        </is>
      </c>
      <c r="B602" s="1" t="n">
        <v>45448.52539351852</v>
      </c>
      <c r="C602" s="1" t="n">
        <v>46103</v>
      </c>
      <c r="D602" t="inlineStr">
        <is>
          <t>ÖSTERGÖTLANDS LÄN</t>
        </is>
      </c>
      <c r="E602" t="inlineStr">
        <is>
          <t>KINDA</t>
        </is>
      </c>
      <c r="F602" t="inlineStr">
        <is>
          <t>Allmännings- och besparingsskogar</t>
        </is>
      </c>
      <c r="G602" t="n">
        <v>6.8</v>
      </c>
      <c r="H602" t="n">
        <v>0</v>
      </c>
      <c r="I602" t="n">
        <v>0</v>
      </c>
      <c r="J602" t="n">
        <v>0</v>
      </c>
      <c r="K602" t="n">
        <v>0</v>
      </c>
      <c r="L602" t="n">
        <v>0</v>
      </c>
      <c r="M602" t="n">
        <v>0</v>
      </c>
      <c r="N602" t="n">
        <v>0</v>
      </c>
      <c r="O602" t="n">
        <v>0</v>
      </c>
      <c r="P602" t="n">
        <v>0</v>
      </c>
      <c r="Q602" t="n">
        <v>0</v>
      </c>
      <c r="R602" s="2" t="inlineStr"/>
    </row>
    <row r="603" ht="15" customHeight="1">
      <c r="A603" t="inlineStr">
        <is>
          <t>A 62491-2023</t>
        </is>
      </c>
      <c r="B603" s="1" t="n">
        <v>45267</v>
      </c>
      <c r="C603" s="1" t="n">
        <v>46103</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9573-2024</t>
        </is>
      </c>
      <c r="B604" s="1" t="n">
        <v>45360.40449074074</v>
      </c>
      <c r="C604" s="1" t="n">
        <v>46103</v>
      </c>
      <c r="D604" t="inlineStr">
        <is>
          <t>ÖSTERGÖTLANDS LÄN</t>
        </is>
      </c>
      <c r="E604" t="inlineStr">
        <is>
          <t>KINDA</t>
        </is>
      </c>
      <c r="G604" t="n">
        <v>0.3</v>
      </c>
      <c r="H604" t="n">
        <v>0</v>
      </c>
      <c r="I604" t="n">
        <v>0</v>
      </c>
      <c r="J604" t="n">
        <v>0</v>
      </c>
      <c r="K604" t="n">
        <v>0</v>
      </c>
      <c r="L604" t="n">
        <v>0</v>
      </c>
      <c r="M604" t="n">
        <v>0</v>
      </c>
      <c r="N604" t="n">
        <v>0</v>
      </c>
      <c r="O604" t="n">
        <v>0</v>
      </c>
      <c r="P604" t="n">
        <v>0</v>
      </c>
      <c r="Q604" t="n">
        <v>0</v>
      </c>
      <c r="R604" s="2" t="inlineStr"/>
    </row>
    <row r="605" ht="15" customHeight="1">
      <c r="A605" t="inlineStr">
        <is>
          <t>A 9578-2024</t>
        </is>
      </c>
      <c r="B605" s="1" t="n">
        <v>45360.41894675926</v>
      </c>
      <c r="C605" s="1" t="n">
        <v>46103</v>
      </c>
      <c r="D605" t="inlineStr">
        <is>
          <t>ÖSTERGÖTLANDS LÄN</t>
        </is>
      </c>
      <c r="E605" t="inlineStr">
        <is>
          <t>KINDA</t>
        </is>
      </c>
      <c r="G605" t="n">
        <v>0.9</v>
      </c>
      <c r="H605" t="n">
        <v>0</v>
      </c>
      <c r="I605" t="n">
        <v>0</v>
      </c>
      <c r="J605" t="n">
        <v>0</v>
      </c>
      <c r="K605" t="n">
        <v>0</v>
      </c>
      <c r="L605" t="n">
        <v>0</v>
      </c>
      <c r="M605" t="n">
        <v>0</v>
      </c>
      <c r="N605" t="n">
        <v>0</v>
      </c>
      <c r="O605" t="n">
        <v>0</v>
      </c>
      <c r="P605" t="n">
        <v>0</v>
      </c>
      <c r="Q605" t="n">
        <v>0</v>
      </c>
      <c r="R605" s="2" t="inlineStr"/>
    </row>
    <row r="606" ht="15" customHeight="1">
      <c r="A606" t="inlineStr">
        <is>
          <t>A 24711-2023</t>
        </is>
      </c>
      <c r="B606" s="1" t="n">
        <v>45078</v>
      </c>
      <c r="C606" s="1" t="n">
        <v>46103</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46103</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8813-2023</t>
        </is>
      </c>
      <c r="B608" s="1" t="n">
        <v>44978.63537037037</v>
      </c>
      <c r="C608" s="1" t="n">
        <v>46103</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4368-2025</t>
        </is>
      </c>
      <c r="B609" s="1" t="n">
        <v>45686.34563657407</v>
      </c>
      <c r="C609" s="1" t="n">
        <v>46103</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18198-2025</t>
        </is>
      </c>
      <c r="B610" s="1" t="n">
        <v>45761.68063657408</v>
      </c>
      <c r="C610" s="1" t="n">
        <v>46103</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15303-2024</t>
        </is>
      </c>
      <c r="B611" s="1" t="n">
        <v>45400</v>
      </c>
      <c r="C611" s="1" t="n">
        <v>46103</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11479-2025</t>
        </is>
      </c>
      <c r="B612" s="1" t="n">
        <v>45726.6749537037</v>
      </c>
      <c r="C612" s="1" t="n">
        <v>46103</v>
      </c>
      <c r="D612" t="inlineStr">
        <is>
          <t>ÖSTERGÖTLANDS LÄN</t>
        </is>
      </c>
      <c r="E612" t="inlineStr">
        <is>
          <t>KINDA</t>
        </is>
      </c>
      <c r="G612" t="n">
        <v>4</v>
      </c>
      <c r="H612" t="n">
        <v>0</v>
      </c>
      <c r="I612" t="n">
        <v>0</v>
      </c>
      <c r="J612" t="n">
        <v>0</v>
      </c>
      <c r="K612" t="n">
        <v>0</v>
      </c>
      <c r="L612" t="n">
        <v>0</v>
      </c>
      <c r="M612" t="n">
        <v>0</v>
      </c>
      <c r="N612" t="n">
        <v>0</v>
      </c>
      <c r="O612" t="n">
        <v>0</v>
      </c>
      <c r="P612" t="n">
        <v>0</v>
      </c>
      <c r="Q612" t="n">
        <v>0</v>
      </c>
      <c r="R612" s="2" t="inlineStr"/>
    </row>
    <row r="613" ht="15" customHeight="1">
      <c r="A613" t="inlineStr">
        <is>
          <t>A 36942-2023</t>
        </is>
      </c>
      <c r="B613" s="1" t="n">
        <v>45154.72465277778</v>
      </c>
      <c r="C613" s="1" t="n">
        <v>46103</v>
      </c>
      <c r="D613" t="inlineStr">
        <is>
          <t>ÖSTERGÖTLANDS LÄN</t>
        </is>
      </c>
      <c r="E613" t="inlineStr">
        <is>
          <t>KINDA</t>
        </is>
      </c>
      <c r="F613" t="inlineStr">
        <is>
          <t>Allmännings- och besparingsskogar</t>
        </is>
      </c>
      <c r="G613" t="n">
        <v>14.8</v>
      </c>
      <c r="H613" t="n">
        <v>0</v>
      </c>
      <c r="I613" t="n">
        <v>0</v>
      </c>
      <c r="J613" t="n">
        <v>0</v>
      </c>
      <c r="K613" t="n">
        <v>0</v>
      </c>
      <c r="L613" t="n">
        <v>0</v>
      </c>
      <c r="M613" t="n">
        <v>0</v>
      </c>
      <c r="N613" t="n">
        <v>0</v>
      </c>
      <c r="O613" t="n">
        <v>0</v>
      </c>
      <c r="P613" t="n">
        <v>0</v>
      </c>
      <c r="Q613" t="n">
        <v>0</v>
      </c>
      <c r="R613" s="2" t="inlineStr"/>
    </row>
    <row r="614" ht="15" customHeight="1">
      <c r="A614" t="inlineStr">
        <is>
          <t>A 47000-2021</t>
        </is>
      </c>
      <c r="B614" s="1" t="n">
        <v>44446</v>
      </c>
      <c r="C614" s="1" t="n">
        <v>46103</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19654-2025</t>
        </is>
      </c>
      <c r="B615" s="1" t="n">
        <v>45770.67305555556</v>
      </c>
      <c r="C615" s="1" t="n">
        <v>46103</v>
      </c>
      <c r="D615" t="inlineStr">
        <is>
          <t>ÖSTERGÖTLANDS LÄN</t>
        </is>
      </c>
      <c r="E615" t="inlineStr">
        <is>
          <t>KINDA</t>
        </is>
      </c>
      <c r="F615" t="inlineStr">
        <is>
          <t>Allmännings- och besparingsskogar</t>
        </is>
      </c>
      <c r="G615" t="n">
        <v>10.7</v>
      </c>
      <c r="H615" t="n">
        <v>0</v>
      </c>
      <c r="I615" t="n">
        <v>0</v>
      </c>
      <c r="J615" t="n">
        <v>0</v>
      </c>
      <c r="K615" t="n">
        <v>0</v>
      </c>
      <c r="L615" t="n">
        <v>0</v>
      </c>
      <c r="M615" t="n">
        <v>0</v>
      </c>
      <c r="N615" t="n">
        <v>0</v>
      </c>
      <c r="O615" t="n">
        <v>0</v>
      </c>
      <c r="P615" t="n">
        <v>0</v>
      </c>
      <c r="Q615" t="n">
        <v>0</v>
      </c>
      <c r="R615" s="2" t="inlineStr"/>
    </row>
    <row r="616" ht="15" customHeight="1">
      <c r="A616" t="inlineStr">
        <is>
          <t>A 35572-2024</t>
        </is>
      </c>
      <c r="B616" s="1" t="n">
        <v>45531.64358796296</v>
      </c>
      <c r="C616" s="1" t="n">
        <v>46103</v>
      </c>
      <c r="D616" t="inlineStr">
        <is>
          <t>ÖSTERGÖTLANDS LÄN</t>
        </is>
      </c>
      <c r="E616" t="inlineStr">
        <is>
          <t>KINDA</t>
        </is>
      </c>
      <c r="G616" t="n">
        <v>2.1</v>
      </c>
      <c r="H616" t="n">
        <v>0</v>
      </c>
      <c r="I616" t="n">
        <v>0</v>
      </c>
      <c r="J616" t="n">
        <v>0</v>
      </c>
      <c r="K616" t="n">
        <v>0</v>
      </c>
      <c r="L616" t="n">
        <v>0</v>
      </c>
      <c r="M616" t="n">
        <v>0</v>
      </c>
      <c r="N616" t="n">
        <v>0</v>
      </c>
      <c r="O616" t="n">
        <v>0</v>
      </c>
      <c r="P616" t="n">
        <v>0</v>
      </c>
      <c r="Q616" t="n">
        <v>0</v>
      </c>
      <c r="R616" s="2" t="inlineStr"/>
    </row>
    <row r="617" ht="15" customHeight="1">
      <c r="A617" t="inlineStr">
        <is>
          <t>A 7216-2023</t>
        </is>
      </c>
      <c r="B617" s="1" t="n">
        <v>44970.57682870371</v>
      </c>
      <c r="C617" s="1" t="n">
        <v>46103</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71098-2021</t>
        </is>
      </c>
      <c r="B618" s="1" t="n">
        <v>44539.34103009259</v>
      </c>
      <c r="C618" s="1" t="n">
        <v>46103</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66100-2021</t>
        </is>
      </c>
      <c r="B619" s="1" t="n">
        <v>44517</v>
      </c>
      <c r="C619" s="1" t="n">
        <v>46103</v>
      </c>
      <c r="D619" t="inlineStr">
        <is>
          <t>ÖSTERGÖTLANDS LÄN</t>
        </is>
      </c>
      <c r="E619" t="inlineStr">
        <is>
          <t>KINDA</t>
        </is>
      </c>
      <c r="G619" t="n">
        <v>2.5</v>
      </c>
      <c r="H619" t="n">
        <v>0</v>
      </c>
      <c r="I619" t="n">
        <v>0</v>
      </c>
      <c r="J619" t="n">
        <v>0</v>
      </c>
      <c r="K619" t="n">
        <v>0</v>
      </c>
      <c r="L619" t="n">
        <v>0</v>
      </c>
      <c r="M619" t="n">
        <v>0</v>
      </c>
      <c r="N619" t="n">
        <v>0</v>
      </c>
      <c r="O619" t="n">
        <v>0</v>
      </c>
      <c r="P619" t="n">
        <v>0</v>
      </c>
      <c r="Q619" t="n">
        <v>0</v>
      </c>
      <c r="R619" s="2" t="inlineStr"/>
    </row>
    <row r="620" ht="15" customHeight="1">
      <c r="A620" t="inlineStr">
        <is>
          <t>A 62286-2022</t>
        </is>
      </c>
      <c r="B620" s="1" t="n">
        <v>44923.40631944445</v>
      </c>
      <c r="C620" s="1" t="n">
        <v>46103</v>
      </c>
      <c r="D620" t="inlineStr">
        <is>
          <t>ÖSTERGÖTLANDS LÄN</t>
        </is>
      </c>
      <c r="E620" t="inlineStr">
        <is>
          <t>KINDA</t>
        </is>
      </c>
      <c r="F620" t="inlineStr">
        <is>
          <t>Allmännings- och besparingsskogar</t>
        </is>
      </c>
      <c r="G620" t="n">
        <v>4.7</v>
      </c>
      <c r="H620" t="n">
        <v>0</v>
      </c>
      <c r="I620" t="n">
        <v>0</v>
      </c>
      <c r="J620" t="n">
        <v>0</v>
      </c>
      <c r="K620" t="n">
        <v>0</v>
      </c>
      <c r="L620" t="n">
        <v>0</v>
      </c>
      <c r="M620" t="n">
        <v>0</v>
      </c>
      <c r="N620" t="n">
        <v>0</v>
      </c>
      <c r="O620" t="n">
        <v>0</v>
      </c>
      <c r="P620" t="n">
        <v>0</v>
      </c>
      <c r="Q620" t="n">
        <v>0</v>
      </c>
      <c r="R620" s="2" t="inlineStr"/>
    </row>
    <row r="621" ht="15" customHeight="1">
      <c r="A621" t="inlineStr">
        <is>
          <t>A 45693-2023</t>
        </is>
      </c>
      <c r="B621" s="1" t="n">
        <v>45195</v>
      </c>
      <c r="C621" s="1" t="n">
        <v>46103</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17172-2022</t>
        </is>
      </c>
      <c r="B622" s="1" t="n">
        <v>44677</v>
      </c>
      <c r="C622" s="1" t="n">
        <v>46103</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35662-2022</t>
        </is>
      </c>
      <c r="B623" s="1" t="n">
        <v>44799.58758101852</v>
      </c>
      <c r="C623" s="1" t="n">
        <v>46103</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9577-2024</t>
        </is>
      </c>
      <c r="B624" s="1" t="n">
        <v>45360.4172337963</v>
      </c>
      <c r="C624" s="1" t="n">
        <v>46103</v>
      </c>
      <c r="D624" t="inlineStr">
        <is>
          <t>ÖSTERGÖTLANDS LÄN</t>
        </is>
      </c>
      <c r="E624" t="inlineStr">
        <is>
          <t>KINDA</t>
        </is>
      </c>
      <c r="G624" t="n">
        <v>1.3</v>
      </c>
      <c r="H624" t="n">
        <v>0</v>
      </c>
      <c r="I624" t="n">
        <v>0</v>
      </c>
      <c r="J624" t="n">
        <v>0</v>
      </c>
      <c r="K624" t="n">
        <v>0</v>
      </c>
      <c r="L624" t="n">
        <v>0</v>
      </c>
      <c r="M624" t="n">
        <v>0</v>
      </c>
      <c r="N624" t="n">
        <v>0</v>
      </c>
      <c r="O624" t="n">
        <v>0</v>
      </c>
      <c r="P624" t="n">
        <v>0</v>
      </c>
      <c r="Q624" t="n">
        <v>0</v>
      </c>
      <c r="R624" s="2" t="inlineStr"/>
    </row>
    <row r="625" ht="15" customHeight="1">
      <c r="A625" t="inlineStr">
        <is>
          <t>A 29794-2024</t>
        </is>
      </c>
      <c r="B625" s="1" t="n">
        <v>45485.4796875</v>
      </c>
      <c r="C625" s="1" t="n">
        <v>46103</v>
      </c>
      <c r="D625" t="inlineStr">
        <is>
          <t>ÖSTERGÖTLANDS LÄN</t>
        </is>
      </c>
      <c r="E625" t="inlineStr">
        <is>
          <t>KINDA</t>
        </is>
      </c>
      <c r="G625" t="n">
        <v>2.1</v>
      </c>
      <c r="H625" t="n">
        <v>0</v>
      </c>
      <c r="I625" t="n">
        <v>0</v>
      </c>
      <c r="J625" t="n">
        <v>0</v>
      </c>
      <c r="K625" t="n">
        <v>0</v>
      </c>
      <c r="L625" t="n">
        <v>0</v>
      </c>
      <c r="M625" t="n">
        <v>0</v>
      </c>
      <c r="N625" t="n">
        <v>0</v>
      </c>
      <c r="O625" t="n">
        <v>0</v>
      </c>
      <c r="P625" t="n">
        <v>0</v>
      </c>
      <c r="Q625" t="n">
        <v>0</v>
      </c>
      <c r="R625" s="2" t="inlineStr"/>
    </row>
    <row r="626" ht="15" customHeight="1">
      <c r="A626" t="inlineStr">
        <is>
          <t>A 46639-2023</t>
        </is>
      </c>
      <c r="B626" s="1" t="n">
        <v>45198.43638888889</v>
      </c>
      <c r="C626" s="1" t="n">
        <v>46103</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6098-2023</t>
        </is>
      </c>
      <c r="B627" s="1" t="n">
        <v>44964</v>
      </c>
      <c r="C627" s="1" t="n">
        <v>46103</v>
      </c>
      <c r="D627" t="inlineStr">
        <is>
          <t>ÖSTERGÖTLANDS LÄN</t>
        </is>
      </c>
      <c r="E627" t="inlineStr">
        <is>
          <t>KINDA</t>
        </is>
      </c>
      <c r="G627" t="n">
        <v>1.6</v>
      </c>
      <c r="H627" t="n">
        <v>0</v>
      </c>
      <c r="I627" t="n">
        <v>0</v>
      </c>
      <c r="J627" t="n">
        <v>0</v>
      </c>
      <c r="K627" t="n">
        <v>0</v>
      </c>
      <c r="L627" t="n">
        <v>0</v>
      </c>
      <c r="M627" t="n">
        <v>0</v>
      </c>
      <c r="N627" t="n">
        <v>0</v>
      </c>
      <c r="O627" t="n">
        <v>0</v>
      </c>
      <c r="P627" t="n">
        <v>0</v>
      </c>
      <c r="Q627" t="n">
        <v>0</v>
      </c>
      <c r="R627" s="2" t="inlineStr"/>
    </row>
    <row r="628" ht="15" customHeight="1">
      <c r="A628" t="inlineStr">
        <is>
          <t>A 14493-2025</t>
        </is>
      </c>
      <c r="B628" s="1" t="n">
        <v>45741.61278935185</v>
      </c>
      <c r="C628" s="1" t="n">
        <v>46103</v>
      </c>
      <c r="D628" t="inlineStr">
        <is>
          <t>ÖSTERGÖTLANDS LÄN</t>
        </is>
      </c>
      <c r="E628" t="inlineStr">
        <is>
          <t>KINDA</t>
        </is>
      </c>
      <c r="G628" t="n">
        <v>5.1</v>
      </c>
      <c r="H628" t="n">
        <v>0</v>
      </c>
      <c r="I628" t="n">
        <v>0</v>
      </c>
      <c r="J628" t="n">
        <v>0</v>
      </c>
      <c r="K628" t="n">
        <v>0</v>
      </c>
      <c r="L628" t="n">
        <v>0</v>
      </c>
      <c r="M628" t="n">
        <v>0</v>
      </c>
      <c r="N628" t="n">
        <v>0</v>
      </c>
      <c r="O628" t="n">
        <v>0</v>
      </c>
      <c r="P628" t="n">
        <v>0</v>
      </c>
      <c r="Q628" t="n">
        <v>0</v>
      </c>
      <c r="R628" s="2" t="inlineStr"/>
    </row>
    <row r="629" ht="15" customHeight="1">
      <c r="A629" t="inlineStr">
        <is>
          <t>A 44543-2021</t>
        </is>
      </c>
      <c r="B629" s="1" t="n">
        <v>44435</v>
      </c>
      <c r="C629" s="1" t="n">
        <v>46103</v>
      </c>
      <c r="D629" t="inlineStr">
        <is>
          <t>ÖSTERGÖTLANDS LÄN</t>
        </is>
      </c>
      <c r="E629" t="inlineStr">
        <is>
          <t>KINDA</t>
        </is>
      </c>
      <c r="G629" t="n">
        <v>10.2</v>
      </c>
      <c r="H629" t="n">
        <v>0</v>
      </c>
      <c r="I629" t="n">
        <v>0</v>
      </c>
      <c r="J629" t="n">
        <v>0</v>
      </c>
      <c r="K629" t="n">
        <v>0</v>
      </c>
      <c r="L629" t="n">
        <v>0</v>
      </c>
      <c r="M629" t="n">
        <v>0</v>
      </c>
      <c r="N629" t="n">
        <v>0</v>
      </c>
      <c r="O629" t="n">
        <v>0</v>
      </c>
      <c r="P629" t="n">
        <v>0</v>
      </c>
      <c r="Q629" t="n">
        <v>0</v>
      </c>
      <c r="R629" s="2" t="inlineStr"/>
    </row>
    <row r="630" ht="15" customHeight="1">
      <c r="A630" t="inlineStr">
        <is>
          <t>A 8410-2025</t>
        </is>
      </c>
      <c r="B630" s="1" t="n">
        <v>45709.39152777778</v>
      </c>
      <c r="C630" s="1" t="n">
        <v>46103</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2430-2025</t>
        </is>
      </c>
      <c r="B631" s="1" t="n">
        <v>45674.40616898148</v>
      </c>
      <c r="C631" s="1" t="n">
        <v>46103</v>
      </c>
      <c r="D631" t="inlineStr">
        <is>
          <t>ÖSTERGÖTLANDS LÄN</t>
        </is>
      </c>
      <c r="E631" t="inlineStr">
        <is>
          <t>KINDA</t>
        </is>
      </c>
      <c r="F631" t="inlineStr">
        <is>
          <t>Kommuner</t>
        </is>
      </c>
      <c r="G631" t="n">
        <v>2</v>
      </c>
      <c r="H631" t="n">
        <v>0</v>
      </c>
      <c r="I631" t="n">
        <v>0</v>
      </c>
      <c r="J631" t="n">
        <v>0</v>
      </c>
      <c r="K631" t="n">
        <v>0</v>
      </c>
      <c r="L631" t="n">
        <v>0</v>
      </c>
      <c r="M631" t="n">
        <v>0</v>
      </c>
      <c r="N631" t="n">
        <v>0</v>
      </c>
      <c r="O631" t="n">
        <v>0</v>
      </c>
      <c r="P631" t="n">
        <v>0</v>
      </c>
      <c r="Q631" t="n">
        <v>0</v>
      </c>
      <c r="R631" s="2" t="inlineStr"/>
    </row>
    <row r="632" ht="15" customHeight="1">
      <c r="A632" t="inlineStr">
        <is>
          <t>A 27966-2023</t>
        </is>
      </c>
      <c r="B632" s="1" t="n">
        <v>45098.70277777778</v>
      </c>
      <c r="C632" s="1" t="n">
        <v>46103</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55950-2023</t>
        </is>
      </c>
      <c r="B633" s="1" t="n">
        <v>45240.34232638889</v>
      </c>
      <c r="C633" s="1" t="n">
        <v>46103</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12461-2024</t>
        </is>
      </c>
      <c r="B634" s="1" t="n">
        <v>45379</v>
      </c>
      <c r="C634" s="1" t="n">
        <v>46103</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52991-2023</t>
        </is>
      </c>
      <c r="B635" s="1" t="n">
        <v>45226.62546296296</v>
      </c>
      <c r="C635" s="1" t="n">
        <v>46103</v>
      </c>
      <c r="D635" t="inlineStr">
        <is>
          <t>ÖSTERGÖTLANDS LÄN</t>
        </is>
      </c>
      <c r="E635" t="inlineStr">
        <is>
          <t>KINDA</t>
        </is>
      </c>
      <c r="G635" t="n">
        <v>3.8</v>
      </c>
      <c r="H635" t="n">
        <v>0</v>
      </c>
      <c r="I635" t="n">
        <v>0</v>
      </c>
      <c r="J635" t="n">
        <v>0</v>
      </c>
      <c r="K635" t="n">
        <v>0</v>
      </c>
      <c r="L635" t="n">
        <v>0</v>
      </c>
      <c r="M635" t="n">
        <v>0</v>
      </c>
      <c r="N635" t="n">
        <v>0</v>
      </c>
      <c r="O635" t="n">
        <v>0</v>
      </c>
      <c r="P635" t="n">
        <v>0</v>
      </c>
      <c r="Q635" t="n">
        <v>0</v>
      </c>
      <c r="R635" s="2" t="inlineStr"/>
    </row>
    <row r="636" ht="15" customHeight="1">
      <c r="A636" t="inlineStr">
        <is>
          <t>A 6404-2023</t>
        </is>
      </c>
      <c r="B636" s="1" t="n">
        <v>44965.67148148148</v>
      </c>
      <c r="C636" s="1" t="n">
        <v>46103</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46918-2022</t>
        </is>
      </c>
      <c r="B637" s="1" t="n">
        <v>44851.67681712963</v>
      </c>
      <c r="C637" s="1" t="n">
        <v>46103</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6403-2025</t>
        </is>
      </c>
      <c r="B638" s="1" t="n">
        <v>45699.45127314814</v>
      </c>
      <c r="C638" s="1" t="n">
        <v>46103</v>
      </c>
      <c r="D638" t="inlineStr">
        <is>
          <t>ÖSTERGÖTLANDS LÄN</t>
        </is>
      </c>
      <c r="E638" t="inlineStr">
        <is>
          <t>KINDA</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6410-2025</t>
        </is>
      </c>
      <c r="B639" s="1" t="n">
        <v>45699.4584837963</v>
      </c>
      <c r="C639" s="1" t="n">
        <v>46103</v>
      </c>
      <c r="D639" t="inlineStr">
        <is>
          <t>ÖSTERGÖTLANDS LÄN</t>
        </is>
      </c>
      <c r="E639" t="inlineStr">
        <is>
          <t>KINDA</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8889-2025</t>
        </is>
      </c>
      <c r="B640" s="1" t="n">
        <v>45713.39555555556</v>
      </c>
      <c r="C640" s="1" t="n">
        <v>46103</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29445-2024</t>
        </is>
      </c>
      <c r="B641" s="1" t="n">
        <v>45483.86824074074</v>
      </c>
      <c r="C641" s="1" t="n">
        <v>46103</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49337-2024</t>
        </is>
      </c>
      <c r="B642" s="1" t="n">
        <v>45595.59052083334</v>
      </c>
      <c r="C642" s="1" t="n">
        <v>46103</v>
      </c>
      <c r="D642" t="inlineStr">
        <is>
          <t>ÖSTERGÖTLANDS LÄN</t>
        </is>
      </c>
      <c r="E642" t="inlineStr">
        <is>
          <t>KINDA</t>
        </is>
      </c>
      <c r="G642" t="n">
        <v>0.6</v>
      </c>
      <c r="H642" t="n">
        <v>0</v>
      </c>
      <c r="I642" t="n">
        <v>0</v>
      </c>
      <c r="J642" t="n">
        <v>0</v>
      </c>
      <c r="K642" t="n">
        <v>0</v>
      </c>
      <c r="L642" t="n">
        <v>0</v>
      </c>
      <c r="M642" t="n">
        <v>0</v>
      </c>
      <c r="N642" t="n">
        <v>0</v>
      </c>
      <c r="O642" t="n">
        <v>0</v>
      </c>
      <c r="P642" t="n">
        <v>0</v>
      </c>
      <c r="Q642" t="n">
        <v>0</v>
      </c>
      <c r="R642" s="2" t="inlineStr"/>
    </row>
    <row r="643" ht="15" customHeight="1">
      <c r="A643" t="inlineStr">
        <is>
          <t>A 13352-2022</t>
        </is>
      </c>
      <c r="B643" s="1" t="n">
        <v>44645</v>
      </c>
      <c r="C643" s="1" t="n">
        <v>46103</v>
      </c>
      <c r="D643" t="inlineStr">
        <is>
          <t>ÖSTERGÖTLANDS LÄN</t>
        </is>
      </c>
      <c r="E643" t="inlineStr">
        <is>
          <t>KINDA</t>
        </is>
      </c>
      <c r="G643" t="n">
        <v>0.3</v>
      </c>
      <c r="H643" t="n">
        <v>0</v>
      </c>
      <c r="I643" t="n">
        <v>0</v>
      </c>
      <c r="J643" t="n">
        <v>0</v>
      </c>
      <c r="K643" t="n">
        <v>0</v>
      </c>
      <c r="L643" t="n">
        <v>0</v>
      </c>
      <c r="M643" t="n">
        <v>0</v>
      </c>
      <c r="N643" t="n">
        <v>0</v>
      </c>
      <c r="O643" t="n">
        <v>0</v>
      </c>
      <c r="P643" t="n">
        <v>0</v>
      </c>
      <c r="Q643" t="n">
        <v>0</v>
      </c>
      <c r="R643" s="2" t="inlineStr"/>
    </row>
    <row r="644" ht="15" customHeight="1">
      <c r="A644" t="inlineStr">
        <is>
          <t>A 4236-2024</t>
        </is>
      </c>
      <c r="B644" s="1" t="n">
        <v>45324.44579861111</v>
      </c>
      <c r="C644" s="1" t="n">
        <v>46103</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37830-2023</t>
        </is>
      </c>
      <c r="B645" s="1" t="n">
        <v>45160.34069444444</v>
      </c>
      <c r="C645" s="1" t="n">
        <v>46103</v>
      </c>
      <c r="D645" t="inlineStr">
        <is>
          <t>ÖSTERGÖTLANDS LÄN</t>
        </is>
      </c>
      <c r="E645" t="inlineStr">
        <is>
          <t>KINDA</t>
        </is>
      </c>
      <c r="G645" t="n">
        <v>0.9</v>
      </c>
      <c r="H645" t="n">
        <v>0</v>
      </c>
      <c r="I645" t="n">
        <v>0</v>
      </c>
      <c r="J645" t="n">
        <v>0</v>
      </c>
      <c r="K645" t="n">
        <v>0</v>
      </c>
      <c r="L645" t="n">
        <v>0</v>
      </c>
      <c r="M645" t="n">
        <v>0</v>
      </c>
      <c r="N645" t="n">
        <v>0</v>
      </c>
      <c r="O645" t="n">
        <v>0</v>
      </c>
      <c r="P645" t="n">
        <v>0</v>
      </c>
      <c r="Q645" t="n">
        <v>0</v>
      </c>
      <c r="R645" s="2" t="inlineStr"/>
    </row>
    <row r="646" ht="15" customHeight="1">
      <c r="A646" t="inlineStr">
        <is>
          <t>A 1739-2024</t>
        </is>
      </c>
      <c r="B646" s="1" t="n">
        <v>45307.44446759259</v>
      </c>
      <c r="C646" s="1" t="n">
        <v>46103</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46757-2022</t>
        </is>
      </c>
      <c r="B647" s="1" t="n">
        <v>44851</v>
      </c>
      <c r="C647" s="1" t="n">
        <v>46103</v>
      </c>
      <c r="D647" t="inlineStr">
        <is>
          <t>ÖSTERGÖTLANDS LÄN</t>
        </is>
      </c>
      <c r="E647" t="inlineStr">
        <is>
          <t>KINDA</t>
        </is>
      </c>
      <c r="G647" t="n">
        <v>1.8</v>
      </c>
      <c r="H647" t="n">
        <v>0</v>
      </c>
      <c r="I647" t="n">
        <v>0</v>
      </c>
      <c r="J647" t="n">
        <v>0</v>
      </c>
      <c r="K647" t="n">
        <v>0</v>
      </c>
      <c r="L647" t="n">
        <v>0</v>
      </c>
      <c r="M647" t="n">
        <v>0</v>
      </c>
      <c r="N647" t="n">
        <v>0</v>
      </c>
      <c r="O647" t="n">
        <v>0</v>
      </c>
      <c r="P647" t="n">
        <v>0</v>
      </c>
      <c r="Q647" t="n">
        <v>0</v>
      </c>
      <c r="R647" s="2" t="inlineStr"/>
    </row>
    <row r="648" ht="15" customHeight="1">
      <c r="A648" t="inlineStr">
        <is>
          <t>A 35588-2024</t>
        </is>
      </c>
      <c r="B648" s="1" t="n">
        <v>45531.64934027778</v>
      </c>
      <c r="C648" s="1" t="n">
        <v>46103</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12948-2023</t>
        </is>
      </c>
      <c r="B649" s="1" t="n">
        <v>45001.72512731481</v>
      </c>
      <c r="C649" s="1" t="n">
        <v>46103</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44203-2021</t>
        </is>
      </c>
      <c r="B650" s="1" t="n">
        <v>44434</v>
      </c>
      <c r="C650" s="1" t="n">
        <v>46103</v>
      </c>
      <c r="D650" t="inlineStr">
        <is>
          <t>ÖSTERGÖTLANDS LÄN</t>
        </is>
      </c>
      <c r="E650" t="inlineStr">
        <is>
          <t>KINDA</t>
        </is>
      </c>
      <c r="F650" t="inlineStr">
        <is>
          <t>Allmännings- och besparingsskogar</t>
        </is>
      </c>
      <c r="G650" t="n">
        <v>12.7</v>
      </c>
      <c r="H650" t="n">
        <v>0</v>
      </c>
      <c r="I650" t="n">
        <v>0</v>
      </c>
      <c r="J650" t="n">
        <v>0</v>
      </c>
      <c r="K650" t="n">
        <v>0</v>
      </c>
      <c r="L650" t="n">
        <v>0</v>
      </c>
      <c r="M650" t="n">
        <v>0</v>
      </c>
      <c r="N650" t="n">
        <v>0</v>
      </c>
      <c r="O650" t="n">
        <v>0</v>
      </c>
      <c r="P650" t="n">
        <v>0</v>
      </c>
      <c r="Q650" t="n">
        <v>0</v>
      </c>
      <c r="R650" s="2" t="inlineStr"/>
    </row>
    <row r="651" ht="15" customHeight="1">
      <c r="A651" t="inlineStr">
        <is>
          <t>A 9568-2023</t>
        </is>
      </c>
      <c r="B651" s="1" t="n">
        <v>44982.5037962963</v>
      </c>
      <c r="C651" s="1" t="n">
        <v>46103</v>
      </c>
      <c r="D651" t="inlineStr">
        <is>
          <t>ÖSTERGÖTLANDS LÄN</t>
        </is>
      </c>
      <c r="E651" t="inlineStr">
        <is>
          <t>KINDA</t>
        </is>
      </c>
      <c r="G651" t="n">
        <v>3</v>
      </c>
      <c r="H651" t="n">
        <v>0</v>
      </c>
      <c r="I651" t="n">
        <v>0</v>
      </c>
      <c r="J651" t="n">
        <v>0</v>
      </c>
      <c r="K651" t="n">
        <v>0</v>
      </c>
      <c r="L651" t="n">
        <v>0</v>
      </c>
      <c r="M651" t="n">
        <v>0</v>
      </c>
      <c r="N651" t="n">
        <v>0</v>
      </c>
      <c r="O651" t="n">
        <v>0</v>
      </c>
      <c r="P651" t="n">
        <v>0</v>
      </c>
      <c r="Q651" t="n">
        <v>0</v>
      </c>
      <c r="R651" s="2" t="inlineStr"/>
    </row>
    <row r="652" ht="15" customHeight="1">
      <c r="A652" t="inlineStr">
        <is>
          <t>A 32764-2023</t>
        </is>
      </c>
      <c r="B652" s="1" t="n">
        <v>45123.60599537037</v>
      </c>
      <c r="C652" s="1" t="n">
        <v>46103</v>
      </c>
      <c r="D652" t="inlineStr">
        <is>
          <t>ÖSTERGÖTLANDS LÄN</t>
        </is>
      </c>
      <c r="E652" t="inlineStr">
        <is>
          <t>KINDA</t>
        </is>
      </c>
      <c r="G652" t="n">
        <v>3.7</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46103</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20343-2025</t>
        </is>
      </c>
      <c r="B654" s="1" t="n">
        <v>45775</v>
      </c>
      <c r="C654" s="1" t="n">
        <v>46103</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51830-2024</t>
        </is>
      </c>
      <c r="B655" s="1" t="n">
        <v>45607.50465277778</v>
      </c>
      <c r="C655" s="1" t="n">
        <v>46103</v>
      </c>
      <c r="D655" t="inlineStr">
        <is>
          <t>ÖSTERGÖTLANDS LÄN</t>
        </is>
      </c>
      <c r="E655" t="inlineStr">
        <is>
          <t>KINDA</t>
        </is>
      </c>
      <c r="G655" t="n">
        <v>1.8</v>
      </c>
      <c r="H655" t="n">
        <v>0</v>
      </c>
      <c r="I655" t="n">
        <v>0</v>
      </c>
      <c r="J655" t="n">
        <v>0</v>
      </c>
      <c r="K655" t="n">
        <v>0</v>
      </c>
      <c r="L655" t="n">
        <v>0</v>
      </c>
      <c r="M655" t="n">
        <v>0</v>
      </c>
      <c r="N655" t="n">
        <v>0</v>
      </c>
      <c r="O655" t="n">
        <v>0</v>
      </c>
      <c r="P655" t="n">
        <v>0</v>
      </c>
      <c r="Q655" t="n">
        <v>0</v>
      </c>
      <c r="R655" s="2" t="inlineStr"/>
    </row>
    <row r="656" ht="15" customHeight="1">
      <c r="A656" t="inlineStr">
        <is>
          <t>A 12706-2023</t>
        </is>
      </c>
      <c r="B656" s="1" t="n">
        <v>45000.65476851852</v>
      </c>
      <c r="C656" s="1" t="n">
        <v>46103</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24367-2023</t>
        </is>
      </c>
      <c r="B657" s="1" t="n">
        <v>45082.34861111111</v>
      </c>
      <c r="C657" s="1" t="n">
        <v>46103</v>
      </c>
      <c r="D657" t="inlineStr">
        <is>
          <t>ÖSTERGÖTLANDS LÄN</t>
        </is>
      </c>
      <c r="E657" t="inlineStr">
        <is>
          <t>KINDA</t>
        </is>
      </c>
      <c r="G657" t="n">
        <v>1.7</v>
      </c>
      <c r="H657" t="n">
        <v>0</v>
      </c>
      <c r="I657" t="n">
        <v>0</v>
      </c>
      <c r="J657" t="n">
        <v>0</v>
      </c>
      <c r="K657" t="n">
        <v>0</v>
      </c>
      <c r="L657" t="n">
        <v>0</v>
      </c>
      <c r="M657" t="n">
        <v>0</v>
      </c>
      <c r="N657" t="n">
        <v>0</v>
      </c>
      <c r="O657" t="n">
        <v>0</v>
      </c>
      <c r="P657" t="n">
        <v>0</v>
      </c>
      <c r="Q657" t="n">
        <v>0</v>
      </c>
      <c r="R657" s="2" t="inlineStr"/>
    </row>
    <row r="658" ht="15" customHeight="1">
      <c r="A658" t="inlineStr">
        <is>
          <t>A 34730-2022</t>
        </is>
      </c>
      <c r="B658" s="1" t="n">
        <v>44795</v>
      </c>
      <c r="C658" s="1" t="n">
        <v>46103</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37068-2024</t>
        </is>
      </c>
      <c r="B659" s="1" t="n">
        <v>45539.46399305556</v>
      </c>
      <c r="C659" s="1" t="n">
        <v>46103</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19296-2023</t>
        </is>
      </c>
      <c r="B660" s="1" t="n">
        <v>45048</v>
      </c>
      <c r="C660" s="1" t="n">
        <v>46103</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27959-2024</t>
        </is>
      </c>
      <c r="B661" s="1" t="n">
        <v>45476.34908564815</v>
      </c>
      <c r="C661" s="1" t="n">
        <v>46103</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28043-2024</t>
        </is>
      </c>
      <c r="B662" s="1" t="n">
        <v>45476.50915509259</v>
      </c>
      <c r="C662" s="1" t="n">
        <v>46103</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row>
    <row r="663" ht="15" customHeight="1">
      <c r="A663" t="inlineStr">
        <is>
          <t>A 16611-2023</t>
        </is>
      </c>
      <c r="B663" s="1" t="n">
        <v>45030</v>
      </c>
      <c r="C663" s="1" t="n">
        <v>46103</v>
      </c>
      <c r="D663" t="inlineStr">
        <is>
          <t>ÖSTERGÖTLANDS LÄN</t>
        </is>
      </c>
      <c r="E663" t="inlineStr">
        <is>
          <t>KINDA</t>
        </is>
      </c>
      <c r="G663" t="n">
        <v>4.3</v>
      </c>
      <c r="H663" t="n">
        <v>0</v>
      </c>
      <c r="I663" t="n">
        <v>0</v>
      </c>
      <c r="J663" t="n">
        <v>0</v>
      </c>
      <c r="K663" t="n">
        <v>0</v>
      </c>
      <c r="L663" t="n">
        <v>0</v>
      </c>
      <c r="M663" t="n">
        <v>0</v>
      </c>
      <c r="N663" t="n">
        <v>0</v>
      </c>
      <c r="O663" t="n">
        <v>0</v>
      </c>
      <c r="P663" t="n">
        <v>0</v>
      </c>
      <c r="Q663" t="n">
        <v>0</v>
      </c>
      <c r="R663" s="2" t="inlineStr"/>
    </row>
    <row r="664" ht="15" customHeight="1">
      <c r="A664" t="inlineStr">
        <is>
          <t>A 33043-2024</t>
        </is>
      </c>
      <c r="B664" s="1" t="n">
        <v>45517.61326388889</v>
      </c>
      <c r="C664" s="1" t="n">
        <v>46103</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5903-2025</t>
        </is>
      </c>
      <c r="B665" s="1" t="n">
        <v>45695.40054398148</v>
      </c>
      <c r="C665" s="1" t="n">
        <v>46103</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22703-2023</t>
        </is>
      </c>
      <c r="B666" s="1" t="n">
        <v>45071</v>
      </c>
      <c r="C666" s="1" t="n">
        <v>46103</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17666-2025</t>
        </is>
      </c>
      <c r="B667" s="1" t="n">
        <v>45758.36324074074</v>
      </c>
      <c r="C667" s="1" t="n">
        <v>46103</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26917-2024</t>
        </is>
      </c>
      <c r="B668" s="1" t="n">
        <v>45470.88379629629</v>
      </c>
      <c r="C668" s="1" t="n">
        <v>46103</v>
      </c>
      <c r="D668" t="inlineStr">
        <is>
          <t>ÖSTERGÖTLANDS LÄN</t>
        </is>
      </c>
      <c r="E668" t="inlineStr">
        <is>
          <t>KINDA</t>
        </is>
      </c>
      <c r="G668" t="n">
        <v>6.4</v>
      </c>
      <c r="H668" t="n">
        <v>0</v>
      </c>
      <c r="I668" t="n">
        <v>0</v>
      </c>
      <c r="J668" t="n">
        <v>0</v>
      </c>
      <c r="K668" t="n">
        <v>0</v>
      </c>
      <c r="L668" t="n">
        <v>0</v>
      </c>
      <c r="M668" t="n">
        <v>0</v>
      </c>
      <c r="N668" t="n">
        <v>0</v>
      </c>
      <c r="O668" t="n">
        <v>0</v>
      </c>
      <c r="P668" t="n">
        <v>0</v>
      </c>
      <c r="Q668" t="n">
        <v>0</v>
      </c>
      <c r="R668" s="2" t="inlineStr"/>
    </row>
    <row r="669" ht="15" customHeight="1">
      <c r="A669" t="inlineStr">
        <is>
          <t>A 5197-2022</t>
        </is>
      </c>
      <c r="B669" s="1" t="n">
        <v>44594</v>
      </c>
      <c r="C669" s="1" t="n">
        <v>46103</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5479-2024</t>
        </is>
      </c>
      <c r="B670" s="1" t="n">
        <v>45333.84959490741</v>
      </c>
      <c r="C670" s="1" t="n">
        <v>46103</v>
      </c>
      <c r="D670" t="inlineStr">
        <is>
          <t>ÖSTERGÖTLANDS LÄN</t>
        </is>
      </c>
      <c r="E670" t="inlineStr">
        <is>
          <t>KINDA</t>
        </is>
      </c>
      <c r="G670" t="n">
        <v>0.9</v>
      </c>
      <c r="H670" t="n">
        <v>0</v>
      </c>
      <c r="I670" t="n">
        <v>0</v>
      </c>
      <c r="J670" t="n">
        <v>0</v>
      </c>
      <c r="K670" t="n">
        <v>0</v>
      </c>
      <c r="L670" t="n">
        <v>0</v>
      </c>
      <c r="M670" t="n">
        <v>0</v>
      </c>
      <c r="N670" t="n">
        <v>0</v>
      </c>
      <c r="O670" t="n">
        <v>0</v>
      </c>
      <c r="P670" t="n">
        <v>0</v>
      </c>
      <c r="Q670" t="n">
        <v>0</v>
      </c>
      <c r="R670" s="2" t="inlineStr"/>
    </row>
    <row r="671" ht="15" customHeight="1">
      <c r="A671" t="inlineStr">
        <is>
          <t>A 4555-2023</t>
        </is>
      </c>
      <c r="B671" s="1" t="n">
        <v>44956</v>
      </c>
      <c r="C671" s="1" t="n">
        <v>46103</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24748-2023</t>
        </is>
      </c>
      <c r="B672" s="1" t="n">
        <v>45078</v>
      </c>
      <c r="C672" s="1" t="n">
        <v>46103</v>
      </c>
      <c r="D672" t="inlineStr">
        <is>
          <t>ÖSTERGÖTLANDS LÄN</t>
        </is>
      </c>
      <c r="E672" t="inlineStr">
        <is>
          <t>KINDA</t>
        </is>
      </c>
      <c r="G672" t="n">
        <v>0.6</v>
      </c>
      <c r="H672" t="n">
        <v>0</v>
      </c>
      <c r="I672" t="n">
        <v>0</v>
      </c>
      <c r="J672" t="n">
        <v>0</v>
      </c>
      <c r="K672" t="n">
        <v>0</v>
      </c>
      <c r="L672" t="n">
        <v>0</v>
      </c>
      <c r="M672" t="n">
        <v>0</v>
      </c>
      <c r="N672" t="n">
        <v>0</v>
      </c>
      <c r="O672" t="n">
        <v>0</v>
      </c>
      <c r="P672" t="n">
        <v>0</v>
      </c>
      <c r="Q672" t="n">
        <v>0</v>
      </c>
      <c r="R672" s="2" t="inlineStr"/>
    </row>
    <row r="673" ht="15" customHeight="1">
      <c r="A673" t="inlineStr">
        <is>
          <t>A 18410-2023</t>
        </is>
      </c>
      <c r="B673" s="1" t="n">
        <v>45042.40232638889</v>
      </c>
      <c r="C673" s="1" t="n">
        <v>46103</v>
      </c>
      <c r="D673" t="inlineStr">
        <is>
          <t>ÖSTERGÖTLANDS LÄN</t>
        </is>
      </c>
      <c r="E673" t="inlineStr">
        <is>
          <t>KINDA</t>
        </is>
      </c>
      <c r="G673" t="n">
        <v>5.6</v>
      </c>
      <c r="H673" t="n">
        <v>0</v>
      </c>
      <c r="I673" t="n">
        <v>0</v>
      </c>
      <c r="J673" t="n">
        <v>0</v>
      </c>
      <c r="K673" t="n">
        <v>0</v>
      </c>
      <c r="L673" t="n">
        <v>0</v>
      </c>
      <c r="M673" t="n">
        <v>0</v>
      </c>
      <c r="N673" t="n">
        <v>0</v>
      </c>
      <c r="O673" t="n">
        <v>0</v>
      </c>
      <c r="P673" t="n">
        <v>0</v>
      </c>
      <c r="Q673" t="n">
        <v>0</v>
      </c>
      <c r="R673" s="2" t="inlineStr"/>
    </row>
    <row r="674" ht="15" customHeight="1">
      <c r="A674" t="inlineStr">
        <is>
          <t>A 37880-2022</t>
        </is>
      </c>
      <c r="B674" s="1" t="n">
        <v>44811.38229166667</v>
      </c>
      <c r="C674" s="1" t="n">
        <v>46103</v>
      </c>
      <c r="D674" t="inlineStr">
        <is>
          <t>ÖSTERGÖTLANDS LÄN</t>
        </is>
      </c>
      <c r="E674" t="inlineStr">
        <is>
          <t>KINDA</t>
        </is>
      </c>
      <c r="G674" t="n">
        <v>4.1</v>
      </c>
      <c r="H674" t="n">
        <v>0</v>
      </c>
      <c r="I674" t="n">
        <v>0</v>
      </c>
      <c r="J674" t="n">
        <v>0</v>
      </c>
      <c r="K674" t="n">
        <v>0</v>
      </c>
      <c r="L674" t="n">
        <v>0</v>
      </c>
      <c r="M674" t="n">
        <v>0</v>
      </c>
      <c r="N674" t="n">
        <v>0</v>
      </c>
      <c r="O674" t="n">
        <v>0</v>
      </c>
      <c r="P674" t="n">
        <v>0</v>
      </c>
      <c r="Q674" t="n">
        <v>0</v>
      </c>
      <c r="R674" s="2" t="inlineStr"/>
    </row>
    <row r="675" ht="15" customHeight="1">
      <c r="A675" t="inlineStr">
        <is>
          <t>A 37397-2024</t>
        </is>
      </c>
      <c r="B675" s="1" t="n">
        <v>45540.59917824074</v>
      </c>
      <c r="C675" s="1" t="n">
        <v>46103</v>
      </c>
      <c r="D675" t="inlineStr">
        <is>
          <t>ÖSTERGÖTLANDS LÄN</t>
        </is>
      </c>
      <c r="E675" t="inlineStr">
        <is>
          <t>KINDA</t>
        </is>
      </c>
      <c r="G675" t="n">
        <v>1.2</v>
      </c>
      <c r="H675" t="n">
        <v>0</v>
      </c>
      <c r="I675" t="n">
        <v>0</v>
      </c>
      <c r="J675" t="n">
        <v>0</v>
      </c>
      <c r="K675" t="n">
        <v>0</v>
      </c>
      <c r="L675" t="n">
        <v>0</v>
      </c>
      <c r="M675" t="n">
        <v>0</v>
      </c>
      <c r="N675" t="n">
        <v>0</v>
      </c>
      <c r="O675" t="n">
        <v>0</v>
      </c>
      <c r="P675" t="n">
        <v>0</v>
      </c>
      <c r="Q675" t="n">
        <v>0</v>
      </c>
      <c r="R675" s="2" t="inlineStr"/>
    </row>
    <row r="676" ht="15" customHeight="1">
      <c r="A676" t="inlineStr">
        <is>
          <t>A 60826-2023</t>
        </is>
      </c>
      <c r="B676" s="1" t="n">
        <v>45260.81440972222</v>
      </c>
      <c r="C676" s="1" t="n">
        <v>46103</v>
      </c>
      <c r="D676" t="inlineStr">
        <is>
          <t>ÖSTERGÖTLANDS LÄN</t>
        </is>
      </c>
      <c r="E676" t="inlineStr">
        <is>
          <t>KINDA</t>
        </is>
      </c>
      <c r="G676" t="n">
        <v>1.4</v>
      </c>
      <c r="H676" t="n">
        <v>0</v>
      </c>
      <c r="I676" t="n">
        <v>0</v>
      </c>
      <c r="J676" t="n">
        <v>0</v>
      </c>
      <c r="K676" t="n">
        <v>0</v>
      </c>
      <c r="L676" t="n">
        <v>0</v>
      </c>
      <c r="M676" t="n">
        <v>0</v>
      </c>
      <c r="N676" t="n">
        <v>0</v>
      </c>
      <c r="O676" t="n">
        <v>0</v>
      </c>
      <c r="P676" t="n">
        <v>0</v>
      </c>
      <c r="Q676" t="n">
        <v>0</v>
      </c>
      <c r="R676" s="2" t="inlineStr"/>
    </row>
    <row r="677" ht="15" customHeight="1">
      <c r="A677" t="inlineStr">
        <is>
          <t>A 28068-2024</t>
        </is>
      </c>
      <c r="B677" s="1" t="n">
        <v>45476.57782407408</v>
      </c>
      <c r="C677" s="1" t="n">
        <v>46103</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53319-2023</t>
        </is>
      </c>
      <c r="B678" s="1" t="n">
        <v>45229</v>
      </c>
      <c r="C678" s="1" t="n">
        <v>46103</v>
      </c>
      <c r="D678" t="inlineStr">
        <is>
          <t>ÖSTERGÖTLANDS LÄN</t>
        </is>
      </c>
      <c r="E678" t="inlineStr">
        <is>
          <t>KINDA</t>
        </is>
      </c>
      <c r="F678" t="inlineStr">
        <is>
          <t>Sveaskog</t>
        </is>
      </c>
      <c r="G678" t="n">
        <v>4.1</v>
      </c>
      <c r="H678" t="n">
        <v>0</v>
      </c>
      <c r="I678" t="n">
        <v>0</v>
      </c>
      <c r="J678" t="n">
        <v>0</v>
      </c>
      <c r="K678" t="n">
        <v>0</v>
      </c>
      <c r="L678" t="n">
        <v>0</v>
      </c>
      <c r="M678" t="n">
        <v>0</v>
      </c>
      <c r="N678" t="n">
        <v>0</v>
      </c>
      <c r="O678" t="n">
        <v>0</v>
      </c>
      <c r="P678" t="n">
        <v>0</v>
      </c>
      <c r="Q678" t="n">
        <v>0</v>
      </c>
      <c r="R678" s="2" t="inlineStr"/>
    </row>
    <row r="679" ht="15" customHeight="1">
      <c r="A679" t="inlineStr">
        <is>
          <t>A 6561-2024</t>
        </is>
      </c>
      <c r="B679" s="1" t="n">
        <v>45341</v>
      </c>
      <c r="C679" s="1" t="n">
        <v>46103</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32825-2021</t>
        </is>
      </c>
      <c r="B680" s="1" t="n">
        <v>44375.6209837963</v>
      </c>
      <c r="C680" s="1" t="n">
        <v>46103</v>
      </c>
      <c r="D680" t="inlineStr">
        <is>
          <t>ÖSTERGÖTLANDS LÄN</t>
        </is>
      </c>
      <c r="E680" t="inlineStr">
        <is>
          <t>KINDA</t>
        </is>
      </c>
      <c r="G680" t="n">
        <v>0.7</v>
      </c>
      <c r="H680" t="n">
        <v>0</v>
      </c>
      <c r="I680" t="n">
        <v>0</v>
      </c>
      <c r="J680" t="n">
        <v>0</v>
      </c>
      <c r="K680" t="n">
        <v>0</v>
      </c>
      <c r="L680" t="n">
        <v>0</v>
      </c>
      <c r="M680" t="n">
        <v>0</v>
      </c>
      <c r="N680" t="n">
        <v>0</v>
      </c>
      <c r="O680" t="n">
        <v>0</v>
      </c>
      <c r="P680" t="n">
        <v>0</v>
      </c>
      <c r="Q680" t="n">
        <v>0</v>
      </c>
      <c r="R680" s="2" t="inlineStr"/>
    </row>
    <row r="681" ht="15" customHeight="1">
      <c r="A681" t="inlineStr">
        <is>
          <t>A 5203-2022</t>
        </is>
      </c>
      <c r="B681" s="1" t="n">
        <v>44594</v>
      </c>
      <c r="C681" s="1" t="n">
        <v>46103</v>
      </c>
      <c r="D681" t="inlineStr">
        <is>
          <t>ÖSTERGÖTLANDS LÄN</t>
        </is>
      </c>
      <c r="E681" t="inlineStr">
        <is>
          <t>KINDA</t>
        </is>
      </c>
      <c r="G681" t="n">
        <v>1.5</v>
      </c>
      <c r="H681" t="n">
        <v>0</v>
      </c>
      <c r="I681" t="n">
        <v>0</v>
      </c>
      <c r="J681" t="n">
        <v>0</v>
      </c>
      <c r="K681" t="n">
        <v>0</v>
      </c>
      <c r="L681" t="n">
        <v>0</v>
      </c>
      <c r="M681" t="n">
        <v>0</v>
      </c>
      <c r="N681" t="n">
        <v>0</v>
      </c>
      <c r="O681" t="n">
        <v>0</v>
      </c>
      <c r="P681" t="n">
        <v>0</v>
      </c>
      <c r="Q681" t="n">
        <v>0</v>
      </c>
      <c r="R681" s="2" t="inlineStr"/>
    </row>
    <row r="682" ht="15" customHeight="1">
      <c r="A682" t="inlineStr">
        <is>
          <t>A 45108-2023</t>
        </is>
      </c>
      <c r="B682" s="1" t="n">
        <v>45187</v>
      </c>
      <c r="C682" s="1" t="n">
        <v>46103</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20972-2021</t>
        </is>
      </c>
      <c r="B683" s="1" t="n">
        <v>44319.56430555556</v>
      </c>
      <c r="C683" s="1" t="n">
        <v>46103</v>
      </c>
      <c r="D683" t="inlineStr">
        <is>
          <t>ÖSTERGÖTLANDS LÄN</t>
        </is>
      </c>
      <c r="E683" t="inlineStr">
        <is>
          <t>KINDA</t>
        </is>
      </c>
      <c r="G683" t="n">
        <v>2</v>
      </c>
      <c r="H683" t="n">
        <v>0</v>
      </c>
      <c r="I683" t="n">
        <v>0</v>
      </c>
      <c r="J683" t="n">
        <v>0</v>
      </c>
      <c r="K683" t="n">
        <v>0</v>
      </c>
      <c r="L683" t="n">
        <v>0</v>
      </c>
      <c r="M683" t="n">
        <v>0</v>
      </c>
      <c r="N683" t="n">
        <v>0</v>
      </c>
      <c r="O683" t="n">
        <v>0</v>
      </c>
      <c r="P683" t="n">
        <v>0</v>
      </c>
      <c r="Q683" t="n">
        <v>0</v>
      </c>
      <c r="R683" s="2" t="inlineStr"/>
    </row>
    <row r="684" ht="15" customHeight="1">
      <c r="A684" t="inlineStr">
        <is>
          <t>A 21071-2024</t>
        </is>
      </c>
      <c r="B684" s="1" t="n">
        <v>45439.8615625</v>
      </c>
      <c r="C684" s="1" t="n">
        <v>46103</v>
      </c>
      <c r="D684" t="inlineStr">
        <is>
          <t>ÖSTERGÖTLANDS LÄN</t>
        </is>
      </c>
      <c r="E684" t="inlineStr">
        <is>
          <t>KINDA</t>
        </is>
      </c>
      <c r="G684" t="n">
        <v>0.5</v>
      </c>
      <c r="H684" t="n">
        <v>0</v>
      </c>
      <c r="I684" t="n">
        <v>0</v>
      </c>
      <c r="J684" t="n">
        <v>0</v>
      </c>
      <c r="K684" t="n">
        <v>0</v>
      </c>
      <c r="L684" t="n">
        <v>0</v>
      </c>
      <c r="M684" t="n">
        <v>0</v>
      </c>
      <c r="N684" t="n">
        <v>0</v>
      </c>
      <c r="O684" t="n">
        <v>0</v>
      </c>
      <c r="P684" t="n">
        <v>0</v>
      </c>
      <c r="Q684" t="n">
        <v>0</v>
      </c>
      <c r="R684" s="2" t="inlineStr"/>
    </row>
    <row r="685" ht="15" customHeight="1">
      <c r="A685" t="inlineStr">
        <is>
          <t>A 41580-2023</t>
        </is>
      </c>
      <c r="B685" s="1" t="n">
        <v>45175.62292824074</v>
      </c>
      <c r="C685" s="1" t="n">
        <v>46103</v>
      </c>
      <c r="D685" t="inlineStr">
        <is>
          <t>ÖSTERGÖTLANDS LÄN</t>
        </is>
      </c>
      <c r="E685" t="inlineStr">
        <is>
          <t>KINDA</t>
        </is>
      </c>
      <c r="G685" t="n">
        <v>0.4</v>
      </c>
      <c r="H685" t="n">
        <v>0</v>
      </c>
      <c r="I685" t="n">
        <v>0</v>
      </c>
      <c r="J685" t="n">
        <v>0</v>
      </c>
      <c r="K685" t="n">
        <v>0</v>
      </c>
      <c r="L685" t="n">
        <v>0</v>
      </c>
      <c r="M685" t="n">
        <v>0</v>
      </c>
      <c r="N685" t="n">
        <v>0</v>
      </c>
      <c r="O685" t="n">
        <v>0</v>
      </c>
      <c r="P685" t="n">
        <v>0</v>
      </c>
      <c r="Q685" t="n">
        <v>0</v>
      </c>
      <c r="R685" s="2" t="inlineStr"/>
    </row>
    <row r="686" ht="15" customHeight="1">
      <c r="A686" t="inlineStr">
        <is>
          <t>A 14817-2023</t>
        </is>
      </c>
      <c r="B686" s="1" t="n">
        <v>45014.65841435185</v>
      </c>
      <c r="C686" s="1" t="n">
        <v>46103</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25490-2023</t>
        </is>
      </c>
      <c r="B687" s="1" t="n">
        <v>45082</v>
      </c>
      <c r="C687" s="1" t="n">
        <v>46103</v>
      </c>
      <c r="D687" t="inlineStr">
        <is>
          <t>ÖSTERGÖTLANDS LÄN</t>
        </is>
      </c>
      <c r="E687" t="inlineStr">
        <is>
          <t>KINDA</t>
        </is>
      </c>
      <c r="G687" t="n">
        <v>2.2</v>
      </c>
      <c r="H687" t="n">
        <v>0</v>
      </c>
      <c r="I687" t="n">
        <v>0</v>
      </c>
      <c r="J687" t="n">
        <v>0</v>
      </c>
      <c r="K687" t="n">
        <v>0</v>
      </c>
      <c r="L687" t="n">
        <v>0</v>
      </c>
      <c r="M687" t="n">
        <v>0</v>
      </c>
      <c r="N687" t="n">
        <v>0</v>
      </c>
      <c r="O687" t="n">
        <v>0</v>
      </c>
      <c r="P687" t="n">
        <v>0</v>
      </c>
      <c r="Q687" t="n">
        <v>0</v>
      </c>
      <c r="R687" s="2" t="inlineStr"/>
    </row>
    <row r="688" ht="15" customHeight="1">
      <c r="A688" t="inlineStr">
        <is>
          <t>A 15029-2024</t>
        </is>
      </c>
      <c r="B688" s="1" t="n">
        <v>45399.46633101852</v>
      </c>
      <c r="C688" s="1" t="n">
        <v>46103</v>
      </c>
      <c r="D688" t="inlineStr">
        <is>
          <t>ÖSTERGÖTLANDS LÄN</t>
        </is>
      </c>
      <c r="E688" t="inlineStr">
        <is>
          <t>KINDA</t>
        </is>
      </c>
      <c r="G688" t="n">
        <v>2.6</v>
      </c>
      <c r="H688" t="n">
        <v>0</v>
      </c>
      <c r="I688" t="n">
        <v>0</v>
      </c>
      <c r="J688" t="n">
        <v>0</v>
      </c>
      <c r="K688" t="n">
        <v>0</v>
      </c>
      <c r="L688" t="n">
        <v>0</v>
      </c>
      <c r="M688" t="n">
        <v>0</v>
      </c>
      <c r="N688" t="n">
        <v>0</v>
      </c>
      <c r="O688" t="n">
        <v>0</v>
      </c>
      <c r="P688" t="n">
        <v>0</v>
      </c>
      <c r="Q688" t="n">
        <v>0</v>
      </c>
      <c r="R688" s="2" t="inlineStr"/>
    </row>
    <row r="689" ht="15" customHeight="1">
      <c r="A689" t="inlineStr">
        <is>
          <t>A 60824-2023</t>
        </is>
      </c>
      <c r="B689" s="1" t="n">
        <v>45260.80365740741</v>
      </c>
      <c r="C689" s="1" t="n">
        <v>46103</v>
      </c>
      <c r="D689" t="inlineStr">
        <is>
          <t>ÖSTERGÖTLANDS LÄN</t>
        </is>
      </c>
      <c r="E689" t="inlineStr">
        <is>
          <t>KINDA</t>
        </is>
      </c>
      <c r="G689" t="n">
        <v>3.1</v>
      </c>
      <c r="H689" t="n">
        <v>0</v>
      </c>
      <c r="I689" t="n">
        <v>0</v>
      </c>
      <c r="J689" t="n">
        <v>0</v>
      </c>
      <c r="K689" t="n">
        <v>0</v>
      </c>
      <c r="L689" t="n">
        <v>0</v>
      </c>
      <c r="M689" t="n">
        <v>0</v>
      </c>
      <c r="N689" t="n">
        <v>0</v>
      </c>
      <c r="O689" t="n">
        <v>0</v>
      </c>
      <c r="P689" t="n">
        <v>0</v>
      </c>
      <c r="Q689" t="n">
        <v>0</v>
      </c>
      <c r="R689" s="2" t="inlineStr"/>
    </row>
    <row r="690" ht="15" customHeight="1">
      <c r="A690" t="inlineStr">
        <is>
          <t>A 133-2024</t>
        </is>
      </c>
      <c r="B690" s="1" t="n">
        <v>45294.43197916666</v>
      </c>
      <c r="C690" s="1" t="n">
        <v>46103</v>
      </c>
      <c r="D690" t="inlineStr">
        <is>
          <t>ÖSTERGÖTLANDS LÄN</t>
        </is>
      </c>
      <c r="E690" t="inlineStr">
        <is>
          <t>KINDA</t>
        </is>
      </c>
      <c r="G690" t="n">
        <v>1.3</v>
      </c>
      <c r="H690" t="n">
        <v>0</v>
      </c>
      <c r="I690" t="n">
        <v>0</v>
      </c>
      <c r="J690" t="n">
        <v>0</v>
      </c>
      <c r="K690" t="n">
        <v>0</v>
      </c>
      <c r="L690" t="n">
        <v>0</v>
      </c>
      <c r="M690" t="n">
        <v>0</v>
      </c>
      <c r="N690" t="n">
        <v>0</v>
      </c>
      <c r="O690" t="n">
        <v>0</v>
      </c>
      <c r="P690" t="n">
        <v>0</v>
      </c>
      <c r="Q690" t="n">
        <v>0</v>
      </c>
      <c r="R690" s="2" t="inlineStr"/>
    </row>
    <row r="691" ht="15" customHeight="1">
      <c r="A691" t="inlineStr">
        <is>
          <t>A 1760-2024</t>
        </is>
      </c>
      <c r="B691" s="1" t="n">
        <v>45307.48108796297</v>
      </c>
      <c r="C691" s="1" t="n">
        <v>46103</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53306-2024</t>
        </is>
      </c>
      <c r="B692" s="1" t="n">
        <v>45614.39091435185</v>
      </c>
      <c r="C692" s="1" t="n">
        <v>46103</v>
      </c>
      <c r="D692" t="inlineStr">
        <is>
          <t>ÖSTERGÖTLANDS LÄN</t>
        </is>
      </c>
      <c r="E692" t="inlineStr">
        <is>
          <t>KINDA</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38827-2021</t>
        </is>
      </c>
      <c r="B693" s="1" t="n">
        <v>44411</v>
      </c>
      <c r="C693" s="1" t="n">
        <v>46103</v>
      </c>
      <c r="D693" t="inlineStr">
        <is>
          <t>ÖSTERGÖTLANDS LÄN</t>
        </is>
      </c>
      <c r="E693" t="inlineStr">
        <is>
          <t>KINDA</t>
        </is>
      </c>
      <c r="F693" t="inlineStr">
        <is>
          <t>Övriga Aktiebolag</t>
        </is>
      </c>
      <c r="G693" t="n">
        <v>13.6</v>
      </c>
      <c r="H693" t="n">
        <v>0</v>
      </c>
      <c r="I693" t="n">
        <v>0</v>
      </c>
      <c r="J693" t="n">
        <v>0</v>
      </c>
      <c r="K693" t="n">
        <v>0</v>
      </c>
      <c r="L693" t="n">
        <v>0</v>
      </c>
      <c r="M693" t="n">
        <v>0</v>
      </c>
      <c r="N693" t="n">
        <v>0</v>
      </c>
      <c r="O693" t="n">
        <v>0</v>
      </c>
      <c r="P693" t="n">
        <v>0</v>
      </c>
      <c r="Q693" t="n">
        <v>0</v>
      </c>
      <c r="R693" s="2" t="inlineStr"/>
    </row>
    <row r="694" ht="15" customHeight="1">
      <c r="A694" t="inlineStr">
        <is>
          <t>A 8413-2025</t>
        </is>
      </c>
      <c r="B694" s="1" t="n">
        <v>45709.39325231482</v>
      </c>
      <c r="C694" s="1" t="n">
        <v>46103</v>
      </c>
      <c r="D694" t="inlineStr">
        <is>
          <t>ÖSTERGÖTLANDS LÄN</t>
        </is>
      </c>
      <c r="E694" t="inlineStr">
        <is>
          <t>KINDA</t>
        </is>
      </c>
      <c r="G694" t="n">
        <v>0.7</v>
      </c>
      <c r="H694" t="n">
        <v>0</v>
      </c>
      <c r="I694" t="n">
        <v>0</v>
      </c>
      <c r="J694" t="n">
        <v>0</v>
      </c>
      <c r="K694" t="n">
        <v>0</v>
      </c>
      <c r="L694" t="n">
        <v>0</v>
      </c>
      <c r="M694" t="n">
        <v>0</v>
      </c>
      <c r="N694" t="n">
        <v>0</v>
      </c>
      <c r="O694" t="n">
        <v>0</v>
      </c>
      <c r="P694" t="n">
        <v>0</v>
      </c>
      <c r="Q694" t="n">
        <v>0</v>
      </c>
      <c r="R694" s="2" t="inlineStr"/>
    </row>
    <row r="695" ht="15" customHeight="1">
      <c r="A695" t="inlineStr">
        <is>
          <t>A 8233-2023</t>
        </is>
      </c>
      <c r="B695" s="1" t="n">
        <v>44974.57886574074</v>
      </c>
      <c r="C695" s="1" t="n">
        <v>46103</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34135-2021</t>
        </is>
      </c>
      <c r="B696" s="1" t="n">
        <v>44379</v>
      </c>
      <c r="C696" s="1" t="n">
        <v>46103</v>
      </c>
      <c r="D696" t="inlineStr">
        <is>
          <t>ÖSTERGÖTLANDS LÄN</t>
        </is>
      </c>
      <c r="E696" t="inlineStr">
        <is>
          <t>KINDA</t>
        </is>
      </c>
      <c r="G696" t="n">
        <v>1.5</v>
      </c>
      <c r="H696" t="n">
        <v>0</v>
      </c>
      <c r="I696" t="n">
        <v>0</v>
      </c>
      <c r="J696" t="n">
        <v>0</v>
      </c>
      <c r="K696" t="n">
        <v>0</v>
      </c>
      <c r="L696" t="n">
        <v>0</v>
      </c>
      <c r="M696" t="n">
        <v>0</v>
      </c>
      <c r="N696" t="n">
        <v>0</v>
      </c>
      <c r="O696" t="n">
        <v>0</v>
      </c>
      <c r="P696" t="n">
        <v>0</v>
      </c>
      <c r="Q696" t="n">
        <v>0</v>
      </c>
      <c r="R696" s="2" t="inlineStr"/>
    </row>
    <row r="697" ht="15" customHeight="1">
      <c r="A697" t="inlineStr">
        <is>
          <t>A 13845-2025</t>
        </is>
      </c>
      <c r="B697" s="1" t="n">
        <v>45737.5596875</v>
      </c>
      <c r="C697" s="1" t="n">
        <v>46103</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51047-2022</t>
        </is>
      </c>
      <c r="B698" s="1" t="n">
        <v>44868</v>
      </c>
      <c r="C698" s="1" t="n">
        <v>46103</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10035-2025</t>
        </is>
      </c>
      <c r="B699" s="1" t="n">
        <v>45719.49922453704</v>
      </c>
      <c r="C699" s="1" t="n">
        <v>46103</v>
      </c>
      <c r="D699" t="inlineStr">
        <is>
          <t>ÖSTERGÖTLANDS LÄN</t>
        </is>
      </c>
      <c r="E699" t="inlineStr">
        <is>
          <t>KINDA</t>
        </is>
      </c>
      <c r="G699" t="n">
        <v>1.9</v>
      </c>
      <c r="H699" t="n">
        <v>0</v>
      </c>
      <c r="I699" t="n">
        <v>0</v>
      </c>
      <c r="J699" t="n">
        <v>0</v>
      </c>
      <c r="K699" t="n">
        <v>0</v>
      </c>
      <c r="L699" t="n">
        <v>0</v>
      </c>
      <c r="M699" t="n">
        <v>0</v>
      </c>
      <c r="N699" t="n">
        <v>0</v>
      </c>
      <c r="O699" t="n">
        <v>0</v>
      </c>
      <c r="P699" t="n">
        <v>0</v>
      </c>
      <c r="Q699" t="n">
        <v>0</v>
      </c>
      <c r="R699" s="2" t="inlineStr"/>
      <c r="U699">
        <f>HYPERLINK("https://klasma.github.io/Logging_0513/knärot/A 10035-2025 karta knärot.png", "A 10035-2025")</f>
        <v/>
      </c>
      <c r="V699">
        <f>HYPERLINK("https://klasma.github.io/Logging_0513/klagomål/A 10035-2025 FSC-klagomål.docx", "A 10035-2025")</f>
        <v/>
      </c>
      <c r="W699">
        <f>HYPERLINK("https://klasma.github.io/Logging_0513/klagomålsmail/A 10035-2025 FSC-klagomål mail.docx", "A 10035-2025")</f>
        <v/>
      </c>
      <c r="X699">
        <f>HYPERLINK("https://klasma.github.io/Logging_0513/tillsyn/A 10035-2025 tillsynsbegäran.docx", "A 10035-2025")</f>
        <v/>
      </c>
      <c r="Y699">
        <f>HYPERLINK("https://klasma.github.io/Logging_0513/tillsynsmail/A 10035-2025 tillsynsbegäran mail.docx", "A 10035-2025")</f>
        <v/>
      </c>
    </row>
    <row r="700" ht="15" customHeight="1">
      <c r="A700" t="inlineStr">
        <is>
          <t>A 23717-2021</t>
        </is>
      </c>
      <c r="B700" s="1" t="n">
        <v>44334.71728009259</v>
      </c>
      <c r="C700" s="1" t="n">
        <v>46103</v>
      </c>
      <c r="D700" t="inlineStr">
        <is>
          <t>ÖSTERGÖTLANDS LÄN</t>
        </is>
      </c>
      <c r="E700" t="inlineStr">
        <is>
          <t>KINDA</t>
        </is>
      </c>
      <c r="G700" t="n">
        <v>1.8</v>
      </c>
      <c r="H700" t="n">
        <v>0</v>
      </c>
      <c r="I700" t="n">
        <v>0</v>
      </c>
      <c r="J700" t="n">
        <v>0</v>
      </c>
      <c r="K700" t="n">
        <v>0</v>
      </c>
      <c r="L700" t="n">
        <v>0</v>
      </c>
      <c r="M700" t="n">
        <v>0</v>
      </c>
      <c r="N700" t="n">
        <v>0</v>
      </c>
      <c r="O700" t="n">
        <v>0</v>
      </c>
      <c r="P700" t="n">
        <v>0</v>
      </c>
      <c r="Q700" t="n">
        <v>0</v>
      </c>
      <c r="R700" s="2" t="inlineStr"/>
    </row>
    <row r="701" ht="15" customHeight="1">
      <c r="A701" t="inlineStr">
        <is>
          <t>A 15159-2022</t>
        </is>
      </c>
      <c r="B701" s="1" t="n">
        <v>44658.49030092593</v>
      </c>
      <c r="C701" s="1" t="n">
        <v>46103</v>
      </c>
      <c r="D701" t="inlineStr">
        <is>
          <t>ÖSTERGÖTLANDS LÄN</t>
        </is>
      </c>
      <c r="E701" t="inlineStr">
        <is>
          <t>KINDA</t>
        </is>
      </c>
      <c r="G701" t="n">
        <v>2.9</v>
      </c>
      <c r="H701" t="n">
        <v>0</v>
      </c>
      <c r="I701" t="n">
        <v>0</v>
      </c>
      <c r="J701" t="n">
        <v>0</v>
      </c>
      <c r="K701" t="n">
        <v>0</v>
      </c>
      <c r="L701" t="n">
        <v>0</v>
      </c>
      <c r="M701" t="n">
        <v>0</v>
      </c>
      <c r="N701" t="n">
        <v>0</v>
      </c>
      <c r="O701" t="n">
        <v>0</v>
      </c>
      <c r="P701" t="n">
        <v>0</v>
      </c>
      <c r="Q701" t="n">
        <v>0</v>
      </c>
      <c r="R701" s="2" t="inlineStr"/>
    </row>
    <row r="702" ht="15" customHeight="1">
      <c r="A702" t="inlineStr">
        <is>
          <t>A 11881-2025</t>
        </is>
      </c>
      <c r="B702" s="1" t="n">
        <v>45728.44758101852</v>
      </c>
      <c r="C702" s="1" t="n">
        <v>46103</v>
      </c>
      <c r="D702" t="inlineStr">
        <is>
          <t>ÖSTERGÖTLANDS LÄN</t>
        </is>
      </c>
      <c r="E702" t="inlineStr">
        <is>
          <t>KINDA</t>
        </is>
      </c>
      <c r="G702" t="n">
        <v>1.8</v>
      </c>
      <c r="H702" t="n">
        <v>0</v>
      </c>
      <c r="I702" t="n">
        <v>0</v>
      </c>
      <c r="J702" t="n">
        <v>0</v>
      </c>
      <c r="K702" t="n">
        <v>0</v>
      </c>
      <c r="L702" t="n">
        <v>0</v>
      </c>
      <c r="M702" t="n">
        <v>0</v>
      </c>
      <c r="N702" t="n">
        <v>0</v>
      </c>
      <c r="O702" t="n">
        <v>0</v>
      </c>
      <c r="P702" t="n">
        <v>0</v>
      </c>
      <c r="Q702" t="n">
        <v>0</v>
      </c>
      <c r="R702" s="2" t="inlineStr"/>
    </row>
    <row r="703" ht="15" customHeight="1">
      <c r="A703" t="inlineStr">
        <is>
          <t>A 21795-2024</t>
        </is>
      </c>
      <c r="B703" s="1" t="n">
        <v>45442.6459837963</v>
      </c>
      <c r="C703" s="1" t="n">
        <v>46103</v>
      </c>
      <c r="D703" t="inlineStr">
        <is>
          <t>ÖSTERGÖTLANDS LÄN</t>
        </is>
      </c>
      <c r="E703" t="inlineStr">
        <is>
          <t>KINDA</t>
        </is>
      </c>
      <c r="G703" t="n">
        <v>1</v>
      </c>
      <c r="H703" t="n">
        <v>0</v>
      </c>
      <c r="I703" t="n">
        <v>0</v>
      </c>
      <c r="J703" t="n">
        <v>0</v>
      </c>
      <c r="K703" t="n">
        <v>0</v>
      </c>
      <c r="L703" t="n">
        <v>0</v>
      </c>
      <c r="M703" t="n">
        <v>0</v>
      </c>
      <c r="N703" t="n">
        <v>0</v>
      </c>
      <c r="O703" t="n">
        <v>0</v>
      </c>
      <c r="P703" t="n">
        <v>0</v>
      </c>
      <c r="Q703" t="n">
        <v>0</v>
      </c>
      <c r="R703" s="2" t="inlineStr"/>
    </row>
    <row r="704" ht="15" customHeight="1">
      <c r="A704" t="inlineStr">
        <is>
          <t>A 33997-2023</t>
        </is>
      </c>
      <c r="B704" s="1" t="n">
        <v>45134</v>
      </c>
      <c r="C704" s="1" t="n">
        <v>46103</v>
      </c>
      <c r="D704" t="inlineStr">
        <is>
          <t>ÖSTERGÖTLANDS LÄN</t>
        </is>
      </c>
      <c r="E704" t="inlineStr">
        <is>
          <t>KINDA</t>
        </is>
      </c>
      <c r="G704" t="n">
        <v>3.7</v>
      </c>
      <c r="H704" t="n">
        <v>0</v>
      </c>
      <c r="I704" t="n">
        <v>0</v>
      </c>
      <c r="J704" t="n">
        <v>0</v>
      </c>
      <c r="K704" t="n">
        <v>0</v>
      </c>
      <c r="L704" t="n">
        <v>0</v>
      </c>
      <c r="M704" t="n">
        <v>0</v>
      </c>
      <c r="N704" t="n">
        <v>0</v>
      </c>
      <c r="O704" t="n">
        <v>0</v>
      </c>
      <c r="P704" t="n">
        <v>0</v>
      </c>
      <c r="Q704" t="n">
        <v>0</v>
      </c>
      <c r="R704" s="2" t="inlineStr"/>
    </row>
    <row r="705" ht="15" customHeight="1">
      <c r="A705" t="inlineStr">
        <is>
          <t>A 27648-2023</t>
        </is>
      </c>
      <c r="B705" s="1" t="n">
        <v>45097.68376157407</v>
      </c>
      <c r="C705" s="1" t="n">
        <v>46103</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27809-2024</t>
        </is>
      </c>
      <c r="B706" s="1" t="n">
        <v>45475</v>
      </c>
      <c r="C706" s="1" t="n">
        <v>46103</v>
      </c>
      <c r="D706" t="inlineStr">
        <is>
          <t>ÖSTERGÖTLANDS LÄN</t>
        </is>
      </c>
      <c r="E706" t="inlineStr">
        <is>
          <t>KINDA</t>
        </is>
      </c>
      <c r="G706" t="n">
        <v>2.7</v>
      </c>
      <c r="H706" t="n">
        <v>0</v>
      </c>
      <c r="I706" t="n">
        <v>0</v>
      </c>
      <c r="J706" t="n">
        <v>0</v>
      </c>
      <c r="K706" t="n">
        <v>0</v>
      </c>
      <c r="L706" t="n">
        <v>0</v>
      </c>
      <c r="M706" t="n">
        <v>0</v>
      </c>
      <c r="N706" t="n">
        <v>0</v>
      </c>
      <c r="O706" t="n">
        <v>0</v>
      </c>
      <c r="P706" t="n">
        <v>0</v>
      </c>
      <c r="Q706" t="n">
        <v>0</v>
      </c>
      <c r="R706" s="2" t="inlineStr"/>
    </row>
    <row r="707" ht="15" customHeight="1">
      <c r="A707" t="inlineStr">
        <is>
          <t>A 915-2024</t>
        </is>
      </c>
      <c r="B707" s="1" t="n">
        <v>45301.47129629629</v>
      </c>
      <c r="C707" s="1" t="n">
        <v>46103</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59573-2022</t>
        </is>
      </c>
      <c r="B708" s="1" t="n">
        <v>44907</v>
      </c>
      <c r="C708" s="1" t="n">
        <v>46103</v>
      </c>
      <c r="D708" t="inlineStr">
        <is>
          <t>ÖSTERGÖTLANDS LÄN</t>
        </is>
      </c>
      <c r="E708" t="inlineStr">
        <is>
          <t>KINDA</t>
        </is>
      </c>
      <c r="G708" t="n">
        <v>0.8</v>
      </c>
      <c r="H708" t="n">
        <v>0</v>
      </c>
      <c r="I708" t="n">
        <v>0</v>
      </c>
      <c r="J708" t="n">
        <v>0</v>
      </c>
      <c r="K708" t="n">
        <v>0</v>
      </c>
      <c r="L708" t="n">
        <v>0</v>
      </c>
      <c r="M708" t="n">
        <v>0</v>
      </c>
      <c r="N708" t="n">
        <v>0</v>
      </c>
      <c r="O708" t="n">
        <v>0</v>
      </c>
      <c r="P708" t="n">
        <v>0</v>
      </c>
      <c r="Q708" t="n">
        <v>0</v>
      </c>
      <c r="R708" s="2" t="inlineStr"/>
    </row>
    <row r="709" ht="15" customHeight="1">
      <c r="A709" t="inlineStr">
        <is>
          <t>A 61544-2024</t>
        </is>
      </c>
      <c r="B709" s="1" t="n">
        <v>45646.5981712963</v>
      </c>
      <c r="C709" s="1" t="n">
        <v>46103</v>
      </c>
      <c r="D709" t="inlineStr">
        <is>
          <t>ÖSTERGÖTLANDS LÄN</t>
        </is>
      </c>
      <c r="E709" t="inlineStr">
        <is>
          <t>KINDA</t>
        </is>
      </c>
      <c r="G709" t="n">
        <v>0.9</v>
      </c>
      <c r="H709" t="n">
        <v>0</v>
      </c>
      <c r="I709" t="n">
        <v>0</v>
      </c>
      <c r="J709" t="n">
        <v>0</v>
      </c>
      <c r="K709" t="n">
        <v>0</v>
      </c>
      <c r="L709" t="n">
        <v>0</v>
      </c>
      <c r="M709" t="n">
        <v>0</v>
      </c>
      <c r="N709" t="n">
        <v>0</v>
      </c>
      <c r="O709" t="n">
        <v>0</v>
      </c>
      <c r="P709" t="n">
        <v>0</v>
      </c>
      <c r="Q709" t="n">
        <v>0</v>
      </c>
      <c r="R709" s="2" t="inlineStr"/>
    </row>
    <row r="710" ht="15" customHeight="1">
      <c r="A710" t="inlineStr">
        <is>
          <t>A 22694-2023</t>
        </is>
      </c>
      <c r="B710" s="1" t="n">
        <v>45071</v>
      </c>
      <c r="C710" s="1" t="n">
        <v>46103</v>
      </c>
      <c r="D710" t="inlineStr">
        <is>
          <t>ÖSTERGÖTLANDS LÄN</t>
        </is>
      </c>
      <c r="E710" t="inlineStr">
        <is>
          <t>KINDA</t>
        </is>
      </c>
      <c r="G710" t="n">
        <v>1.4</v>
      </c>
      <c r="H710" t="n">
        <v>0</v>
      </c>
      <c r="I710" t="n">
        <v>0</v>
      </c>
      <c r="J710" t="n">
        <v>0</v>
      </c>
      <c r="K710" t="n">
        <v>0</v>
      </c>
      <c r="L710" t="n">
        <v>0</v>
      </c>
      <c r="M710" t="n">
        <v>0</v>
      </c>
      <c r="N710" t="n">
        <v>0</v>
      </c>
      <c r="O710" t="n">
        <v>0</v>
      </c>
      <c r="P710" t="n">
        <v>0</v>
      </c>
      <c r="Q710" t="n">
        <v>0</v>
      </c>
      <c r="R710" s="2" t="inlineStr"/>
    </row>
    <row r="711" ht="15" customHeight="1">
      <c r="A711" t="inlineStr">
        <is>
          <t>A 20997-2025</t>
        </is>
      </c>
      <c r="B711" s="1" t="n">
        <v>45777.48113425926</v>
      </c>
      <c r="C711" s="1" t="n">
        <v>46103</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21049-2025</t>
        </is>
      </c>
      <c r="B712" s="1" t="n">
        <v>45777.55960648148</v>
      </c>
      <c r="C712" s="1" t="n">
        <v>46103</v>
      </c>
      <c r="D712" t="inlineStr">
        <is>
          <t>ÖSTERGÖTLANDS LÄN</t>
        </is>
      </c>
      <c r="E712" t="inlineStr">
        <is>
          <t>KINDA</t>
        </is>
      </c>
      <c r="G712" t="n">
        <v>2</v>
      </c>
      <c r="H712" t="n">
        <v>0</v>
      </c>
      <c r="I712" t="n">
        <v>0</v>
      </c>
      <c r="J712" t="n">
        <v>0</v>
      </c>
      <c r="K712" t="n">
        <v>0</v>
      </c>
      <c r="L712" t="n">
        <v>0</v>
      </c>
      <c r="M712" t="n">
        <v>0</v>
      </c>
      <c r="N712" t="n">
        <v>0</v>
      </c>
      <c r="O712" t="n">
        <v>0</v>
      </c>
      <c r="P712" t="n">
        <v>0</v>
      </c>
      <c r="Q712" t="n">
        <v>0</v>
      </c>
      <c r="R712" s="2" t="inlineStr"/>
    </row>
    <row r="713" ht="15" customHeight="1">
      <c r="A713" t="inlineStr">
        <is>
          <t>A 20677-2025</t>
        </is>
      </c>
      <c r="B713" s="1" t="n">
        <v>45776.44575231482</v>
      </c>
      <c r="C713" s="1" t="n">
        <v>46103</v>
      </c>
      <c r="D713" t="inlineStr">
        <is>
          <t>ÖSTERGÖTLANDS LÄN</t>
        </is>
      </c>
      <c r="E713" t="inlineStr">
        <is>
          <t>KINDA</t>
        </is>
      </c>
      <c r="G713" t="n">
        <v>5.1</v>
      </c>
      <c r="H713" t="n">
        <v>0</v>
      </c>
      <c r="I713" t="n">
        <v>0</v>
      </c>
      <c r="J713" t="n">
        <v>0</v>
      </c>
      <c r="K713" t="n">
        <v>0</v>
      </c>
      <c r="L713" t="n">
        <v>0</v>
      </c>
      <c r="M713" t="n">
        <v>0</v>
      </c>
      <c r="N713" t="n">
        <v>0</v>
      </c>
      <c r="O713" t="n">
        <v>0</v>
      </c>
      <c r="P713" t="n">
        <v>0</v>
      </c>
      <c r="Q713" t="n">
        <v>0</v>
      </c>
      <c r="R713" s="2" t="inlineStr"/>
    </row>
    <row r="714" ht="15" customHeight="1">
      <c r="A714" t="inlineStr">
        <is>
          <t>A 20711-2025</t>
        </is>
      </c>
      <c r="B714" s="1" t="n">
        <v>45776.48627314815</v>
      </c>
      <c r="C714" s="1" t="n">
        <v>46103</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46103</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22044-2025</t>
        </is>
      </c>
      <c r="B716" s="1" t="n">
        <v>45785.34126157407</v>
      </c>
      <c r="C716" s="1" t="n">
        <v>46103</v>
      </c>
      <c r="D716" t="inlineStr">
        <is>
          <t>ÖSTERGÖTLANDS LÄN</t>
        </is>
      </c>
      <c r="E716" t="inlineStr">
        <is>
          <t>KINDA</t>
        </is>
      </c>
      <c r="G716" t="n">
        <v>0.9</v>
      </c>
      <c r="H716" t="n">
        <v>0</v>
      </c>
      <c r="I716" t="n">
        <v>0</v>
      </c>
      <c r="J716" t="n">
        <v>0</v>
      </c>
      <c r="K716" t="n">
        <v>0</v>
      </c>
      <c r="L716" t="n">
        <v>0</v>
      </c>
      <c r="M716" t="n">
        <v>0</v>
      </c>
      <c r="N716" t="n">
        <v>0</v>
      </c>
      <c r="O716" t="n">
        <v>0</v>
      </c>
      <c r="P716" t="n">
        <v>0</v>
      </c>
      <c r="Q716" t="n">
        <v>0</v>
      </c>
      <c r="R716" s="2" t="inlineStr"/>
    </row>
    <row r="717">
      <c r="A717" t="inlineStr">
        <is>
          <t>A 21948-2025</t>
        </is>
      </c>
      <c r="B717" s="1" t="n">
        <v>45784.59287037037</v>
      </c>
      <c r="C717" s="1" t="n">
        <v>46103</v>
      </c>
      <c r="D717" t="inlineStr">
        <is>
          <t>ÖSTERGÖTLANDS LÄN</t>
        </is>
      </c>
      <c r="E717" t="inlineStr">
        <is>
          <t>KINDA</t>
        </is>
      </c>
      <c r="G717" t="n">
        <v>0.6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2026-03-22T11:31:23Z</dcterms:created>
  <dcterms:modified xmlns:dcterms="http://purl.org/dc/terms/" xmlns:xsi="http://www.w3.org/2001/XMLSchema-instance" xsi:type="dcterms:W3CDTF">2026-03-22T11:31:24Z</dcterms:modified>
</cp:coreProperties>
</file>