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46139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46139</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5119-2023</t>
        </is>
      </c>
      <c r="B11" s="1" t="n">
        <v>44958</v>
      </c>
      <c r="C11" s="1" t="n">
        <v>46139</v>
      </c>
      <c r="D11" t="inlineStr">
        <is>
          <t>ÖSTERGÖTLANDS LÄN</t>
        </is>
      </c>
      <c r="E11" t="inlineStr">
        <is>
          <t>KINDA</t>
        </is>
      </c>
      <c r="F11" t="inlineStr">
        <is>
          <t>Allmännings- och besparingsskogar</t>
        </is>
      </c>
      <c r="G11" t="n">
        <v>7.9</v>
      </c>
      <c r="H11" t="n">
        <v>4</v>
      </c>
      <c r="I11" t="n">
        <v>1</v>
      </c>
      <c r="J11" t="n">
        <v>1</v>
      </c>
      <c r="K11" t="n">
        <v>0</v>
      </c>
      <c r="L11" t="n">
        <v>0</v>
      </c>
      <c r="M11" t="n">
        <v>0</v>
      </c>
      <c r="N11" t="n">
        <v>0</v>
      </c>
      <c r="O11" t="n">
        <v>1</v>
      </c>
      <c r="P11" t="n">
        <v>0</v>
      </c>
      <c r="Q11" t="n">
        <v>5</v>
      </c>
      <c r="R11" s="2" t="inlineStr">
        <is>
          <t>Svinrot
Ekoxe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37669-2025</t>
        </is>
      </c>
      <c r="B12" s="1" t="n">
        <v>45880</v>
      </c>
      <c r="C12" s="1" t="n">
        <v>46139</v>
      </c>
      <c r="D12" t="inlineStr">
        <is>
          <t>ÖSTERGÖTLANDS LÄN</t>
        </is>
      </c>
      <c r="E12" t="inlineStr">
        <is>
          <t>KINDA</t>
        </is>
      </c>
      <c r="G12" t="n">
        <v>8.5</v>
      </c>
      <c r="H12" t="n">
        <v>1</v>
      </c>
      <c r="I12" t="n">
        <v>3</v>
      </c>
      <c r="J12" t="n">
        <v>1</v>
      </c>
      <c r="K12" t="n">
        <v>1</v>
      </c>
      <c r="L12" t="n">
        <v>0</v>
      </c>
      <c r="M12" t="n">
        <v>0</v>
      </c>
      <c r="N12" t="n">
        <v>0</v>
      </c>
      <c r="O12" t="n">
        <v>2</v>
      </c>
      <c r="P12" t="n">
        <v>1</v>
      </c>
      <c r="Q12" t="n">
        <v>5</v>
      </c>
      <c r="R12" s="2" t="inlineStr">
        <is>
          <t>Knärot
Tallticka
Guldlockmossa
Mindre märgborre
Platt fjädermossa</t>
        </is>
      </c>
      <c r="S12">
        <f>HYPERLINK("https://klasma.github.io/Logging_0513/artfynd/A 37669-2025 artfynd.xlsx", "A 37669-2025")</f>
        <v/>
      </c>
      <c r="T12">
        <f>HYPERLINK("https://klasma.github.io/Logging_0513/kartor/A 37669-2025 karta.png", "A 37669-2025")</f>
        <v/>
      </c>
      <c r="U12">
        <f>HYPERLINK("https://klasma.github.io/Logging_0513/knärot/A 37669-2025 karta knärot.png", "A 37669-2025")</f>
        <v/>
      </c>
      <c r="V12">
        <f>HYPERLINK("https://klasma.github.io/Logging_0513/klagomål/A 37669-2025 FSC-klagomål.docx", "A 37669-2025")</f>
        <v/>
      </c>
      <c r="W12">
        <f>HYPERLINK("https://klasma.github.io/Logging_0513/klagomålsmail/A 37669-2025 FSC-klagomål mail.docx", "A 37669-2025")</f>
        <v/>
      </c>
      <c r="X12">
        <f>HYPERLINK("https://klasma.github.io/Logging_0513/tillsyn/A 37669-2025 tillsynsbegäran.docx", "A 37669-2025")</f>
        <v/>
      </c>
      <c r="Y12">
        <f>HYPERLINK("https://klasma.github.io/Logging_0513/tillsynsmail/A 37669-2025 tillsynsbegäran mail.docx", "A 37669-2025")</f>
        <v/>
      </c>
    </row>
    <row r="13" ht="15" customHeight="1">
      <c r="A13" t="inlineStr">
        <is>
          <t>A 36938-2023</t>
        </is>
      </c>
      <c r="B13" s="1" t="n">
        <v>45154.71289351852</v>
      </c>
      <c r="C13" s="1" t="n">
        <v>46139</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41583-2025</t>
        </is>
      </c>
      <c r="B14" s="1" t="n">
        <v>45901.62307870371</v>
      </c>
      <c r="C14" s="1" t="n">
        <v>46139</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46139</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46139</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46139</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3474-2023</t>
        </is>
      </c>
      <c r="B18" s="1" t="n">
        <v>44949</v>
      </c>
      <c r="C18" s="1" t="n">
        <v>46139</v>
      </c>
      <c r="D18" t="inlineStr">
        <is>
          <t>ÖSTERGÖTLANDS LÄN</t>
        </is>
      </c>
      <c r="E18" t="inlineStr">
        <is>
          <t>KINDA</t>
        </is>
      </c>
      <c r="G18" t="n">
        <v>2.5</v>
      </c>
      <c r="H18" t="n">
        <v>2</v>
      </c>
      <c r="I18" t="n">
        <v>1</v>
      </c>
      <c r="J18" t="n">
        <v>0</v>
      </c>
      <c r="K18" t="n">
        <v>1</v>
      </c>
      <c r="L18" t="n">
        <v>0</v>
      </c>
      <c r="M18" t="n">
        <v>0</v>
      </c>
      <c r="N18" t="n">
        <v>0</v>
      </c>
      <c r="O18" t="n">
        <v>1</v>
      </c>
      <c r="P18" t="n">
        <v>1</v>
      </c>
      <c r="Q18" t="n">
        <v>3</v>
      </c>
      <c r="R18" s="2" t="inlineStr">
        <is>
          <t>Knärot
Blåmossa
Blåsippa</t>
        </is>
      </c>
      <c r="S18">
        <f>HYPERLINK("https://klasma.github.io/Logging_0513/artfynd/A 3474-2023 artfynd.xlsx", "A 3474-2023")</f>
        <v/>
      </c>
      <c r="T18">
        <f>HYPERLINK("https://klasma.github.io/Logging_0513/kartor/A 3474-2023 karta.png", "A 3474-2023")</f>
        <v/>
      </c>
      <c r="U18">
        <f>HYPERLINK("https://klasma.github.io/Logging_0513/knärot/A 3474-2023 karta knärot.png", "A 3474-2023")</f>
        <v/>
      </c>
      <c r="V18">
        <f>HYPERLINK("https://klasma.github.io/Logging_0513/klagomål/A 3474-2023 FSC-klagomål.docx", "A 3474-2023")</f>
        <v/>
      </c>
      <c r="W18">
        <f>HYPERLINK("https://klasma.github.io/Logging_0513/klagomålsmail/A 3474-2023 FSC-klagomål mail.docx", "A 3474-2023")</f>
        <v/>
      </c>
      <c r="X18">
        <f>HYPERLINK("https://klasma.github.io/Logging_0513/tillsyn/A 3474-2023 tillsynsbegäran.docx", "A 3474-2023")</f>
        <v/>
      </c>
      <c r="Y18">
        <f>HYPERLINK("https://klasma.github.io/Logging_0513/tillsynsmail/A 3474-2023 tillsynsbegäran mail.docx", "A 3474-2023")</f>
        <v/>
      </c>
    </row>
    <row r="19" ht="15" customHeight="1">
      <c r="A19" t="inlineStr">
        <is>
          <t>A 11477-2025</t>
        </is>
      </c>
      <c r="B19" s="1" t="n">
        <v>45726.67396990741</v>
      </c>
      <c r="C19" s="1" t="n">
        <v>46139</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8356-2026</t>
        </is>
      </c>
      <c r="B20" s="1" t="n">
        <v>46064.65232638889</v>
      </c>
      <c r="C20" s="1" t="n">
        <v>46139</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27667-2022</t>
        </is>
      </c>
      <c r="B21" s="1" t="n">
        <v>44743.39091435185</v>
      </c>
      <c r="C21" s="1" t="n">
        <v>46139</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48628-2023</t>
        </is>
      </c>
      <c r="B22" s="1" t="n">
        <v>45208</v>
      </c>
      <c r="C22" s="1" t="n">
        <v>46139</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878-2024</t>
        </is>
      </c>
      <c r="B23" s="1" t="n">
        <v>45301</v>
      </c>
      <c r="C23" s="1" t="n">
        <v>46139</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22006-2025</t>
        </is>
      </c>
      <c r="B24" s="1" t="n">
        <v>45784.71938657408</v>
      </c>
      <c r="C24" s="1" t="n">
        <v>46139</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53708-2025</t>
        </is>
      </c>
      <c r="B25" s="1" t="n">
        <v>45960.61328703703</v>
      </c>
      <c r="C25" s="1" t="n">
        <v>46139</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5588-2025</t>
        </is>
      </c>
      <c r="B26" s="1" t="n">
        <v>45693.56063657408</v>
      </c>
      <c r="C26" s="1" t="n">
        <v>46139</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46139</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46139</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54673-2023</t>
        </is>
      </c>
      <c r="B29" s="1" t="n">
        <v>45235</v>
      </c>
      <c r="C29" s="1" t="n">
        <v>46139</v>
      </c>
      <c r="D29" t="inlineStr">
        <is>
          <t>ÖSTERGÖTLANDS LÄN</t>
        </is>
      </c>
      <c r="E29" t="inlineStr">
        <is>
          <t>KINDA</t>
        </is>
      </c>
      <c r="G29" t="n">
        <v>2.7</v>
      </c>
      <c r="H29" t="n">
        <v>0</v>
      </c>
      <c r="I29" t="n">
        <v>2</v>
      </c>
      <c r="J29" t="n">
        <v>0</v>
      </c>
      <c r="K29" t="n">
        <v>0</v>
      </c>
      <c r="L29" t="n">
        <v>0</v>
      </c>
      <c r="M29" t="n">
        <v>0</v>
      </c>
      <c r="N29" t="n">
        <v>0</v>
      </c>
      <c r="O29" t="n">
        <v>0</v>
      </c>
      <c r="P29" t="n">
        <v>0</v>
      </c>
      <c r="Q29" t="n">
        <v>2</v>
      </c>
      <c r="R29" s="2" t="inlineStr">
        <is>
          <t>Hasselticka
Sårläka</t>
        </is>
      </c>
      <c r="S29">
        <f>HYPERLINK("https://klasma.github.io/Logging_0513/artfynd/A 54673-2023 artfynd.xlsx", "A 54673-2023")</f>
        <v/>
      </c>
      <c r="T29">
        <f>HYPERLINK("https://klasma.github.io/Logging_0513/kartor/A 54673-2023 karta.png", "A 54673-2023")</f>
        <v/>
      </c>
      <c r="V29">
        <f>HYPERLINK("https://klasma.github.io/Logging_0513/klagomål/A 54673-2023 FSC-klagomål.docx", "A 54673-2023")</f>
        <v/>
      </c>
      <c r="W29">
        <f>HYPERLINK("https://klasma.github.io/Logging_0513/klagomålsmail/A 54673-2023 FSC-klagomål mail.docx", "A 54673-2023")</f>
        <v/>
      </c>
      <c r="X29">
        <f>HYPERLINK("https://klasma.github.io/Logging_0513/tillsyn/A 54673-2023 tillsynsbegäran.docx", "A 54673-2023")</f>
        <v/>
      </c>
      <c r="Y29">
        <f>HYPERLINK("https://klasma.github.io/Logging_0513/tillsynsmail/A 54673-2023 tillsynsbegäran mail.docx", "A 54673-2023")</f>
        <v/>
      </c>
    </row>
    <row r="30" ht="15" customHeight="1">
      <c r="A30" t="inlineStr">
        <is>
          <t>A 6298-2025</t>
        </is>
      </c>
      <c r="B30" s="1" t="n">
        <v>45698.67474537037</v>
      </c>
      <c r="C30" s="1" t="n">
        <v>46139</v>
      </c>
      <c r="D30" t="inlineStr">
        <is>
          <t>ÖSTERGÖTLANDS LÄN</t>
        </is>
      </c>
      <c r="E30" t="inlineStr">
        <is>
          <t>KINDA</t>
        </is>
      </c>
      <c r="G30" t="n">
        <v>1.5</v>
      </c>
      <c r="H30" t="n">
        <v>0</v>
      </c>
      <c r="I30" t="n">
        <v>1</v>
      </c>
      <c r="J30" t="n">
        <v>1</v>
      </c>
      <c r="K30" t="n">
        <v>0</v>
      </c>
      <c r="L30" t="n">
        <v>0</v>
      </c>
      <c r="M30" t="n">
        <v>0</v>
      </c>
      <c r="N30" t="n">
        <v>0</v>
      </c>
      <c r="O30" t="n">
        <v>1</v>
      </c>
      <c r="P30" t="n">
        <v>0</v>
      </c>
      <c r="Q30" t="n">
        <v>2</v>
      </c>
      <c r="R30" s="2" t="inlineStr">
        <is>
          <t>Vedtrappmossa
Bronshjon</t>
        </is>
      </c>
      <c r="S30">
        <f>HYPERLINK("https://klasma.github.io/Logging_0513/artfynd/A 6298-2025 artfynd.xlsx", "A 6298-2025")</f>
        <v/>
      </c>
      <c r="T30">
        <f>HYPERLINK("https://klasma.github.io/Logging_0513/kartor/A 6298-2025 karta.png", "A 6298-2025")</f>
        <v/>
      </c>
      <c r="V30">
        <f>HYPERLINK("https://klasma.github.io/Logging_0513/klagomål/A 6298-2025 FSC-klagomål.docx", "A 6298-2025")</f>
        <v/>
      </c>
      <c r="W30">
        <f>HYPERLINK("https://klasma.github.io/Logging_0513/klagomålsmail/A 6298-2025 FSC-klagomål mail.docx", "A 6298-2025")</f>
        <v/>
      </c>
      <c r="X30">
        <f>HYPERLINK("https://klasma.github.io/Logging_0513/tillsyn/A 6298-2025 tillsynsbegäran.docx", "A 6298-2025")</f>
        <v/>
      </c>
      <c r="Y30">
        <f>HYPERLINK("https://klasma.github.io/Logging_0513/tillsynsmail/A 6298-2025 tillsynsbegäran mail.docx", "A 6298-2025")</f>
        <v/>
      </c>
    </row>
    <row r="31" ht="15" customHeight="1">
      <c r="A31" t="inlineStr">
        <is>
          <t>A 46154-2023</t>
        </is>
      </c>
      <c r="B31" s="1" t="n">
        <v>45196</v>
      </c>
      <c r="C31" s="1" t="n">
        <v>46139</v>
      </c>
      <c r="D31" t="inlineStr">
        <is>
          <t>ÖSTERGÖTLANDS LÄN</t>
        </is>
      </c>
      <c r="E31" t="inlineStr">
        <is>
          <t>KINDA</t>
        </is>
      </c>
      <c r="G31" t="n">
        <v>6.6</v>
      </c>
      <c r="H31" t="n">
        <v>1</v>
      </c>
      <c r="I31" t="n">
        <v>2</v>
      </c>
      <c r="J31" t="n">
        <v>0</v>
      </c>
      <c r="K31" t="n">
        <v>0</v>
      </c>
      <c r="L31" t="n">
        <v>0</v>
      </c>
      <c r="M31" t="n">
        <v>0</v>
      </c>
      <c r="N31" t="n">
        <v>0</v>
      </c>
      <c r="O31" t="n">
        <v>0</v>
      </c>
      <c r="P31" t="n">
        <v>0</v>
      </c>
      <c r="Q31" t="n">
        <v>2</v>
      </c>
      <c r="R31" s="2" t="inlineStr">
        <is>
          <t>Dvärgkällmossa
Grön sköldmossa</t>
        </is>
      </c>
      <c r="S31">
        <f>HYPERLINK("https://klasma.github.io/Logging_0513/artfynd/A 46154-2023 artfynd.xlsx", "A 46154-2023")</f>
        <v/>
      </c>
      <c r="T31">
        <f>HYPERLINK("https://klasma.github.io/Logging_0513/kartor/A 46154-2023 karta.png", "A 46154-2023")</f>
        <v/>
      </c>
      <c r="V31">
        <f>HYPERLINK("https://klasma.github.io/Logging_0513/klagomål/A 46154-2023 FSC-klagomål.docx", "A 46154-2023")</f>
        <v/>
      </c>
      <c r="W31">
        <f>HYPERLINK("https://klasma.github.io/Logging_0513/klagomålsmail/A 46154-2023 FSC-klagomål mail.docx", "A 46154-2023")</f>
        <v/>
      </c>
      <c r="X31">
        <f>HYPERLINK("https://klasma.github.io/Logging_0513/tillsyn/A 46154-2023 tillsynsbegäran.docx", "A 46154-2023")</f>
        <v/>
      </c>
      <c r="Y31">
        <f>HYPERLINK("https://klasma.github.io/Logging_0513/tillsynsmail/A 46154-2023 tillsynsbegäran mail.docx", "A 46154-2023")</f>
        <v/>
      </c>
    </row>
    <row r="32" ht="15" customHeight="1">
      <c r="A32" t="inlineStr">
        <is>
          <t>A 29627-2022</t>
        </is>
      </c>
      <c r="B32" s="1" t="n">
        <v>44754</v>
      </c>
      <c r="C32" s="1" t="n">
        <v>46139</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46139</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46139</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46139</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67789-2021</t>
        </is>
      </c>
      <c r="B36" s="1" t="n">
        <v>44525</v>
      </c>
      <c r="C36" s="1" t="n">
        <v>46139</v>
      </c>
      <c r="D36" t="inlineStr">
        <is>
          <t>ÖSTERGÖTLANDS LÄN</t>
        </is>
      </c>
      <c r="E36" t="inlineStr">
        <is>
          <t>KINDA</t>
        </is>
      </c>
      <c r="G36" t="n">
        <v>19.4</v>
      </c>
      <c r="H36" t="n">
        <v>1</v>
      </c>
      <c r="I36" t="n">
        <v>0</v>
      </c>
      <c r="J36" t="n">
        <v>1</v>
      </c>
      <c r="K36" t="n">
        <v>0</v>
      </c>
      <c r="L36" t="n">
        <v>0</v>
      </c>
      <c r="M36" t="n">
        <v>0</v>
      </c>
      <c r="N36" t="n">
        <v>0</v>
      </c>
      <c r="O36" t="n">
        <v>1</v>
      </c>
      <c r="P36" t="n">
        <v>0</v>
      </c>
      <c r="Q36" t="n">
        <v>1</v>
      </c>
      <c r="R36" s="2" t="inlineStr">
        <is>
          <t>Havsörn</t>
        </is>
      </c>
      <c r="S36">
        <f>HYPERLINK("https://klasma.github.io/Logging_0513/artfynd/A 67789-2021 artfynd.xlsx", "A 67789-2021")</f>
        <v/>
      </c>
      <c r="T36">
        <f>HYPERLINK("https://klasma.github.io/Logging_0513/kartor/A 67789-2021 karta.png", "A 67789-2021")</f>
        <v/>
      </c>
      <c r="V36">
        <f>HYPERLINK("https://klasma.github.io/Logging_0513/klagomål/A 67789-2021 FSC-klagomål.docx", "A 67789-2021")</f>
        <v/>
      </c>
      <c r="W36">
        <f>HYPERLINK("https://klasma.github.io/Logging_0513/klagomålsmail/A 67789-2021 FSC-klagomål mail.docx", "A 67789-2021")</f>
        <v/>
      </c>
      <c r="X36">
        <f>HYPERLINK("https://klasma.github.io/Logging_0513/tillsyn/A 67789-2021 tillsynsbegäran.docx", "A 67789-2021")</f>
        <v/>
      </c>
      <c r="Y36">
        <f>HYPERLINK("https://klasma.github.io/Logging_0513/tillsynsmail/A 67789-2021 tillsynsbegäran mail.docx", "A 67789-2021")</f>
        <v/>
      </c>
      <c r="Z36">
        <f>HYPERLINK("https://klasma.github.io/Logging_0513/fåglar/A 67789-2021 prioriterade fågelarter.docx", "A 67789-2021")</f>
        <v/>
      </c>
    </row>
    <row r="37" ht="15" customHeight="1">
      <c r="A37" t="inlineStr">
        <is>
          <t>A 40100-2021</t>
        </is>
      </c>
      <c r="B37" s="1" t="n">
        <v>44418</v>
      </c>
      <c r="C37" s="1" t="n">
        <v>46139</v>
      </c>
      <c r="D37" t="inlineStr">
        <is>
          <t>ÖSTERGÖTLANDS LÄN</t>
        </is>
      </c>
      <c r="E37" t="inlineStr">
        <is>
          <t>KINDA</t>
        </is>
      </c>
      <c r="G37" t="n">
        <v>0.6</v>
      </c>
      <c r="H37" t="n">
        <v>0</v>
      </c>
      <c r="I37" t="n">
        <v>1</v>
      </c>
      <c r="J37" t="n">
        <v>0</v>
      </c>
      <c r="K37" t="n">
        <v>0</v>
      </c>
      <c r="L37" t="n">
        <v>0</v>
      </c>
      <c r="M37" t="n">
        <v>0</v>
      </c>
      <c r="N37" t="n">
        <v>0</v>
      </c>
      <c r="O37" t="n">
        <v>0</v>
      </c>
      <c r="P37" t="n">
        <v>0</v>
      </c>
      <c r="Q37" t="n">
        <v>1</v>
      </c>
      <c r="R37" s="2" t="inlineStr">
        <is>
          <t>Grönpyrola</t>
        </is>
      </c>
      <c r="S37">
        <f>HYPERLINK("https://klasma.github.io/Logging_0513/artfynd/A 40100-2021 artfynd.xlsx", "A 40100-2021")</f>
        <v/>
      </c>
      <c r="T37">
        <f>HYPERLINK("https://klasma.github.io/Logging_0513/kartor/A 40100-2021 karta.png", "A 40100-2021")</f>
        <v/>
      </c>
      <c r="V37">
        <f>HYPERLINK("https://klasma.github.io/Logging_0513/klagomål/A 40100-2021 FSC-klagomål.docx", "A 40100-2021")</f>
        <v/>
      </c>
      <c r="W37">
        <f>HYPERLINK("https://klasma.github.io/Logging_0513/klagomålsmail/A 40100-2021 FSC-klagomål mail.docx", "A 40100-2021")</f>
        <v/>
      </c>
      <c r="X37">
        <f>HYPERLINK("https://klasma.github.io/Logging_0513/tillsyn/A 40100-2021 tillsynsbegäran.docx", "A 40100-2021")</f>
        <v/>
      </c>
      <c r="Y37">
        <f>HYPERLINK("https://klasma.github.io/Logging_0513/tillsynsmail/A 40100-2021 tillsynsbegäran mail.docx", "A 40100-2021")</f>
        <v/>
      </c>
    </row>
    <row r="38" ht="15" customHeight="1">
      <c r="A38" t="inlineStr">
        <is>
          <t>A 46145-2023</t>
        </is>
      </c>
      <c r="B38" s="1" t="n">
        <v>45196.57292824074</v>
      </c>
      <c r="C38" s="1" t="n">
        <v>46139</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33003-2024</t>
        </is>
      </c>
      <c r="B39" s="1" t="n">
        <v>45517</v>
      </c>
      <c r="C39" s="1" t="n">
        <v>46139</v>
      </c>
      <c r="D39" t="inlineStr">
        <is>
          <t>ÖSTERGÖTLANDS LÄN</t>
        </is>
      </c>
      <c r="E39" t="inlineStr">
        <is>
          <t>KINDA</t>
        </is>
      </c>
      <c r="G39" t="n">
        <v>2.4</v>
      </c>
      <c r="H39" t="n">
        <v>1</v>
      </c>
      <c r="I39" t="n">
        <v>0</v>
      </c>
      <c r="J39" t="n">
        <v>1</v>
      </c>
      <c r="K39" t="n">
        <v>0</v>
      </c>
      <c r="L39" t="n">
        <v>0</v>
      </c>
      <c r="M39" t="n">
        <v>0</v>
      </c>
      <c r="N39" t="n">
        <v>0</v>
      </c>
      <c r="O39" t="n">
        <v>1</v>
      </c>
      <c r="P39" t="n">
        <v>0</v>
      </c>
      <c r="Q39" t="n">
        <v>1</v>
      </c>
      <c r="R39" s="2" t="inlineStr">
        <is>
          <t>Sävsparv</t>
        </is>
      </c>
      <c r="S39">
        <f>HYPERLINK("https://klasma.github.io/Logging_0513/artfynd/A 33003-2024 artfynd.xlsx", "A 33003-2024")</f>
        <v/>
      </c>
      <c r="T39">
        <f>HYPERLINK("https://klasma.github.io/Logging_0513/kartor/A 33003-2024 karta.png", "A 33003-2024")</f>
        <v/>
      </c>
      <c r="V39">
        <f>HYPERLINK("https://klasma.github.io/Logging_0513/klagomål/A 33003-2024 FSC-klagomål.docx", "A 33003-2024")</f>
        <v/>
      </c>
      <c r="W39">
        <f>HYPERLINK("https://klasma.github.io/Logging_0513/klagomålsmail/A 33003-2024 FSC-klagomål mail.docx", "A 33003-2024")</f>
        <v/>
      </c>
      <c r="X39">
        <f>HYPERLINK("https://klasma.github.io/Logging_0513/tillsyn/A 33003-2024 tillsynsbegäran.docx", "A 33003-2024")</f>
        <v/>
      </c>
      <c r="Y39">
        <f>HYPERLINK("https://klasma.github.io/Logging_0513/tillsynsmail/A 33003-2024 tillsynsbegäran mail.docx", "A 33003-2024")</f>
        <v/>
      </c>
      <c r="Z39">
        <f>HYPERLINK("https://klasma.github.io/Logging_0513/fåglar/A 33003-2024 prioriterade fågelarter.docx", "A 33003-2024")</f>
        <v/>
      </c>
    </row>
    <row r="40" ht="15" customHeight="1">
      <c r="A40" t="inlineStr">
        <is>
          <t>A 57456-2021</t>
        </is>
      </c>
      <c r="B40" s="1" t="n">
        <v>44483</v>
      </c>
      <c r="C40" s="1" t="n">
        <v>46139</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29509-2024</t>
        </is>
      </c>
      <c r="B41" s="1" t="n">
        <v>45484</v>
      </c>
      <c r="C41" s="1" t="n">
        <v>46139</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54872-2022</t>
        </is>
      </c>
      <c r="B42" s="1" t="n">
        <v>44886</v>
      </c>
      <c r="C42" s="1" t="n">
        <v>46139</v>
      </c>
      <c r="D42" t="inlineStr">
        <is>
          <t>ÖSTERGÖTLANDS LÄN</t>
        </is>
      </c>
      <c r="E42" t="inlineStr">
        <is>
          <t>KINDA</t>
        </is>
      </c>
      <c r="G42" t="n">
        <v>1.1</v>
      </c>
      <c r="H42" t="n">
        <v>1</v>
      </c>
      <c r="I42" t="n">
        <v>0</v>
      </c>
      <c r="J42" t="n">
        <v>0</v>
      </c>
      <c r="K42" t="n">
        <v>0</v>
      </c>
      <c r="L42" t="n">
        <v>0</v>
      </c>
      <c r="M42" t="n">
        <v>0</v>
      </c>
      <c r="N42" t="n">
        <v>0</v>
      </c>
      <c r="O42" t="n">
        <v>0</v>
      </c>
      <c r="P42" t="n">
        <v>0</v>
      </c>
      <c r="Q42" t="n">
        <v>1</v>
      </c>
      <c r="R42" s="2" t="inlineStr">
        <is>
          <t>Tjäder</t>
        </is>
      </c>
      <c r="S42">
        <f>HYPERLINK("https://klasma.github.io/Logging_0513/artfynd/A 54872-2022 artfynd.xlsx", "A 54872-2022")</f>
        <v/>
      </c>
      <c r="T42">
        <f>HYPERLINK("https://klasma.github.io/Logging_0513/kartor/A 54872-2022 karta.png", "A 54872-2022")</f>
        <v/>
      </c>
      <c r="V42">
        <f>HYPERLINK("https://klasma.github.io/Logging_0513/klagomål/A 54872-2022 FSC-klagomål.docx", "A 54872-2022")</f>
        <v/>
      </c>
      <c r="W42">
        <f>HYPERLINK("https://klasma.github.io/Logging_0513/klagomålsmail/A 54872-2022 FSC-klagomål mail.docx", "A 54872-2022")</f>
        <v/>
      </c>
      <c r="X42">
        <f>HYPERLINK("https://klasma.github.io/Logging_0513/tillsyn/A 54872-2022 tillsynsbegäran.docx", "A 54872-2022")</f>
        <v/>
      </c>
      <c r="Y42">
        <f>HYPERLINK("https://klasma.github.io/Logging_0513/tillsynsmail/A 54872-2022 tillsynsbegäran mail.docx", "A 54872-2022")</f>
        <v/>
      </c>
      <c r="Z42">
        <f>HYPERLINK("https://klasma.github.io/Logging_0513/fåglar/A 54872-2022 prioriterade fågelarter.docx", "A 54872-2022")</f>
        <v/>
      </c>
    </row>
    <row r="43" ht="15" customHeight="1">
      <c r="A43" t="inlineStr">
        <is>
          <t>A 31824-2025</t>
        </is>
      </c>
      <c r="B43" s="1" t="n">
        <v>45834.58208333333</v>
      </c>
      <c r="C43" s="1" t="n">
        <v>46139</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19360-2023</t>
        </is>
      </c>
      <c r="B44" s="1" t="n">
        <v>45049</v>
      </c>
      <c r="C44" s="1" t="n">
        <v>46139</v>
      </c>
      <c r="D44" t="inlineStr">
        <is>
          <t>ÖSTERGÖTLANDS LÄN</t>
        </is>
      </c>
      <c r="E44" t="inlineStr">
        <is>
          <t>KINDA</t>
        </is>
      </c>
      <c r="G44" t="n">
        <v>5.8</v>
      </c>
      <c r="H44" t="n">
        <v>0</v>
      </c>
      <c r="I44" t="n">
        <v>1</v>
      </c>
      <c r="J44" t="n">
        <v>0</v>
      </c>
      <c r="K44" t="n">
        <v>0</v>
      </c>
      <c r="L44" t="n">
        <v>0</v>
      </c>
      <c r="M44" t="n">
        <v>0</v>
      </c>
      <c r="N44" t="n">
        <v>0</v>
      </c>
      <c r="O44" t="n">
        <v>0</v>
      </c>
      <c r="P44" t="n">
        <v>0</v>
      </c>
      <c r="Q44" t="n">
        <v>1</v>
      </c>
      <c r="R44" s="2" t="inlineStr">
        <is>
          <t>Sårläka</t>
        </is>
      </c>
      <c r="S44">
        <f>HYPERLINK("https://klasma.github.io/Logging_0513/artfynd/A 19360-2023 artfynd.xlsx", "A 19360-2023")</f>
        <v/>
      </c>
      <c r="T44">
        <f>HYPERLINK("https://klasma.github.io/Logging_0513/kartor/A 19360-2023 karta.png", "A 19360-2023")</f>
        <v/>
      </c>
      <c r="V44">
        <f>HYPERLINK("https://klasma.github.io/Logging_0513/klagomål/A 19360-2023 FSC-klagomål.docx", "A 19360-2023")</f>
        <v/>
      </c>
      <c r="W44">
        <f>HYPERLINK("https://klasma.github.io/Logging_0513/klagomålsmail/A 19360-2023 FSC-klagomål mail.docx", "A 19360-2023")</f>
        <v/>
      </c>
      <c r="X44">
        <f>HYPERLINK("https://klasma.github.io/Logging_0513/tillsyn/A 19360-2023 tillsynsbegäran.docx", "A 19360-2023")</f>
        <v/>
      </c>
      <c r="Y44">
        <f>HYPERLINK("https://klasma.github.io/Logging_0513/tillsynsmail/A 19360-2023 tillsynsbegäran mail.docx", "A 19360-2023")</f>
        <v/>
      </c>
    </row>
    <row r="45" ht="15" customHeight="1">
      <c r="A45" t="inlineStr">
        <is>
          <t>A 40463-2021</t>
        </is>
      </c>
      <c r="B45" s="1" t="n">
        <v>44419</v>
      </c>
      <c r="C45" s="1" t="n">
        <v>46139</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25288-2021</t>
        </is>
      </c>
      <c r="B46" s="1" t="n">
        <v>44342</v>
      </c>
      <c r="C46" s="1" t="n">
        <v>46139</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25288-2021 artfynd.xlsx", "A 25288-2021")</f>
        <v/>
      </c>
      <c r="T46">
        <f>HYPERLINK("https://klasma.github.io/Logging_0513/kartor/A 25288-2021 karta.png", "A 25288-2021")</f>
        <v/>
      </c>
      <c r="V46">
        <f>HYPERLINK("https://klasma.github.io/Logging_0513/klagomål/A 25288-2021 FSC-klagomål.docx", "A 25288-2021")</f>
        <v/>
      </c>
      <c r="W46">
        <f>HYPERLINK("https://klasma.github.io/Logging_0513/klagomålsmail/A 25288-2021 FSC-klagomål mail.docx", "A 25288-2021")</f>
        <v/>
      </c>
      <c r="X46">
        <f>HYPERLINK("https://klasma.github.io/Logging_0513/tillsyn/A 25288-2021 tillsynsbegäran.docx", "A 25288-2021")</f>
        <v/>
      </c>
      <c r="Y46">
        <f>HYPERLINK("https://klasma.github.io/Logging_0513/tillsynsmail/A 25288-2021 tillsynsbegäran mail.docx", "A 25288-2021")</f>
        <v/>
      </c>
    </row>
    <row r="47" ht="15" customHeight="1">
      <c r="A47" t="inlineStr">
        <is>
          <t>A 3378-2024</t>
        </is>
      </c>
      <c r="B47" s="1" t="n">
        <v>45317</v>
      </c>
      <c r="C47" s="1" t="n">
        <v>46139</v>
      </c>
      <c r="D47" t="inlineStr">
        <is>
          <t>ÖSTERGÖTLANDS LÄN</t>
        </is>
      </c>
      <c r="E47" t="inlineStr">
        <is>
          <t>KINDA</t>
        </is>
      </c>
      <c r="G47" t="n">
        <v>4.7</v>
      </c>
      <c r="H47" t="n">
        <v>0</v>
      </c>
      <c r="I47" t="n">
        <v>1</v>
      </c>
      <c r="J47" t="n">
        <v>0</v>
      </c>
      <c r="K47" t="n">
        <v>0</v>
      </c>
      <c r="L47" t="n">
        <v>0</v>
      </c>
      <c r="M47" t="n">
        <v>0</v>
      </c>
      <c r="N47" t="n">
        <v>0</v>
      </c>
      <c r="O47" t="n">
        <v>0</v>
      </c>
      <c r="P47" t="n">
        <v>0</v>
      </c>
      <c r="Q47" t="n">
        <v>1</v>
      </c>
      <c r="R47" s="2" t="inlineStr">
        <is>
          <t>Stubbspretmossa</t>
        </is>
      </c>
      <c r="S47">
        <f>HYPERLINK("https://klasma.github.io/Logging_0513/artfynd/A 3378-2024 artfynd.xlsx", "A 3378-2024")</f>
        <v/>
      </c>
      <c r="T47">
        <f>HYPERLINK("https://klasma.github.io/Logging_0513/kartor/A 3378-2024 karta.png", "A 3378-2024")</f>
        <v/>
      </c>
      <c r="V47">
        <f>HYPERLINK("https://klasma.github.io/Logging_0513/klagomål/A 3378-2024 FSC-klagomål.docx", "A 3378-2024")</f>
        <v/>
      </c>
      <c r="W47">
        <f>HYPERLINK("https://klasma.github.io/Logging_0513/klagomålsmail/A 3378-2024 FSC-klagomål mail.docx", "A 3378-2024")</f>
        <v/>
      </c>
      <c r="X47">
        <f>HYPERLINK("https://klasma.github.io/Logging_0513/tillsyn/A 3378-2024 tillsynsbegäran.docx", "A 3378-2024")</f>
        <v/>
      </c>
      <c r="Y47">
        <f>HYPERLINK("https://klasma.github.io/Logging_0513/tillsynsmail/A 3378-2024 tillsynsbegäran mail.docx", "A 3378-2024")</f>
        <v/>
      </c>
    </row>
    <row r="48" ht="15" customHeight="1">
      <c r="A48" t="inlineStr">
        <is>
          <t>A 12170-2022</t>
        </is>
      </c>
      <c r="B48" s="1" t="n">
        <v>44636</v>
      </c>
      <c r="C48" s="1" t="n">
        <v>46139</v>
      </c>
      <c r="D48" t="inlineStr">
        <is>
          <t>ÖSTERGÖTLANDS LÄN</t>
        </is>
      </c>
      <c r="E48" t="inlineStr">
        <is>
          <t>KINDA</t>
        </is>
      </c>
      <c r="F48" t="inlineStr">
        <is>
          <t>Kommuner</t>
        </is>
      </c>
      <c r="G48" t="n">
        <v>1.2</v>
      </c>
      <c r="H48" t="n">
        <v>0</v>
      </c>
      <c r="I48" t="n">
        <v>0</v>
      </c>
      <c r="J48" t="n">
        <v>0</v>
      </c>
      <c r="K48" t="n">
        <v>0</v>
      </c>
      <c r="L48" t="n">
        <v>1</v>
      </c>
      <c r="M48" t="n">
        <v>0</v>
      </c>
      <c r="N48" t="n">
        <v>0</v>
      </c>
      <c r="O48" t="n">
        <v>1</v>
      </c>
      <c r="P48" t="n">
        <v>1</v>
      </c>
      <c r="Q48" t="n">
        <v>1</v>
      </c>
      <c r="R48" s="2" t="inlineStr">
        <is>
          <t>Ask</t>
        </is>
      </c>
      <c r="S48">
        <f>HYPERLINK("https://klasma.github.io/Logging_0513/artfynd/A 12170-2022 artfynd.xlsx", "A 12170-2022")</f>
        <v/>
      </c>
      <c r="T48">
        <f>HYPERLINK("https://klasma.github.io/Logging_0513/kartor/A 12170-2022 karta.png", "A 12170-2022")</f>
        <v/>
      </c>
      <c r="V48">
        <f>HYPERLINK("https://klasma.github.io/Logging_0513/klagomål/A 12170-2022 FSC-klagomål.docx", "A 12170-2022")</f>
        <v/>
      </c>
      <c r="W48">
        <f>HYPERLINK("https://klasma.github.io/Logging_0513/klagomålsmail/A 12170-2022 FSC-klagomål mail.docx", "A 12170-2022")</f>
        <v/>
      </c>
      <c r="X48">
        <f>HYPERLINK("https://klasma.github.io/Logging_0513/tillsyn/A 12170-2022 tillsynsbegäran.docx", "A 12170-2022")</f>
        <v/>
      </c>
      <c r="Y48">
        <f>HYPERLINK("https://klasma.github.io/Logging_0513/tillsynsmail/A 12170-2022 tillsynsbegäran mail.docx", "A 12170-2022")</f>
        <v/>
      </c>
    </row>
    <row r="49" ht="15" customHeight="1">
      <c r="A49" t="inlineStr">
        <is>
          <t>A 10020-2025</t>
        </is>
      </c>
      <c r="B49" s="1" t="n">
        <v>45719.48104166667</v>
      </c>
      <c r="C49" s="1" t="n">
        <v>46139</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46139</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46139</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46139</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52899-2025</t>
        </is>
      </c>
      <c r="B53" s="1" t="n">
        <v>45957.58908564815</v>
      </c>
      <c r="C53" s="1" t="n">
        <v>46139</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54475-2025</t>
        </is>
      </c>
      <c r="B54" s="1" t="n">
        <v>45965.57670138889</v>
      </c>
      <c r="C54" s="1" t="n">
        <v>46139</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33595-2025</t>
        </is>
      </c>
      <c r="B55" s="1" t="n">
        <v>45841.6012962963</v>
      </c>
      <c r="C55" s="1" t="n">
        <v>46139</v>
      </c>
      <c r="D55" t="inlineStr">
        <is>
          <t>ÖSTERGÖTLANDS LÄN</t>
        </is>
      </c>
      <c r="E55" t="inlineStr">
        <is>
          <t>KINDA</t>
        </is>
      </c>
      <c r="G55" t="n">
        <v>2.5</v>
      </c>
      <c r="H55" t="n">
        <v>1</v>
      </c>
      <c r="I55" t="n">
        <v>0</v>
      </c>
      <c r="J55" t="n">
        <v>0</v>
      </c>
      <c r="K55" t="n">
        <v>0</v>
      </c>
      <c r="L55" t="n">
        <v>0</v>
      </c>
      <c r="M55" t="n">
        <v>0</v>
      </c>
      <c r="N55" t="n">
        <v>0</v>
      </c>
      <c r="O55" t="n">
        <v>0</v>
      </c>
      <c r="P55" t="n">
        <v>0</v>
      </c>
      <c r="Q55" t="n">
        <v>1</v>
      </c>
      <c r="R55" s="2" t="inlineStr">
        <is>
          <t>Grönvit nattviol</t>
        </is>
      </c>
      <c r="S55">
        <f>HYPERLINK("https://klasma.github.io/Logging_0513/artfynd/A 33595-2025 artfynd.xlsx", "A 33595-2025")</f>
        <v/>
      </c>
      <c r="T55">
        <f>HYPERLINK("https://klasma.github.io/Logging_0513/kartor/A 33595-2025 karta.png", "A 33595-2025")</f>
        <v/>
      </c>
      <c r="V55">
        <f>HYPERLINK("https://klasma.github.io/Logging_0513/klagomål/A 33595-2025 FSC-klagomål.docx", "A 33595-2025")</f>
        <v/>
      </c>
      <c r="W55">
        <f>HYPERLINK("https://klasma.github.io/Logging_0513/klagomålsmail/A 33595-2025 FSC-klagomål mail.docx", "A 33595-2025")</f>
        <v/>
      </c>
      <c r="X55">
        <f>HYPERLINK("https://klasma.github.io/Logging_0513/tillsyn/A 33595-2025 tillsynsbegäran.docx", "A 33595-2025")</f>
        <v/>
      </c>
      <c r="Y55">
        <f>HYPERLINK("https://klasma.github.io/Logging_0513/tillsynsmail/A 33595-2025 tillsynsbegäran mail.docx", "A 33595-2025")</f>
        <v/>
      </c>
    </row>
    <row r="56" ht="15" customHeight="1">
      <c r="A56" t="inlineStr">
        <is>
          <t>A 24071-2025</t>
        </is>
      </c>
      <c r="B56" s="1" t="n">
        <v>45796.54400462963</v>
      </c>
      <c r="C56" s="1" t="n">
        <v>46139</v>
      </c>
      <c r="D56" t="inlineStr">
        <is>
          <t>ÖSTERGÖTLANDS LÄN</t>
        </is>
      </c>
      <c r="E56" t="inlineStr">
        <is>
          <t>KINDA</t>
        </is>
      </c>
      <c r="G56" t="n">
        <v>3.1</v>
      </c>
      <c r="H56" t="n">
        <v>0</v>
      </c>
      <c r="I56" t="n">
        <v>0</v>
      </c>
      <c r="J56" t="n">
        <v>0</v>
      </c>
      <c r="K56" t="n">
        <v>1</v>
      </c>
      <c r="L56" t="n">
        <v>0</v>
      </c>
      <c r="M56" t="n">
        <v>0</v>
      </c>
      <c r="N56" t="n">
        <v>0</v>
      </c>
      <c r="O56" t="n">
        <v>1</v>
      </c>
      <c r="P56" t="n">
        <v>1</v>
      </c>
      <c r="Q56" t="n">
        <v>1</v>
      </c>
      <c r="R56" s="2" t="inlineStr">
        <is>
          <t>Mörk ängsmaskros</t>
        </is>
      </c>
      <c r="S56">
        <f>HYPERLINK("https://klasma.github.io/Logging_0513/artfynd/A 24071-2025 artfynd.xlsx", "A 24071-2025")</f>
        <v/>
      </c>
      <c r="T56">
        <f>HYPERLINK("https://klasma.github.io/Logging_0513/kartor/A 24071-2025 karta.png", "A 24071-2025")</f>
        <v/>
      </c>
      <c r="V56">
        <f>HYPERLINK("https://klasma.github.io/Logging_0513/klagomål/A 24071-2025 FSC-klagomål.docx", "A 24071-2025")</f>
        <v/>
      </c>
      <c r="W56">
        <f>HYPERLINK("https://klasma.github.io/Logging_0513/klagomålsmail/A 24071-2025 FSC-klagomål mail.docx", "A 24071-2025")</f>
        <v/>
      </c>
      <c r="X56">
        <f>HYPERLINK("https://klasma.github.io/Logging_0513/tillsyn/A 24071-2025 tillsynsbegäran.docx", "A 24071-2025")</f>
        <v/>
      </c>
      <c r="Y56">
        <f>HYPERLINK("https://klasma.github.io/Logging_0513/tillsynsmail/A 24071-2025 tillsynsbegäran mail.docx", "A 24071-2025")</f>
        <v/>
      </c>
    </row>
    <row r="57" ht="15" customHeight="1">
      <c r="A57" t="inlineStr">
        <is>
          <t>A 58113-2025</t>
        </is>
      </c>
      <c r="B57" s="1" t="n">
        <v>45982.6</v>
      </c>
      <c r="C57" s="1" t="n">
        <v>46139</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57522-2024</t>
        </is>
      </c>
      <c r="B58" s="1" t="n">
        <v>45630.41168981481</v>
      </c>
      <c r="C58" s="1" t="n">
        <v>46139</v>
      </c>
      <c r="D58" t="inlineStr">
        <is>
          <t>ÖSTERGÖTLANDS LÄN</t>
        </is>
      </c>
      <c r="E58" t="inlineStr">
        <is>
          <t>KINDA</t>
        </is>
      </c>
      <c r="G58" t="n">
        <v>3.3</v>
      </c>
      <c r="H58" t="n">
        <v>0</v>
      </c>
      <c r="I58" t="n">
        <v>0</v>
      </c>
      <c r="J58" t="n">
        <v>1</v>
      </c>
      <c r="K58" t="n">
        <v>0</v>
      </c>
      <c r="L58" t="n">
        <v>0</v>
      </c>
      <c r="M58" t="n">
        <v>0</v>
      </c>
      <c r="N58" t="n">
        <v>0</v>
      </c>
      <c r="O58" t="n">
        <v>1</v>
      </c>
      <c r="P58" t="n">
        <v>0</v>
      </c>
      <c r="Q58" t="n">
        <v>1</v>
      </c>
      <c r="R58" s="2" t="inlineStr">
        <is>
          <t>Vedskivlav</t>
        </is>
      </c>
      <c r="S58">
        <f>HYPERLINK("https://klasma.github.io/Logging_0513/artfynd/A 57522-2024 artfynd.xlsx", "A 57522-2024")</f>
        <v/>
      </c>
      <c r="T58">
        <f>HYPERLINK("https://klasma.github.io/Logging_0513/kartor/A 57522-2024 karta.png", "A 57522-2024")</f>
        <v/>
      </c>
      <c r="V58">
        <f>HYPERLINK("https://klasma.github.io/Logging_0513/klagomål/A 57522-2024 FSC-klagomål.docx", "A 57522-2024")</f>
        <v/>
      </c>
      <c r="W58">
        <f>HYPERLINK("https://klasma.github.io/Logging_0513/klagomålsmail/A 57522-2024 FSC-klagomål mail.docx", "A 57522-2024")</f>
        <v/>
      </c>
      <c r="X58">
        <f>HYPERLINK("https://klasma.github.io/Logging_0513/tillsyn/A 57522-2024 tillsynsbegäran.docx", "A 57522-2024")</f>
        <v/>
      </c>
      <c r="Y58">
        <f>HYPERLINK("https://klasma.github.io/Logging_0513/tillsynsmail/A 57522-2024 tillsynsbegäran mail.docx", "A 57522-2024")</f>
        <v/>
      </c>
    </row>
    <row r="59" ht="15" customHeight="1">
      <c r="A59" t="inlineStr">
        <is>
          <t>A 35863-2025</t>
        </is>
      </c>
      <c r="B59" s="1" t="n">
        <v>45861</v>
      </c>
      <c r="C59" s="1" t="n">
        <v>46139</v>
      </c>
      <c r="D59" t="inlineStr">
        <is>
          <t>ÖSTERGÖTLANDS LÄN</t>
        </is>
      </c>
      <c r="E59" t="inlineStr">
        <is>
          <t>KINDA</t>
        </is>
      </c>
      <c r="G59" t="n">
        <v>2.8</v>
      </c>
      <c r="H59" t="n">
        <v>0</v>
      </c>
      <c r="I59" t="n">
        <v>1</v>
      </c>
      <c r="J59" t="n">
        <v>0</v>
      </c>
      <c r="K59" t="n">
        <v>0</v>
      </c>
      <c r="L59" t="n">
        <v>0</v>
      </c>
      <c r="M59" t="n">
        <v>0</v>
      </c>
      <c r="N59" t="n">
        <v>0</v>
      </c>
      <c r="O59" t="n">
        <v>0</v>
      </c>
      <c r="P59" t="n">
        <v>0</v>
      </c>
      <c r="Q59" t="n">
        <v>1</v>
      </c>
      <c r="R59" s="2" t="inlineStr">
        <is>
          <t>Tibast</t>
        </is>
      </c>
      <c r="S59">
        <f>HYPERLINK("https://klasma.github.io/Logging_0513/artfynd/A 35863-2025 artfynd.xlsx", "A 35863-2025")</f>
        <v/>
      </c>
      <c r="T59">
        <f>HYPERLINK("https://klasma.github.io/Logging_0513/kartor/A 35863-2025 karta.png", "A 35863-2025")</f>
        <v/>
      </c>
      <c r="V59">
        <f>HYPERLINK("https://klasma.github.io/Logging_0513/klagomål/A 35863-2025 FSC-klagomål.docx", "A 35863-2025")</f>
        <v/>
      </c>
      <c r="W59">
        <f>HYPERLINK("https://klasma.github.io/Logging_0513/klagomålsmail/A 35863-2025 FSC-klagomål mail.docx", "A 35863-2025")</f>
        <v/>
      </c>
      <c r="X59">
        <f>HYPERLINK("https://klasma.github.io/Logging_0513/tillsyn/A 35863-2025 tillsynsbegäran.docx", "A 35863-2025")</f>
        <v/>
      </c>
      <c r="Y59">
        <f>HYPERLINK("https://klasma.github.io/Logging_0513/tillsynsmail/A 35863-2025 tillsynsbegäran mail.docx", "A 35863-2025")</f>
        <v/>
      </c>
    </row>
    <row r="60" ht="15" customHeight="1">
      <c r="A60" t="inlineStr">
        <is>
          <t>A 37058-2025</t>
        </is>
      </c>
      <c r="B60" s="1" t="n">
        <v>45875</v>
      </c>
      <c r="C60" s="1" t="n">
        <v>46139</v>
      </c>
      <c r="D60" t="inlineStr">
        <is>
          <t>ÖSTERGÖTLANDS LÄN</t>
        </is>
      </c>
      <c r="E60" t="inlineStr">
        <is>
          <t>KINDA</t>
        </is>
      </c>
      <c r="G60" t="n">
        <v>1.9</v>
      </c>
      <c r="H60" t="n">
        <v>0</v>
      </c>
      <c r="I60" t="n">
        <v>0</v>
      </c>
      <c r="J60" t="n">
        <v>1</v>
      </c>
      <c r="K60" t="n">
        <v>0</v>
      </c>
      <c r="L60" t="n">
        <v>0</v>
      </c>
      <c r="M60" t="n">
        <v>0</v>
      </c>
      <c r="N60" t="n">
        <v>0</v>
      </c>
      <c r="O60" t="n">
        <v>1</v>
      </c>
      <c r="P60" t="n">
        <v>0</v>
      </c>
      <c r="Q60" t="n">
        <v>1</v>
      </c>
      <c r="R60" s="2" t="inlineStr">
        <is>
          <t>Storgröe</t>
        </is>
      </c>
      <c r="S60">
        <f>HYPERLINK("https://klasma.github.io/Logging_0513/artfynd/A 37058-2025 artfynd.xlsx", "A 37058-2025")</f>
        <v/>
      </c>
      <c r="T60">
        <f>HYPERLINK("https://klasma.github.io/Logging_0513/kartor/A 37058-2025 karta.png", "A 37058-2025")</f>
        <v/>
      </c>
      <c r="V60">
        <f>HYPERLINK("https://klasma.github.io/Logging_0513/klagomål/A 37058-2025 FSC-klagomål.docx", "A 37058-2025")</f>
        <v/>
      </c>
      <c r="W60">
        <f>HYPERLINK("https://klasma.github.io/Logging_0513/klagomålsmail/A 37058-2025 FSC-klagomål mail.docx", "A 37058-2025")</f>
        <v/>
      </c>
      <c r="X60">
        <f>HYPERLINK("https://klasma.github.io/Logging_0513/tillsyn/A 37058-2025 tillsynsbegäran.docx", "A 37058-2025")</f>
        <v/>
      </c>
      <c r="Y60">
        <f>HYPERLINK("https://klasma.github.io/Logging_0513/tillsynsmail/A 37058-2025 tillsynsbegäran mail.docx", "A 37058-2025")</f>
        <v/>
      </c>
    </row>
    <row r="61" ht="15" customHeight="1">
      <c r="A61" t="inlineStr">
        <is>
          <t>A 61704-2025</t>
        </is>
      </c>
      <c r="B61" s="1" t="n">
        <v>46002.5483912037</v>
      </c>
      <c r="C61" s="1" t="n">
        <v>46139</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29514-2024</t>
        </is>
      </c>
      <c r="B62" s="1" t="n">
        <v>45484</v>
      </c>
      <c r="C62" s="1" t="n">
        <v>46139</v>
      </c>
      <c r="D62" t="inlineStr">
        <is>
          <t>ÖSTERGÖTLANDS LÄN</t>
        </is>
      </c>
      <c r="E62" t="inlineStr">
        <is>
          <t>KINDA</t>
        </is>
      </c>
      <c r="G62" t="n">
        <v>18.9</v>
      </c>
      <c r="H62" t="n">
        <v>0</v>
      </c>
      <c r="I62" t="n">
        <v>0</v>
      </c>
      <c r="J62" t="n">
        <v>1</v>
      </c>
      <c r="K62" t="n">
        <v>0</v>
      </c>
      <c r="L62" t="n">
        <v>0</v>
      </c>
      <c r="M62" t="n">
        <v>0</v>
      </c>
      <c r="N62" t="n">
        <v>0</v>
      </c>
      <c r="O62" t="n">
        <v>1</v>
      </c>
      <c r="P62" t="n">
        <v>0</v>
      </c>
      <c r="Q62" t="n">
        <v>1</v>
      </c>
      <c r="R62" s="2" t="inlineStr">
        <is>
          <t>Aspelandsfibbla</t>
        </is>
      </c>
      <c r="S62">
        <f>HYPERLINK("https://klasma.github.io/Logging_0513/artfynd/A 29514-2024 artfynd.xlsx", "A 29514-2024")</f>
        <v/>
      </c>
      <c r="T62">
        <f>HYPERLINK("https://klasma.github.io/Logging_0513/kartor/A 29514-2024 karta.png", "A 29514-2024")</f>
        <v/>
      </c>
      <c r="V62">
        <f>HYPERLINK("https://klasma.github.io/Logging_0513/klagomål/A 29514-2024 FSC-klagomål.docx", "A 29514-2024")</f>
        <v/>
      </c>
      <c r="W62">
        <f>HYPERLINK("https://klasma.github.io/Logging_0513/klagomålsmail/A 29514-2024 FSC-klagomål mail.docx", "A 29514-2024")</f>
        <v/>
      </c>
      <c r="X62">
        <f>HYPERLINK("https://klasma.github.io/Logging_0513/tillsyn/A 29514-2024 tillsynsbegäran.docx", "A 29514-2024")</f>
        <v/>
      </c>
      <c r="Y62">
        <f>HYPERLINK("https://klasma.github.io/Logging_0513/tillsynsmail/A 29514-2024 tillsynsbegäran mail.docx", "A 29514-2024")</f>
        <v/>
      </c>
    </row>
    <row r="63" ht="15" customHeight="1">
      <c r="A63" t="inlineStr">
        <is>
          <t>A 30255-2024</t>
        </is>
      </c>
      <c r="B63" s="1" t="n">
        <v>45490.56811342593</v>
      </c>
      <c r="C63" s="1" t="n">
        <v>46139</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7801-2022</t>
        </is>
      </c>
      <c r="B64" s="1" t="n">
        <v>44608.4999537037</v>
      </c>
      <c r="C64" s="1" t="n">
        <v>46139</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52631-2025</t>
        </is>
      </c>
      <c r="B65" s="1" t="n">
        <v>45954.71739583334</v>
      </c>
      <c r="C65" s="1" t="n">
        <v>46139</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60958-2022</t>
        </is>
      </c>
      <c r="B66" s="1" t="n">
        <v>44914.64768518518</v>
      </c>
      <c r="C66" s="1" t="n">
        <v>46139</v>
      </c>
      <c r="D66" t="inlineStr">
        <is>
          <t>ÖSTERGÖTLANDS LÄN</t>
        </is>
      </c>
      <c r="E66" t="inlineStr">
        <is>
          <t>KINDA</t>
        </is>
      </c>
      <c r="G66" t="n">
        <v>3.2</v>
      </c>
      <c r="H66" t="n">
        <v>0</v>
      </c>
      <c r="I66" t="n">
        <v>0</v>
      </c>
      <c r="J66" t="n">
        <v>0</v>
      </c>
      <c r="K66" t="n">
        <v>0</v>
      </c>
      <c r="L66" t="n">
        <v>1</v>
      </c>
      <c r="M66" t="n">
        <v>0</v>
      </c>
      <c r="N66" t="n">
        <v>0</v>
      </c>
      <c r="O66" t="n">
        <v>1</v>
      </c>
      <c r="P66" t="n">
        <v>1</v>
      </c>
      <c r="Q66" t="n">
        <v>1</v>
      </c>
      <c r="R66" s="2" t="inlineStr">
        <is>
          <t>Puckelmaskros</t>
        </is>
      </c>
      <c r="S66">
        <f>HYPERLINK("https://klasma.github.io/Logging_0513/artfynd/A 60958-2022 artfynd.xlsx", "A 60958-2022")</f>
        <v/>
      </c>
      <c r="T66">
        <f>HYPERLINK("https://klasma.github.io/Logging_0513/kartor/A 60958-2022 karta.png", "A 60958-2022")</f>
        <v/>
      </c>
      <c r="V66">
        <f>HYPERLINK("https://klasma.github.io/Logging_0513/klagomål/A 60958-2022 FSC-klagomål.docx", "A 60958-2022")</f>
        <v/>
      </c>
      <c r="W66">
        <f>HYPERLINK("https://klasma.github.io/Logging_0513/klagomålsmail/A 60958-2022 FSC-klagomål mail.docx", "A 60958-2022")</f>
        <v/>
      </c>
      <c r="X66">
        <f>HYPERLINK("https://klasma.github.io/Logging_0513/tillsyn/A 60958-2022 tillsynsbegäran.docx", "A 60958-2022")</f>
        <v/>
      </c>
      <c r="Y66">
        <f>HYPERLINK("https://klasma.github.io/Logging_0513/tillsynsmail/A 60958-2022 tillsynsbegäran mail.docx", "A 60958-2022")</f>
        <v/>
      </c>
    </row>
    <row r="67" ht="15" customHeight="1">
      <c r="A67" t="inlineStr">
        <is>
          <t>A 3417-2025</t>
        </is>
      </c>
      <c r="B67" s="1" t="n">
        <v>45680.41096064815</v>
      </c>
      <c r="C67" s="1" t="n">
        <v>46139</v>
      </c>
      <c r="D67" t="inlineStr">
        <is>
          <t>ÖSTERGÖTLANDS LÄN</t>
        </is>
      </c>
      <c r="E67" t="inlineStr">
        <is>
          <t>KINDA</t>
        </is>
      </c>
      <c r="G67" t="n">
        <v>1.1</v>
      </c>
      <c r="H67" t="n">
        <v>0</v>
      </c>
      <c r="I67" t="n">
        <v>1</v>
      </c>
      <c r="J67" t="n">
        <v>0</v>
      </c>
      <c r="K67" t="n">
        <v>0</v>
      </c>
      <c r="L67" t="n">
        <v>0</v>
      </c>
      <c r="M67" t="n">
        <v>0</v>
      </c>
      <c r="N67" t="n">
        <v>0</v>
      </c>
      <c r="O67" t="n">
        <v>0</v>
      </c>
      <c r="P67" t="n">
        <v>0</v>
      </c>
      <c r="Q67" t="n">
        <v>1</v>
      </c>
      <c r="R67" s="2" t="inlineStr">
        <is>
          <t>Svart trolldruva</t>
        </is>
      </c>
      <c r="S67">
        <f>HYPERLINK("https://klasma.github.io/Logging_0513/artfynd/A 3417-2025 artfynd.xlsx", "A 3417-2025")</f>
        <v/>
      </c>
      <c r="T67">
        <f>HYPERLINK("https://klasma.github.io/Logging_0513/kartor/A 3417-2025 karta.png", "A 3417-2025")</f>
        <v/>
      </c>
      <c r="V67">
        <f>HYPERLINK("https://klasma.github.io/Logging_0513/klagomål/A 3417-2025 FSC-klagomål.docx", "A 3417-2025")</f>
        <v/>
      </c>
      <c r="W67">
        <f>HYPERLINK("https://klasma.github.io/Logging_0513/klagomålsmail/A 3417-2025 FSC-klagomål mail.docx", "A 3417-2025")</f>
        <v/>
      </c>
      <c r="X67">
        <f>HYPERLINK("https://klasma.github.io/Logging_0513/tillsyn/A 3417-2025 tillsynsbegäran.docx", "A 3417-2025")</f>
        <v/>
      </c>
      <c r="Y67">
        <f>HYPERLINK("https://klasma.github.io/Logging_0513/tillsynsmail/A 3417-2025 tillsynsbegäran mail.docx", "A 3417-2025")</f>
        <v/>
      </c>
    </row>
    <row r="68" ht="15" customHeight="1">
      <c r="A68" t="inlineStr">
        <is>
          <t>A 12505-2026</t>
        </is>
      </c>
      <c r="B68" s="1" t="n">
        <v>46090.57803240741</v>
      </c>
      <c r="C68" s="1" t="n">
        <v>46139</v>
      </c>
      <c r="D68" t="inlineStr">
        <is>
          <t>ÖSTERGÖTLANDS LÄN</t>
        </is>
      </c>
      <c r="E68" t="inlineStr">
        <is>
          <t>KINDA</t>
        </is>
      </c>
      <c r="G68" t="n">
        <v>3.8</v>
      </c>
      <c r="H68" t="n">
        <v>0</v>
      </c>
      <c r="I68" t="n">
        <v>0</v>
      </c>
      <c r="J68" t="n">
        <v>0</v>
      </c>
      <c r="K68" t="n">
        <v>1</v>
      </c>
      <c r="L68" t="n">
        <v>0</v>
      </c>
      <c r="M68" t="n">
        <v>0</v>
      </c>
      <c r="N68" t="n">
        <v>0</v>
      </c>
      <c r="O68" t="n">
        <v>1</v>
      </c>
      <c r="P68" t="n">
        <v>1</v>
      </c>
      <c r="Q68" t="n">
        <v>1</v>
      </c>
      <c r="R68" s="2" t="inlineStr">
        <is>
          <t>Vesslefibbla</t>
        </is>
      </c>
      <c r="S68">
        <f>HYPERLINK("https://klasma.github.io/Logging_0513/artfynd/A 12505-2026 artfynd.xlsx", "A 12505-2026")</f>
        <v/>
      </c>
      <c r="T68">
        <f>HYPERLINK("https://klasma.github.io/Logging_0513/kartor/A 12505-2026 karta.png", "A 12505-2026")</f>
        <v/>
      </c>
      <c r="V68">
        <f>HYPERLINK("https://klasma.github.io/Logging_0513/klagomål/A 12505-2026 FSC-klagomål.docx", "A 12505-2026")</f>
        <v/>
      </c>
      <c r="W68">
        <f>HYPERLINK("https://klasma.github.io/Logging_0513/klagomålsmail/A 12505-2026 FSC-klagomål mail.docx", "A 12505-2026")</f>
        <v/>
      </c>
      <c r="X68">
        <f>HYPERLINK("https://klasma.github.io/Logging_0513/tillsyn/A 12505-2026 tillsynsbegäran.docx", "A 12505-2026")</f>
        <v/>
      </c>
      <c r="Y68">
        <f>HYPERLINK("https://klasma.github.io/Logging_0513/tillsynsmail/A 12505-2026 tillsynsbegäran mail.docx", "A 12505-2026")</f>
        <v/>
      </c>
    </row>
    <row r="69" ht="15" customHeight="1">
      <c r="A69" t="inlineStr">
        <is>
          <t>A 48448-2021</t>
        </is>
      </c>
      <c r="B69" s="1" t="n">
        <v>44452</v>
      </c>
      <c r="C69" s="1" t="n">
        <v>46139</v>
      </c>
      <c r="D69" t="inlineStr">
        <is>
          <t>ÖSTERGÖTLANDS LÄN</t>
        </is>
      </c>
      <c r="E69" t="inlineStr">
        <is>
          <t>KINDA</t>
        </is>
      </c>
      <c r="F69" t="inlineStr">
        <is>
          <t>Övriga Aktiebolag</t>
        </is>
      </c>
      <c r="G69" t="n">
        <v>4.1</v>
      </c>
      <c r="H69" t="n">
        <v>1</v>
      </c>
      <c r="I69" t="n">
        <v>0</v>
      </c>
      <c r="J69" t="n">
        <v>1</v>
      </c>
      <c r="K69" t="n">
        <v>0</v>
      </c>
      <c r="L69" t="n">
        <v>0</v>
      </c>
      <c r="M69" t="n">
        <v>0</v>
      </c>
      <c r="N69" t="n">
        <v>0</v>
      </c>
      <c r="O69" t="n">
        <v>1</v>
      </c>
      <c r="P69" t="n">
        <v>0</v>
      </c>
      <c r="Q69" t="n">
        <v>1</v>
      </c>
      <c r="R69" s="2" t="inlineStr">
        <is>
          <t>Talltita</t>
        </is>
      </c>
      <c r="S69">
        <f>HYPERLINK("https://klasma.github.io/Logging_0513/artfynd/A 48448-2021 artfynd.xlsx", "A 48448-2021")</f>
        <v/>
      </c>
      <c r="T69">
        <f>HYPERLINK("https://klasma.github.io/Logging_0513/kartor/A 48448-2021 karta.png", "A 48448-2021")</f>
        <v/>
      </c>
      <c r="V69">
        <f>HYPERLINK("https://klasma.github.io/Logging_0513/klagomål/A 48448-2021 FSC-klagomål.docx", "A 48448-2021")</f>
        <v/>
      </c>
      <c r="W69">
        <f>HYPERLINK("https://klasma.github.io/Logging_0513/klagomålsmail/A 48448-2021 FSC-klagomål mail.docx", "A 48448-2021")</f>
        <v/>
      </c>
      <c r="X69">
        <f>HYPERLINK("https://klasma.github.io/Logging_0513/tillsyn/A 48448-2021 tillsynsbegäran.docx", "A 48448-2021")</f>
        <v/>
      </c>
      <c r="Y69">
        <f>HYPERLINK("https://klasma.github.io/Logging_0513/tillsynsmail/A 48448-2021 tillsynsbegäran mail.docx", "A 48448-2021")</f>
        <v/>
      </c>
      <c r="Z69">
        <f>HYPERLINK("https://klasma.github.io/Logging_0513/fåglar/A 48448-2021 prioriterade fågelarter.docx", "A 48448-2021")</f>
        <v/>
      </c>
    </row>
    <row r="70" ht="15" customHeight="1">
      <c r="A70" t="inlineStr">
        <is>
          <t>A 44552-2021</t>
        </is>
      </c>
      <c r="B70" s="1" t="n">
        <v>44435</v>
      </c>
      <c r="C70" s="1" t="n">
        <v>46139</v>
      </c>
      <c r="D70" t="inlineStr">
        <is>
          <t>ÖSTERGÖTLANDS LÄN</t>
        </is>
      </c>
      <c r="E70" t="inlineStr">
        <is>
          <t>KINDA</t>
        </is>
      </c>
      <c r="G70" t="n">
        <v>3.7</v>
      </c>
      <c r="H70" t="n">
        <v>0</v>
      </c>
      <c r="I70" t="n">
        <v>0</v>
      </c>
      <c r="J70" t="n">
        <v>1</v>
      </c>
      <c r="K70" t="n">
        <v>0</v>
      </c>
      <c r="L70" t="n">
        <v>0</v>
      </c>
      <c r="M70" t="n">
        <v>0</v>
      </c>
      <c r="N70" t="n">
        <v>0</v>
      </c>
      <c r="O70" t="n">
        <v>1</v>
      </c>
      <c r="P70" t="n">
        <v>0</v>
      </c>
      <c r="Q70" t="n">
        <v>1</v>
      </c>
      <c r="R70" s="2" t="inlineStr">
        <is>
          <t>Storgröe</t>
        </is>
      </c>
      <c r="S70">
        <f>HYPERLINK("https://klasma.github.io/Logging_0513/artfynd/A 44552-2021 artfynd.xlsx", "A 44552-2021")</f>
        <v/>
      </c>
      <c r="T70">
        <f>HYPERLINK("https://klasma.github.io/Logging_0513/kartor/A 44552-2021 karta.png", "A 44552-2021")</f>
        <v/>
      </c>
      <c r="V70">
        <f>HYPERLINK("https://klasma.github.io/Logging_0513/klagomål/A 44552-2021 FSC-klagomål.docx", "A 44552-2021")</f>
        <v/>
      </c>
      <c r="W70">
        <f>HYPERLINK("https://klasma.github.io/Logging_0513/klagomålsmail/A 44552-2021 FSC-klagomål mail.docx", "A 44552-2021")</f>
        <v/>
      </c>
      <c r="X70">
        <f>HYPERLINK("https://klasma.github.io/Logging_0513/tillsyn/A 44552-2021 tillsynsbegäran.docx", "A 44552-2021")</f>
        <v/>
      </c>
      <c r="Y70">
        <f>HYPERLINK("https://klasma.github.io/Logging_0513/tillsynsmail/A 44552-2021 tillsynsbegäran mail.docx", "A 44552-2021")</f>
        <v/>
      </c>
    </row>
    <row r="71" ht="15" customHeight="1">
      <c r="A71" t="inlineStr">
        <is>
          <t>A 36789-2022</t>
        </is>
      </c>
      <c r="B71" s="1" t="n">
        <v>44805</v>
      </c>
      <c r="C71" s="1" t="n">
        <v>46139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46139</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46139</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52207-2021</t>
        </is>
      </c>
      <c r="B74" s="1" t="n">
        <v>44463</v>
      </c>
      <c r="C74" s="1" t="n">
        <v>46139</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46139</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46139</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46139</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46139</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46139</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46139</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46139</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46139</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46139</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46139</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46139</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46139</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46139</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46139</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46139</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46139</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46139</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46139</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46139</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46139</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46139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46139</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46139</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46139</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46139</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3877-2022</t>
        </is>
      </c>
      <c r="B102" s="1" t="n">
        <v>44587</v>
      </c>
      <c r="C102" s="1" t="n">
        <v>46139</v>
      </c>
      <c r="D102" t="inlineStr">
        <is>
          <t>ÖSTERGÖTLANDS LÄN</t>
        </is>
      </c>
      <c r="E102" t="inlineStr">
        <is>
          <t>KINDA</t>
        </is>
      </c>
      <c r="G102" t="n">
        <v>1.7</v>
      </c>
      <c r="H102" t="n">
        <v>0</v>
      </c>
      <c r="I102" t="n">
        <v>0</v>
      </c>
      <c r="J102" t="n">
        <v>0</v>
      </c>
      <c r="K102" t="n">
        <v>0</v>
      </c>
      <c r="L102" t="n">
        <v>0</v>
      </c>
      <c r="M102" t="n">
        <v>0</v>
      </c>
      <c r="N102" t="n">
        <v>0</v>
      </c>
      <c r="O102" t="n">
        <v>0</v>
      </c>
      <c r="P102" t="n">
        <v>0</v>
      </c>
      <c r="Q102" t="n">
        <v>0</v>
      </c>
      <c r="R102" s="2" t="inlineStr"/>
    </row>
    <row r="103" ht="15" customHeight="1">
      <c r="A103" t="inlineStr">
        <is>
          <t>A 22276-2021</t>
        </is>
      </c>
      <c r="B103" s="1" t="n">
        <v>44326</v>
      </c>
      <c r="C103" s="1" t="n">
        <v>46139</v>
      </c>
      <c r="D103" t="inlineStr">
        <is>
          <t>ÖSTERGÖTLANDS LÄN</t>
        </is>
      </c>
      <c r="E103" t="inlineStr">
        <is>
          <t>KINDA</t>
        </is>
      </c>
      <c r="G103" t="n">
        <v>0.1</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46139</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52382-2021</t>
        </is>
      </c>
      <c r="B105" s="1" t="n">
        <v>44465</v>
      </c>
      <c r="C105" s="1" t="n">
        <v>46139</v>
      </c>
      <c r="D105" t="inlineStr">
        <is>
          <t>ÖSTERGÖTLANDS LÄN</t>
        </is>
      </c>
      <c r="E105" t="inlineStr">
        <is>
          <t>KINDA</t>
        </is>
      </c>
      <c r="G105" t="n">
        <v>0.5</v>
      </c>
      <c r="H105" t="n">
        <v>0</v>
      </c>
      <c r="I105" t="n">
        <v>0</v>
      </c>
      <c r="J105" t="n">
        <v>0</v>
      </c>
      <c r="K105" t="n">
        <v>0</v>
      </c>
      <c r="L105" t="n">
        <v>0</v>
      </c>
      <c r="M105" t="n">
        <v>0</v>
      </c>
      <c r="N105" t="n">
        <v>0</v>
      </c>
      <c r="O105" t="n">
        <v>0</v>
      </c>
      <c r="P105" t="n">
        <v>0</v>
      </c>
      <c r="Q105" t="n">
        <v>0</v>
      </c>
      <c r="R105" s="2" t="inlineStr"/>
    </row>
    <row r="106" ht="15" customHeight="1">
      <c r="A106" t="inlineStr">
        <is>
          <t>A 24362-2021</t>
        </is>
      </c>
      <c r="B106" s="1" t="n">
        <v>44337</v>
      </c>
      <c r="C106" s="1" t="n">
        <v>46139</v>
      </c>
      <c r="D106" t="inlineStr">
        <is>
          <t>ÖSTERGÖTLANDS LÄN</t>
        </is>
      </c>
      <c r="E106" t="inlineStr">
        <is>
          <t>KINDA</t>
        </is>
      </c>
      <c r="G106" t="n">
        <v>4.1</v>
      </c>
      <c r="H106" t="n">
        <v>0</v>
      </c>
      <c r="I106" t="n">
        <v>0</v>
      </c>
      <c r="J106" t="n">
        <v>0</v>
      </c>
      <c r="K106" t="n">
        <v>0</v>
      </c>
      <c r="L106" t="n">
        <v>0</v>
      </c>
      <c r="M106" t="n">
        <v>0</v>
      </c>
      <c r="N106" t="n">
        <v>0</v>
      </c>
      <c r="O106" t="n">
        <v>0</v>
      </c>
      <c r="P106" t="n">
        <v>0</v>
      </c>
      <c r="Q106" t="n">
        <v>0</v>
      </c>
      <c r="R106" s="2" t="inlineStr"/>
    </row>
    <row r="107" ht="15" customHeight="1">
      <c r="A107" t="inlineStr">
        <is>
          <t>A 24370-2021</t>
        </is>
      </c>
      <c r="B107" s="1" t="n">
        <v>44337</v>
      </c>
      <c r="C107" s="1" t="n">
        <v>46139</v>
      </c>
      <c r="D107" t="inlineStr">
        <is>
          <t>ÖSTERGÖTLANDS LÄN</t>
        </is>
      </c>
      <c r="E107" t="inlineStr">
        <is>
          <t>KINDA</t>
        </is>
      </c>
      <c r="G107" t="n">
        <v>1.3</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46139</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46139</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46139</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46139</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19960-2021</t>
        </is>
      </c>
      <c r="B112" s="1" t="n">
        <v>44313.64008101852</v>
      </c>
      <c r="C112" s="1" t="n">
        <v>46139</v>
      </c>
      <c r="D112" t="inlineStr">
        <is>
          <t>ÖSTERGÖTLANDS LÄN</t>
        </is>
      </c>
      <c r="E112" t="inlineStr">
        <is>
          <t>KINDA</t>
        </is>
      </c>
      <c r="G112" t="n">
        <v>5.5</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46139</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46139</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46139</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46139</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26021-2022</t>
        </is>
      </c>
      <c r="B117" s="1" t="n">
        <v>44734.56722222222</v>
      </c>
      <c r="C117" s="1" t="n">
        <v>46139</v>
      </c>
      <c r="D117" t="inlineStr">
        <is>
          <t>ÖSTERGÖTLANDS LÄN</t>
        </is>
      </c>
      <c r="E117" t="inlineStr">
        <is>
          <t>KINDA</t>
        </is>
      </c>
      <c r="G117" t="n">
        <v>0</v>
      </c>
      <c r="H117" t="n">
        <v>0</v>
      </c>
      <c r="I117" t="n">
        <v>0</v>
      </c>
      <c r="J117" t="n">
        <v>0</v>
      </c>
      <c r="K117" t="n">
        <v>0</v>
      </c>
      <c r="L117" t="n">
        <v>0</v>
      </c>
      <c r="M117" t="n">
        <v>0</v>
      </c>
      <c r="N117" t="n">
        <v>0</v>
      </c>
      <c r="O117" t="n">
        <v>0</v>
      </c>
      <c r="P117" t="n">
        <v>0</v>
      </c>
      <c r="Q117" t="n">
        <v>0</v>
      </c>
      <c r="R117" s="2" t="inlineStr"/>
    </row>
    <row r="118" ht="15" customHeight="1">
      <c r="A118" t="inlineStr">
        <is>
          <t>A 47051-2022</t>
        </is>
      </c>
      <c r="B118" s="1" t="n">
        <v>44852</v>
      </c>
      <c r="C118" s="1" t="n">
        <v>46139</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49349-2022</t>
        </is>
      </c>
      <c r="B119" s="1" t="n">
        <v>44861</v>
      </c>
      <c r="C119" s="1" t="n">
        <v>46139</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44616.80707175926</v>
      </c>
      <c r="C120" s="1" t="n">
        <v>46139</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46139</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46139</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46139</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46139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46139</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46139</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40246-2021</t>
        </is>
      </c>
      <c r="B127" s="1" t="n">
        <v>44419</v>
      </c>
      <c r="C127" s="1" t="n">
        <v>46139</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46139</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44303-2022</t>
        </is>
      </c>
      <c r="B129" s="1" t="n">
        <v>44839.62386574074</v>
      </c>
      <c r="C129" s="1" t="n">
        <v>46139</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17666-2025</t>
        </is>
      </c>
      <c r="B130" s="1" t="n">
        <v>45758.36324074074</v>
      </c>
      <c r="C130" s="1" t="n">
        <v>46139</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19897-2022</t>
        </is>
      </c>
      <c r="B131" s="1" t="n">
        <v>44697</v>
      </c>
      <c r="C131" s="1" t="n">
        <v>46139</v>
      </c>
      <c r="D131" t="inlineStr">
        <is>
          <t>ÖSTERGÖTLANDS LÄN</t>
        </is>
      </c>
      <c r="E131" t="inlineStr">
        <is>
          <t>KINDA</t>
        </is>
      </c>
      <c r="G131" t="n">
        <v>0.9</v>
      </c>
      <c r="H131" t="n">
        <v>0</v>
      </c>
      <c r="I131" t="n">
        <v>0</v>
      </c>
      <c r="J131" t="n">
        <v>0</v>
      </c>
      <c r="K131" t="n">
        <v>0</v>
      </c>
      <c r="L131" t="n">
        <v>0</v>
      </c>
      <c r="M131" t="n">
        <v>0</v>
      </c>
      <c r="N131" t="n">
        <v>0</v>
      </c>
      <c r="O131" t="n">
        <v>0</v>
      </c>
      <c r="P131" t="n">
        <v>0</v>
      </c>
      <c r="Q131" t="n">
        <v>0</v>
      </c>
      <c r="R131" s="2" t="inlineStr"/>
    </row>
    <row r="132" ht="15" customHeight="1">
      <c r="A132" t="inlineStr">
        <is>
          <t>A 26917-2024</t>
        </is>
      </c>
      <c r="B132" s="1" t="n">
        <v>45470.88379629629</v>
      </c>
      <c r="C132" s="1" t="n">
        <v>46139</v>
      </c>
      <c r="D132" t="inlineStr">
        <is>
          <t>ÖSTERGÖTLANDS LÄN</t>
        </is>
      </c>
      <c r="E132" t="inlineStr">
        <is>
          <t>KINDA</t>
        </is>
      </c>
      <c r="G132" t="n">
        <v>6.4</v>
      </c>
      <c r="H132" t="n">
        <v>0</v>
      </c>
      <c r="I132" t="n">
        <v>0</v>
      </c>
      <c r="J132" t="n">
        <v>0</v>
      </c>
      <c r="K132" t="n">
        <v>0</v>
      </c>
      <c r="L132" t="n">
        <v>0</v>
      </c>
      <c r="M132" t="n">
        <v>0</v>
      </c>
      <c r="N132" t="n">
        <v>0</v>
      </c>
      <c r="O132" t="n">
        <v>0</v>
      </c>
      <c r="P132" t="n">
        <v>0</v>
      </c>
      <c r="Q132" t="n">
        <v>0</v>
      </c>
      <c r="R132" s="2" t="inlineStr"/>
    </row>
    <row r="133" ht="15" customHeight="1">
      <c r="A133" t="inlineStr">
        <is>
          <t>A 36826-2022</t>
        </is>
      </c>
      <c r="B133" s="1" t="n">
        <v>44805.56214120371</v>
      </c>
      <c r="C133" s="1" t="n">
        <v>46139</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21148-2022</t>
        </is>
      </c>
      <c r="B134" s="1" t="n">
        <v>44704.65763888889</v>
      </c>
      <c r="C134" s="1" t="n">
        <v>46139</v>
      </c>
      <c r="D134" t="inlineStr">
        <is>
          <t>ÖSTERGÖTLANDS LÄN</t>
        </is>
      </c>
      <c r="E134" t="inlineStr">
        <is>
          <t>KINDA</t>
        </is>
      </c>
      <c r="G134" t="n">
        <v>2.9</v>
      </c>
      <c r="H134" t="n">
        <v>0</v>
      </c>
      <c r="I134" t="n">
        <v>0</v>
      </c>
      <c r="J134" t="n">
        <v>0</v>
      </c>
      <c r="K134" t="n">
        <v>0</v>
      </c>
      <c r="L134" t="n">
        <v>0</v>
      </c>
      <c r="M134" t="n">
        <v>0</v>
      </c>
      <c r="N134" t="n">
        <v>0</v>
      </c>
      <c r="O134" t="n">
        <v>0</v>
      </c>
      <c r="P134" t="n">
        <v>0</v>
      </c>
      <c r="Q134" t="n">
        <v>0</v>
      </c>
      <c r="R134" s="2" t="inlineStr"/>
    </row>
    <row r="135" ht="15" customHeight="1">
      <c r="A135" t="inlineStr">
        <is>
          <t>A 5197-2022</t>
        </is>
      </c>
      <c r="B135" s="1" t="n">
        <v>44594</v>
      </c>
      <c r="C135" s="1" t="n">
        <v>46139</v>
      </c>
      <c r="D135" t="inlineStr">
        <is>
          <t>ÖSTERGÖTLANDS LÄN</t>
        </is>
      </c>
      <c r="E135" t="inlineStr">
        <is>
          <t>KINDA</t>
        </is>
      </c>
      <c r="G135" t="n">
        <v>2.6</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46139</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5479-2024</t>
        </is>
      </c>
      <c r="B137" s="1" t="n">
        <v>45333.84959490741</v>
      </c>
      <c r="C137" s="1" t="n">
        <v>46139</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46139</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4555-2023</t>
        </is>
      </c>
      <c r="B139" s="1" t="n">
        <v>44956</v>
      </c>
      <c r="C139" s="1" t="n">
        <v>46139</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46139</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12568-2025</t>
        </is>
      </c>
      <c r="B141" s="1" t="n">
        <v>45731.65049768519</v>
      </c>
      <c r="C141" s="1" t="n">
        <v>46139</v>
      </c>
      <c r="D141" t="inlineStr">
        <is>
          <t>ÖSTERGÖTLANDS LÄN</t>
        </is>
      </c>
      <c r="E141" t="inlineStr">
        <is>
          <t>KINDA</t>
        </is>
      </c>
      <c r="G141" t="n">
        <v>3.9</v>
      </c>
      <c r="H141" t="n">
        <v>0</v>
      </c>
      <c r="I141" t="n">
        <v>0</v>
      </c>
      <c r="J141" t="n">
        <v>0</v>
      </c>
      <c r="K141" t="n">
        <v>0</v>
      </c>
      <c r="L141" t="n">
        <v>0</v>
      </c>
      <c r="M141" t="n">
        <v>0</v>
      </c>
      <c r="N141" t="n">
        <v>0</v>
      </c>
      <c r="O141" t="n">
        <v>0</v>
      </c>
      <c r="P141" t="n">
        <v>0</v>
      </c>
      <c r="Q141" t="n">
        <v>0</v>
      </c>
      <c r="R141" s="2" t="inlineStr"/>
    </row>
    <row r="142" ht="15" customHeight="1">
      <c r="A142" t="inlineStr">
        <is>
          <t>A 1503-2023</t>
        </is>
      </c>
      <c r="B142" s="1" t="n">
        <v>44935</v>
      </c>
      <c r="C142" s="1" t="n">
        <v>46139</v>
      </c>
      <c r="D142" t="inlineStr">
        <is>
          <t>ÖSTERGÖTLANDS LÄN</t>
        </is>
      </c>
      <c r="E142" t="inlineStr">
        <is>
          <t>KINDA</t>
        </is>
      </c>
      <c r="G142" t="n">
        <v>0.7</v>
      </c>
      <c r="H142" t="n">
        <v>0</v>
      </c>
      <c r="I142" t="n">
        <v>0</v>
      </c>
      <c r="J142" t="n">
        <v>0</v>
      </c>
      <c r="K142" t="n">
        <v>0</v>
      </c>
      <c r="L142" t="n">
        <v>0</v>
      </c>
      <c r="M142" t="n">
        <v>0</v>
      </c>
      <c r="N142" t="n">
        <v>0</v>
      </c>
      <c r="O142" t="n">
        <v>0</v>
      </c>
      <c r="P142" t="n">
        <v>0</v>
      </c>
      <c r="Q142" t="n">
        <v>0</v>
      </c>
      <c r="R142" s="2" t="inlineStr"/>
    </row>
    <row r="143" ht="15" customHeight="1">
      <c r="A143" t="inlineStr">
        <is>
          <t>A 7142-2022</t>
        </is>
      </c>
      <c r="B143" s="1" t="n">
        <v>44603.75377314815</v>
      </c>
      <c r="C143" s="1" t="n">
        <v>46139</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22687-2022</t>
        </is>
      </c>
      <c r="B144" s="1" t="n">
        <v>44714.53115740741</v>
      </c>
      <c r="C144" s="1" t="n">
        <v>46139</v>
      </c>
      <c r="D144" t="inlineStr">
        <is>
          <t>ÖSTERGÖTLANDS LÄN</t>
        </is>
      </c>
      <c r="E144" t="inlineStr">
        <is>
          <t>KINDA</t>
        </is>
      </c>
      <c r="G144" t="n">
        <v>0.4</v>
      </c>
      <c r="H144" t="n">
        <v>0</v>
      </c>
      <c r="I144" t="n">
        <v>0</v>
      </c>
      <c r="J144" t="n">
        <v>0</v>
      </c>
      <c r="K144" t="n">
        <v>0</v>
      </c>
      <c r="L144" t="n">
        <v>0</v>
      </c>
      <c r="M144" t="n">
        <v>0</v>
      </c>
      <c r="N144" t="n">
        <v>0</v>
      </c>
      <c r="O144" t="n">
        <v>0</v>
      </c>
      <c r="P144" t="n">
        <v>0</v>
      </c>
      <c r="Q144" t="n">
        <v>0</v>
      </c>
      <c r="R144" s="2" t="inlineStr"/>
    </row>
    <row r="145" ht="15" customHeight="1">
      <c r="A145" t="inlineStr">
        <is>
          <t>A 49440-2021</t>
        </is>
      </c>
      <c r="B145" s="1" t="n">
        <v>44454</v>
      </c>
      <c r="C145" s="1" t="n">
        <v>46139</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24748-2023</t>
        </is>
      </c>
      <c r="B146" s="1" t="n">
        <v>45078</v>
      </c>
      <c r="C146" s="1" t="n">
        <v>46139</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48386-2021</t>
        </is>
      </c>
      <c r="B147" s="1" t="n">
        <v>44451.97046296296</v>
      </c>
      <c r="C147" s="1" t="n">
        <v>46139</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25626-2022</t>
        </is>
      </c>
      <c r="B148" s="1" t="n">
        <v>44732</v>
      </c>
      <c r="C148" s="1" t="n">
        <v>46139</v>
      </c>
      <c r="D148" t="inlineStr">
        <is>
          <t>ÖSTERGÖTLANDS LÄN</t>
        </is>
      </c>
      <c r="E148" t="inlineStr">
        <is>
          <t>KINDA</t>
        </is>
      </c>
      <c r="G148" t="n">
        <v>7</v>
      </c>
      <c r="H148" t="n">
        <v>0</v>
      </c>
      <c r="I148" t="n">
        <v>0</v>
      </c>
      <c r="J148" t="n">
        <v>0</v>
      </c>
      <c r="K148" t="n">
        <v>0</v>
      </c>
      <c r="L148" t="n">
        <v>0</v>
      </c>
      <c r="M148" t="n">
        <v>0</v>
      </c>
      <c r="N148" t="n">
        <v>0</v>
      </c>
      <c r="O148" t="n">
        <v>0</v>
      </c>
      <c r="P148" t="n">
        <v>0</v>
      </c>
      <c r="Q148" t="n">
        <v>0</v>
      </c>
      <c r="R148" s="2" t="inlineStr"/>
    </row>
    <row r="149" ht="15" customHeight="1">
      <c r="A149" t="inlineStr">
        <is>
          <t>A 18410-2023</t>
        </is>
      </c>
      <c r="B149" s="1" t="n">
        <v>45042.40232638889</v>
      </c>
      <c r="C149" s="1" t="n">
        <v>46139</v>
      </c>
      <c r="D149" t="inlineStr">
        <is>
          <t>ÖSTERGÖTLANDS LÄN</t>
        </is>
      </c>
      <c r="E149" t="inlineStr">
        <is>
          <t>KINDA</t>
        </is>
      </c>
      <c r="G149" t="n">
        <v>5.6</v>
      </c>
      <c r="H149" t="n">
        <v>0</v>
      </c>
      <c r="I149" t="n">
        <v>0</v>
      </c>
      <c r="J149" t="n">
        <v>0</v>
      </c>
      <c r="K149" t="n">
        <v>0</v>
      </c>
      <c r="L149" t="n">
        <v>0</v>
      </c>
      <c r="M149" t="n">
        <v>0</v>
      </c>
      <c r="N149" t="n">
        <v>0</v>
      </c>
      <c r="O149" t="n">
        <v>0</v>
      </c>
      <c r="P149" t="n">
        <v>0</v>
      </c>
      <c r="Q149" t="n">
        <v>0</v>
      </c>
      <c r="R149" s="2" t="inlineStr"/>
    </row>
    <row r="150" ht="15" customHeight="1">
      <c r="A150" t="inlineStr">
        <is>
          <t>A 37880-2022</t>
        </is>
      </c>
      <c r="B150" s="1" t="n">
        <v>44811.38229166667</v>
      </c>
      <c r="C150" s="1" t="n">
        <v>46139</v>
      </c>
      <c r="D150" t="inlineStr">
        <is>
          <t>ÖSTERGÖTLANDS LÄN</t>
        </is>
      </c>
      <c r="E150" t="inlineStr">
        <is>
          <t>KINDA</t>
        </is>
      </c>
      <c r="G150" t="n">
        <v>4.1</v>
      </c>
      <c r="H150" t="n">
        <v>0</v>
      </c>
      <c r="I150" t="n">
        <v>0</v>
      </c>
      <c r="J150" t="n">
        <v>0</v>
      </c>
      <c r="K150" t="n">
        <v>0</v>
      </c>
      <c r="L150" t="n">
        <v>0</v>
      </c>
      <c r="M150" t="n">
        <v>0</v>
      </c>
      <c r="N150" t="n">
        <v>0</v>
      </c>
      <c r="O150" t="n">
        <v>0</v>
      </c>
      <c r="P150" t="n">
        <v>0</v>
      </c>
      <c r="Q150" t="n">
        <v>0</v>
      </c>
      <c r="R150" s="2" t="inlineStr"/>
    </row>
    <row r="151" ht="15" customHeight="1">
      <c r="A151" t="inlineStr">
        <is>
          <t>A 37397-2024</t>
        </is>
      </c>
      <c r="B151" s="1" t="n">
        <v>45540.59917824074</v>
      </c>
      <c r="C151" s="1" t="n">
        <v>46139</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57497-2021</t>
        </is>
      </c>
      <c r="B152" s="1" t="n">
        <v>44483</v>
      </c>
      <c r="C152" s="1" t="n">
        <v>46139</v>
      </c>
      <c r="D152" t="inlineStr">
        <is>
          <t>ÖSTERGÖTLANDS LÄN</t>
        </is>
      </c>
      <c r="E152" t="inlineStr">
        <is>
          <t>KINDA</t>
        </is>
      </c>
      <c r="G152" t="n">
        <v>0.5</v>
      </c>
      <c r="H152" t="n">
        <v>0</v>
      </c>
      <c r="I152" t="n">
        <v>0</v>
      </c>
      <c r="J152" t="n">
        <v>0</v>
      </c>
      <c r="K152" t="n">
        <v>0</v>
      </c>
      <c r="L152" t="n">
        <v>0</v>
      </c>
      <c r="M152" t="n">
        <v>0</v>
      </c>
      <c r="N152" t="n">
        <v>0</v>
      </c>
      <c r="O152" t="n">
        <v>0</v>
      </c>
      <c r="P152" t="n">
        <v>0</v>
      </c>
      <c r="Q152" t="n">
        <v>0</v>
      </c>
      <c r="R152" s="2" t="inlineStr"/>
    </row>
    <row r="153" ht="15" customHeight="1">
      <c r="A153" t="inlineStr">
        <is>
          <t>A 60826-2023</t>
        </is>
      </c>
      <c r="B153" s="1" t="n">
        <v>45260.81440972222</v>
      </c>
      <c r="C153" s="1" t="n">
        <v>46139</v>
      </c>
      <c r="D153" t="inlineStr">
        <is>
          <t>ÖSTERGÖTLANDS LÄN</t>
        </is>
      </c>
      <c r="E153" t="inlineStr">
        <is>
          <t>KINDA</t>
        </is>
      </c>
      <c r="G153" t="n">
        <v>1.4</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46139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34139-2021</t>
        </is>
      </c>
      <c r="B155" s="1" t="n">
        <v>44379</v>
      </c>
      <c r="C155" s="1" t="n">
        <v>46139</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46139</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28802-2021</t>
        </is>
      </c>
      <c r="B157" s="1" t="n">
        <v>44357</v>
      </c>
      <c r="C157" s="1" t="n">
        <v>46139</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17174-2022</t>
        </is>
      </c>
      <c r="B158" s="1" t="n">
        <v>44677</v>
      </c>
      <c r="C158" s="1" t="n">
        <v>46139</v>
      </c>
      <c r="D158" t="inlineStr">
        <is>
          <t>ÖSTERGÖTLANDS LÄN</t>
        </is>
      </c>
      <c r="E158" t="inlineStr">
        <is>
          <t>KINDA</t>
        </is>
      </c>
      <c r="G158" t="n">
        <v>1.8</v>
      </c>
      <c r="H158" t="n">
        <v>0</v>
      </c>
      <c r="I158" t="n">
        <v>0</v>
      </c>
      <c r="J158" t="n">
        <v>0</v>
      </c>
      <c r="K158" t="n">
        <v>0</v>
      </c>
      <c r="L158" t="n">
        <v>0</v>
      </c>
      <c r="M158" t="n">
        <v>0</v>
      </c>
      <c r="N158" t="n">
        <v>0</v>
      </c>
      <c r="O158" t="n">
        <v>0</v>
      </c>
      <c r="P158" t="n">
        <v>0</v>
      </c>
      <c r="Q158" t="n">
        <v>0</v>
      </c>
      <c r="R158" s="2" t="inlineStr"/>
    </row>
    <row r="159" ht="15" customHeight="1">
      <c r="A159" t="inlineStr">
        <is>
          <t>A 57894-2021</t>
        </is>
      </c>
      <c r="B159" s="1" t="n">
        <v>44486</v>
      </c>
      <c r="C159" s="1" t="n">
        <v>46139</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28068-2024</t>
        </is>
      </c>
      <c r="B160" s="1" t="n">
        <v>45476.57782407408</v>
      </c>
      <c r="C160" s="1" t="n">
        <v>46139</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74446-2021</t>
        </is>
      </c>
      <c r="B161" s="1" t="n">
        <v>44560</v>
      </c>
      <c r="C161" s="1" t="n">
        <v>46139</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53319-2023</t>
        </is>
      </c>
      <c r="B162" s="1" t="n">
        <v>45229</v>
      </c>
      <c r="C162" s="1" t="n">
        <v>46139</v>
      </c>
      <c r="D162" t="inlineStr">
        <is>
          <t>ÖSTERGÖTLANDS LÄN</t>
        </is>
      </c>
      <c r="E162" t="inlineStr">
        <is>
          <t>KINDA</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15349-2024</t>
        </is>
      </c>
      <c r="B163" s="1" t="n">
        <v>45400.7590162037</v>
      </c>
      <c r="C163" s="1" t="n">
        <v>46139</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23887-2023</t>
        </is>
      </c>
      <c r="B164" s="1" t="n">
        <v>45078.52990740741</v>
      </c>
      <c r="C164" s="1" t="n">
        <v>46139</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6561-2024</t>
        </is>
      </c>
      <c r="B165" s="1" t="n">
        <v>45341</v>
      </c>
      <c r="C165" s="1" t="n">
        <v>46139</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23614-2022</t>
        </is>
      </c>
      <c r="B166" s="1" t="n">
        <v>44721.6180787037</v>
      </c>
      <c r="C166" s="1" t="n">
        <v>46139</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row>
    <row r="167" ht="15" customHeight="1">
      <c r="A167" t="inlineStr">
        <is>
          <t>A 32825-2021</t>
        </is>
      </c>
      <c r="B167" s="1" t="n">
        <v>44375.6209837963</v>
      </c>
      <c r="C167" s="1" t="n">
        <v>46139</v>
      </c>
      <c r="D167" t="inlineStr">
        <is>
          <t>ÖSTERGÖTLANDS LÄN</t>
        </is>
      </c>
      <c r="E167" t="inlineStr">
        <is>
          <t>KINDA</t>
        </is>
      </c>
      <c r="G167" t="n">
        <v>0.7</v>
      </c>
      <c r="H167" t="n">
        <v>0</v>
      </c>
      <c r="I167" t="n">
        <v>0</v>
      </c>
      <c r="J167" t="n">
        <v>0</v>
      </c>
      <c r="K167" t="n">
        <v>0</v>
      </c>
      <c r="L167" t="n">
        <v>0</v>
      </c>
      <c r="M167" t="n">
        <v>0</v>
      </c>
      <c r="N167" t="n">
        <v>0</v>
      </c>
      <c r="O167" t="n">
        <v>0</v>
      </c>
      <c r="P167" t="n">
        <v>0</v>
      </c>
      <c r="Q167" t="n">
        <v>0</v>
      </c>
      <c r="R167" s="2" t="inlineStr"/>
    </row>
    <row r="168" ht="15" customHeight="1">
      <c r="A168" t="inlineStr">
        <is>
          <t>A 5203-2022</t>
        </is>
      </c>
      <c r="B168" s="1" t="n">
        <v>44594</v>
      </c>
      <c r="C168" s="1" t="n">
        <v>46139</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52048-2022</t>
        </is>
      </c>
      <c r="B169" s="1" t="n">
        <v>44873.32138888889</v>
      </c>
      <c r="C169" s="1" t="n">
        <v>46139</v>
      </c>
      <c r="D169" t="inlineStr">
        <is>
          <t>ÖSTERGÖTLANDS LÄN</t>
        </is>
      </c>
      <c r="E169" t="inlineStr">
        <is>
          <t>KINDA</t>
        </is>
      </c>
      <c r="G169" t="n">
        <v>3.5</v>
      </c>
      <c r="H169" t="n">
        <v>0</v>
      </c>
      <c r="I169" t="n">
        <v>0</v>
      </c>
      <c r="J169" t="n">
        <v>0</v>
      </c>
      <c r="K169" t="n">
        <v>0</v>
      </c>
      <c r="L169" t="n">
        <v>0</v>
      </c>
      <c r="M169" t="n">
        <v>0</v>
      </c>
      <c r="N169" t="n">
        <v>0</v>
      </c>
      <c r="O169" t="n">
        <v>0</v>
      </c>
      <c r="P169" t="n">
        <v>0</v>
      </c>
      <c r="Q169" t="n">
        <v>0</v>
      </c>
      <c r="R169" s="2" t="inlineStr"/>
    </row>
    <row r="170" ht="15" customHeight="1">
      <c r="A170" t="inlineStr">
        <is>
          <t>A 10806-2024</t>
        </is>
      </c>
      <c r="B170" s="1" t="n">
        <v>45369.62628472222</v>
      </c>
      <c r="C170" s="1" t="n">
        <v>46139</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20083-2021</t>
        </is>
      </c>
      <c r="B171" s="1" t="n">
        <v>44314</v>
      </c>
      <c r="C171" s="1" t="n">
        <v>46139</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41379-2024</t>
        </is>
      </c>
      <c r="B172" s="1" t="n">
        <v>45560.2703125</v>
      </c>
      <c r="C172" s="1" t="n">
        <v>46139</v>
      </c>
      <c r="D172" t="inlineStr">
        <is>
          <t>ÖSTERGÖTLANDS LÄN</t>
        </is>
      </c>
      <c r="E172" t="inlineStr">
        <is>
          <t>KINDA</t>
        </is>
      </c>
      <c r="F172" t="inlineStr">
        <is>
          <t>Övriga Aktiebolag</t>
        </is>
      </c>
      <c r="G172" t="n">
        <v>1.1</v>
      </c>
      <c r="H172" t="n">
        <v>0</v>
      </c>
      <c r="I172" t="n">
        <v>0</v>
      </c>
      <c r="J172" t="n">
        <v>0</v>
      </c>
      <c r="K172" t="n">
        <v>0</v>
      </c>
      <c r="L172" t="n">
        <v>0</v>
      </c>
      <c r="M172" t="n">
        <v>0</v>
      </c>
      <c r="N172" t="n">
        <v>0</v>
      </c>
      <c r="O172" t="n">
        <v>0</v>
      </c>
      <c r="P172" t="n">
        <v>0</v>
      </c>
      <c r="Q172" t="n">
        <v>0</v>
      </c>
      <c r="R172" s="2" t="inlineStr"/>
    </row>
    <row r="173" ht="15" customHeight="1">
      <c r="A173" t="inlineStr">
        <is>
          <t>A 35152-2024</t>
        </is>
      </c>
      <c r="B173" s="1" t="n">
        <v>45530.38082175926</v>
      </c>
      <c r="C173" s="1" t="n">
        <v>46139</v>
      </c>
      <c r="D173" t="inlineStr">
        <is>
          <t>ÖSTERGÖTLANDS LÄN</t>
        </is>
      </c>
      <c r="E173" t="inlineStr">
        <is>
          <t>KINDA</t>
        </is>
      </c>
      <c r="G173" t="n">
        <v>2.8</v>
      </c>
      <c r="H173" t="n">
        <v>0</v>
      </c>
      <c r="I173" t="n">
        <v>0</v>
      </c>
      <c r="J173" t="n">
        <v>0</v>
      </c>
      <c r="K173" t="n">
        <v>0</v>
      </c>
      <c r="L173" t="n">
        <v>0</v>
      </c>
      <c r="M173" t="n">
        <v>0</v>
      </c>
      <c r="N173" t="n">
        <v>0</v>
      </c>
      <c r="O173" t="n">
        <v>0</v>
      </c>
      <c r="P173" t="n">
        <v>0</v>
      </c>
      <c r="Q173" t="n">
        <v>0</v>
      </c>
      <c r="R173" s="2" t="inlineStr"/>
    </row>
    <row r="174" ht="15" customHeight="1">
      <c r="A174" t="inlineStr">
        <is>
          <t>A 22151-2024</t>
        </is>
      </c>
      <c r="B174" s="1" t="n">
        <v>45445.39447916667</v>
      </c>
      <c r="C174" s="1" t="n">
        <v>46139</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45108-2023</t>
        </is>
      </c>
      <c r="B175" s="1" t="n">
        <v>45187</v>
      </c>
      <c r="C175" s="1" t="n">
        <v>46139</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47056-2022</t>
        </is>
      </c>
      <c r="B176" s="1" t="n">
        <v>44852</v>
      </c>
      <c r="C176" s="1" t="n">
        <v>46139</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9182-2024</t>
        </is>
      </c>
      <c r="B177" s="1" t="n">
        <v>45358.44520833333</v>
      </c>
      <c r="C177" s="1" t="n">
        <v>46139</v>
      </c>
      <c r="D177" t="inlineStr">
        <is>
          <t>ÖSTERGÖTLANDS LÄN</t>
        </is>
      </c>
      <c r="E177" t="inlineStr">
        <is>
          <t>KINDA</t>
        </is>
      </c>
      <c r="G177" t="n">
        <v>3.7</v>
      </c>
      <c r="H177" t="n">
        <v>0</v>
      </c>
      <c r="I177" t="n">
        <v>0</v>
      </c>
      <c r="J177" t="n">
        <v>0</v>
      </c>
      <c r="K177" t="n">
        <v>0</v>
      </c>
      <c r="L177" t="n">
        <v>0</v>
      </c>
      <c r="M177" t="n">
        <v>0</v>
      </c>
      <c r="N177" t="n">
        <v>0</v>
      </c>
      <c r="O177" t="n">
        <v>0</v>
      </c>
      <c r="P177" t="n">
        <v>0</v>
      </c>
      <c r="Q177" t="n">
        <v>0</v>
      </c>
      <c r="R177" s="2" t="inlineStr"/>
    </row>
    <row r="178" ht="15" customHeight="1">
      <c r="A178" t="inlineStr">
        <is>
          <t>A 49798-2024</t>
        </is>
      </c>
      <c r="B178" s="1" t="n">
        <v>45597.37384259259</v>
      </c>
      <c r="C178" s="1" t="n">
        <v>46139</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20972-2021</t>
        </is>
      </c>
      <c r="B179" s="1" t="n">
        <v>44319.56430555556</v>
      </c>
      <c r="C179" s="1" t="n">
        <v>46139</v>
      </c>
      <c r="D179" t="inlineStr">
        <is>
          <t>ÖSTERGÖTLANDS LÄN</t>
        </is>
      </c>
      <c r="E179" t="inlineStr">
        <is>
          <t>KINDA</t>
        </is>
      </c>
      <c r="G179" t="n">
        <v>2</v>
      </c>
      <c r="H179" t="n">
        <v>0</v>
      </c>
      <c r="I179" t="n">
        <v>0</v>
      </c>
      <c r="J179" t="n">
        <v>0</v>
      </c>
      <c r="K179" t="n">
        <v>0</v>
      </c>
      <c r="L179" t="n">
        <v>0</v>
      </c>
      <c r="M179" t="n">
        <v>0</v>
      </c>
      <c r="N179" t="n">
        <v>0</v>
      </c>
      <c r="O179" t="n">
        <v>0</v>
      </c>
      <c r="P179" t="n">
        <v>0</v>
      </c>
      <c r="Q179" t="n">
        <v>0</v>
      </c>
      <c r="R179" s="2" t="inlineStr"/>
    </row>
    <row r="180" ht="15" customHeight="1">
      <c r="A180" t="inlineStr">
        <is>
          <t>A 41331-2023</t>
        </is>
      </c>
      <c r="B180" s="1" t="n">
        <v>45174</v>
      </c>
      <c r="C180" s="1" t="n">
        <v>46139</v>
      </c>
      <c r="D180" t="inlineStr">
        <is>
          <t>ÖSTERGÖTLANDS LÄN</t>
        </is>
      </c>
      <c r="E180" t="inlineStr">
        <is>
          <t>KINDA</t>
        </is>
      </c>
      <c r="G180" t="n">
        <v>3.1</v>
      </c>
      <c r="H180" t="n">
        <v>0</v>
      </c>
      <c r="I180" t="n">
        <v>0</v>
      </c>
      <c r="J180" t="n">
        <v>0</v>
      </c>
      <c r="K180" t="n">
        <v>0</v>
      </c>
      <c r="L180" t="n">
        <v>0</v>
      </c>
      <c r="M180" t="n">
        <v>0</v>
      </c>
      <c r="N180" t="n">
        <v>0</v>
      </c>
      <c r="O180" t="n">
        <v>0</v>
      </c>
      <c r="P180" t="n">
        <v>0</v>
      </c>
      <c r="Q180" t="n">
        <v>0</v>
      </c>
      <c r="R180" s="2" t="inlineStr"/>
    </row>
    <row r="181" ht="15" customHeight="1">
      <c r="A181" t="inlineStr">
        <is>
          <t>A 8088-2024</t>
        </is>
      </c>
      <c r="B181" s="1" t="n">
        <v>45351</v>
      </c>
      <c r="C181" s="1" t="n">
        <v>46139</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21071-2024</t>
        </is>
      </c>
      <c r="B182" s="1" t="n">
        <v>45439.8615625</v>
      </c>
      <c r="C182" s="1" t="n">
        <v>46139</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17480-2025</t>
        </is>
      </c>
      <c r="B183" s="1" t="n">
        <v>45757.48918981481</v>
      </c>
      <c r="C183" s="1" t="n">
        <v>46139</v>
      </c>
      <c r="D183" t="inlineStr">
        <is>
          <t>ÖSTERGÖTLANDS LÄN</t>
        </is>
      </c>
      <c r="E183" t="inlineStr">
        <is>
          <t>KINDA</t>
        </is>
      </c>
      <c r="F183" t="inlineStr">
        <is>
          <t>Allmännings- och besparingsskogar</t>
        </is>
      </c>
      <c r="G183" t="n">
        <v>2</v>
      </c>
      <c r="H183" t="n">
        <v>0</v>
      </c>
      <c r="I183" t="n">
        <v>0</v>
      </c>
      <c r="J183" t="n">
        <v>0</v>
      </c>
      <c r="K183" t="n">
        <v>0</v>
      </c>
      <c r="L183" t="n">
        <v>0</v>
      </c>
      <c r="M183" t="n">
        <v>0</v>
      </c>
      <c r="N183" t="n">
        <v>0</v>
      </c>
      <c r="O183" t="n">
        <v>0</v>
      </c>
      <c r="P183" t="n">
        <v>0</v>
      </c>
      <c r="Q183" t="n">
        <v>0</v>
      </c>
      <c r="R183" s="2" t="inlineStr"/>
    </row>
    <row r="184" ht="15" customHeight="1">
      <c r="A184" t="inlineStr">
        <is>
          <t>A 41580-2023</t>
        </is>
      </c>
      <c r="B184" s="1" t="n">
        <v>45175.62292824074</v>
      </c>
      <c r="C184" s="1" t="n">
        <v>46139</v>
      </c>
      <c r="D184" t="inlineStr">
        <is>
          <t>ÖSTERGÖTLANDS LÄN</t>
        </is>
      </c>
      <c r="E184" t="inlineStr">
        <is>
          <t>KINDA</t>
        </is>
      </c>
      <c r="G184" t="n">
        <v>0.4</v>
      </c>
      <c r="H184" t="n">
        <v>0</v>
      </c>
      <c r="I184" t="n">
        <v>0</v>
      </c>
      <c r="J184" t="n">
        <v>0</v>
      </c>
      <c r="K184" t="n">
        <v>0</v>
      </c>
      <c r="L184" t="n">
        <v>0</v>
      </c>
      <c r="M184" t="n">
        <v>0</v>
      </c>
      <c r="N184" t="n">
        <v>0</v>
      </c>
      <c r="O184" t="n">
        <v>0</v>
      </c>
      <c r="P184" t="n">
        <v>0</v>
      </c>
      <c r="Q184" t="n">
        <v>0</v>
      </c>
      <c r="R184" s="2" t="inlineStr"/>
    </row>
    <row r="185" ht="15" customHeight="1">
      <c r="A185" t="inlineStr">
        <is>
          <t>A 14817-2023</t>
        </is>
      </c>
      <c r="B185" s="1" t="n">
        <v>45014.65841435185</v>
      </c>
      <c r="C185" s="1" t="n">
        <v>46139</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12269-2023</t>
        </is>
      </c>
      <c r="B186" s="1" t="n">
        <v>44998</v>
      </c>
      <c r="C186" s="1" t="n">
        <v>46139</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25490-2023</t>
        </is>
      </c>
      <c r="B187" s="1" t="n">
        <v>45082</v>
      </c>
      <c r="C187" s="1" t="n">
        <v>46139</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10823-2024</t>
        </is>
      </c>
      <c r="B188" s="1" t="n">
        <v>45369.67408564815</v>
      </c>
      <c r="C188" s="1" t="n">
        <v>46139</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15029-2024</t>
        </is>
      </c>
      <c r="B189" s="1" t="n">
        <v>45399.46633101852</v>
      </c>
      <c r="C189" s="1" t="n">
        <v>46139</v>
      </c>
      <c r="D189" t="inlineStr">
        <is>
          <t>ÖSTERGÖTLANDS LÄN</t>
        </is>
      </c>
      <c r="E189" t="inlineStr">
        <is>
          <t>KINDA</t>
        </is>
      </c>
      <c r="G189" t="n">
        <v>2.6</v>
      </c>
      <c r="H189" t="n">
        <v>0</v>
      </c>
      <c r="I189" t="n">
        <v>0</v>
      </c>
      <c r="J189" t="n">
        <v>0</v>
      </c>
      <c r="K189" t="n">
        <v>0</v>
      </c>
      <c r="L189" t="n">
        <v>0</v>
      </c>
      <c r="M189" t="n">
        <v>0</v>
      </c>
      <c r="N189" t="n">
        <v>0</v>
      </c>
      <c r="O189" t="n">
        <v>0</v>
      </c>
      <c r="P189" t="n">
        <v>0</v>
      </c>
      <c r="Q189" t="n">
        <v>0</v>
      </c>
      <c r="R189" s="2" t="inlineStr"/>
    </row>
    <row r="190" ht="15" customHeight="1">
      <c r="A190" t="inlineStr">
        <is>
          <t>A 57455-2021</t>
        </is>
      </c>
      <c r="B190" s="1" t="n">
        <v>44483.65453703704</v>
      </c>
      <c r="C190" s="1" t="n">
        <v>46139</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38596-2023</t>
        </is>
      </c>
      <c r="B191" s="1" t="n">
        <v>45162</v>
      </c>
      <c r="C191" s="1" t="n">
        <v>46139</v>
      </c>
      <c r="D191" t="inlineStr">
        <is>
          <t>ÖSTERGÖTLANDS LÄN</t>
        </is>
      </c>
      <c r="E191" t="inlineStr">
        <is>
          <t>KINDA</t>
        </is>
      </c>
      <c r="F191" t="inlineStr">
        <is>
          <t>Allmännings- och besparingsskogar</t>
        </is>
      </c>
      <c r="G191" t="n">
        <v>12.2</v>
      </c>
      <c r="H191" t="n">
        <v>0</v>
      </c>
      <c r="I191" t="n">
        <v>0</v>
      </c>
      <c r="J191" t="n">
        <v>0</v>
      </c>
      <c r="K191" t="n">
        <v>0</v>
      </c>
      <c r="L191" t="n">
        <v>0</v>
      </c>
      <c r="M191" t="n">
        <v>0</v>
      </c>
      <c r="N191" t="n">
        <v>0</v>
      </c>
      <c r="O191" t="n">
        <v>0</v>
      </c>
      <c r="P191" t="n">
        <v>0</v>
      </c>
      <c r="Q191" t="n">
        <v>0</v>
      </c>
      <c r="R191" s="2" t="inlineStr"/>
    </row>
    <row r="192" ht="15" customHeight="1">
      <c r="A192" t="inlineStr">
        <is>
          <t>A 60824-2023</t>
        </is>
      </c>
      <c r="B192" s="1" t="n">
        <v>45260.80365740741</v>
      </c>
      <c r="C192" s="1" t="n">
        <v>46139</v>
      </c>
      <c r="D192" t="inlineStr">
        <is>
          <t>ÖSTERGÖTLANDS LÄN</t>
        </is>
      </c>
      <c r="E192" t="inlineStr">
        <is>
          <t>KINDA</t>
        </is>
      </c>
      <c r="G192" t="n">
        <v>3.1</v>
      </c>
      <c r="H192" t="n">
        <v>0</v>
      </c>
      <c r="I192" t="n">
        <v>0</v>
      </c>
      <c r="J192" t="n">
        <v>0</v>
      </c>
      <c r="K192" t="n">
        <v>0</v>
      </c>
      <c r="L192" t="n">
        <v>0</v>
      </c>
      <c r="M192" t="n">
        <v>0</v>
      </c>
      <c r="N192" t="n">
        <v>0</v>
      </c>
      <c r="O192" t="n">
        <v>0</v>
      </c>
      <c r="P192" t="n">
        <v>0</v>
      </c>
      <c r="Q192" t="n">
        <v>0</v>
      </c>
      <c r="R192" s="2" t="inlineStr"/>
    </row>
    <row r="193" ht="15" customHeight="1">
      <c r="A193" t="inlineStr">
        <is>
          <t>A 16607-2023</t>
        </is>
      </c>
      <c r="B193" s="1" t="n">
        <v>45030</v>
      </c>
      <c r="C193" s="1" t="n">
        <v>46139</v>
      </c>
      <c r="D193" t="inlineStr">
        <is>
          <t>ÖSTERGÖTLANDS LÄN</t>
        </is>
      </c>
      <c r="E193" t="inlineStr">
        <is>
          <t>KINDA</t>
        </is>
      </c>
      <c r="G193" t="n">
        <v>4.7</v>
      </c>
      <c r="H193" t="n">
        <v>0</v>
      </c>
      <c r="I193" t="n">
        <v>0</v>
      </c>
      <c r="J193" t="n">
        <v>0</v>
      </c>
      <c r="K193" t="n">
        <v>0</v>
      </c>
      <c r="L193" t="n">
        <v>0</v>
      </c>
      <c r="M193" t="n">
        <v>0</v>
      </c>
      <c r="N193" t="n">
        <v>0</v>
      </c>
      <c r="O193" t="n">
        <v>0</v>
      </c>
      <c r="P193" t="n">
        <v>0</v>
      </c>
      <c r="Q193" t="n">
        <v>0</v>
      </c>
      <c r="R193" s="2" t="inlineStr"/>
    </row>
    <row r="194" ht="15" customHeight="1">
      <c r="A194" t="inlineStr">
        <is>
          <t>A 16609-2023</t>
        </is>
      </c>
      <c r="B194" s="1" t="n">
        <v>45030</v>
      </c>
      <c r="C194" s="1" t="n">
        <v>46139</v>
      </c>
      <c r="D194" t="inlineStr">
        <is>
          <t>ÖSTERGÖTLANDS LÄN</t>
        </is>
      </c>
      <c r="E194" t="inlineStr">
        <is>
          <t>KINDA</t>
        </is>
      </c>
      <c r="G194" t="n">
        <v>5.5</v>
      </c>
      <c r="H194" t="n">
        <v>0</v>
      </c>
      <c r="I194" t="n">
        <v>0</v>
      </c>
      <c r="J194" t="n">
        <v>0</v>
      </c>
      <c r="K194" t="n">
        <v>0</v>
      </c>
      <c r="L194" t="n">
        <v>0</v>
      </c>
      <c r="M194" t="n">
        <v>0</v>
      </c>
      <c r="N194" t="n">
        <v>0</v>
      </c>
      <c r="O194" t="n">
        <v>0</v>
      </c>
      <c r="P194" t="n">
        <v>0</v>
      </c>
      <c r="Q194" t="n">
        <v>0</v>
      </c>
      <c r="R194" s="2" t="inlineStr"/>
    </row>
    <row r="195" ht="15" customHeight="1">
      <c r="A195" t="inlineStr">
        <is>
          <t>A 16610-2023</t>
        </is>
      </c>
      <c r="B195" s="1" t="n">
        <v>45030</v>
      </c>
      <c r="C195" s="1" t="n">
        <v>46139</v>
      </c>
      <c r="D195" t="inlineStr">
        <is>
          <t>ÖSTERGÖTLANDS LÄN</t>
        </is>
      </c>
      <c r="E195" t="inlineStr">
        <is>
          <t>KINDA</t>
        </is>
      </c>
      <c r="G195" t="n">
        <v>3.4</v>
      </c>
      <c r="H195" t="n">
        <v>0</v>
      </c>
      <c r="I195" t="n">
        <v>0</v>
      </c>
      <c r="J195" t="n">
        <v>0</v>
      </c>
      <c r="K195" t="n">
        <v>0</v>
      </c>
      <c r="L195" t="n">
        <v>0</v>
      </c>
      <c r="M195" t="n">
        <v>0</v>
      </c>
      <c r="N195" t="n">
        <v>0</v>
      </c>
      <c r="O195" t="n">
        <v>0</v>
      </c>
      <c r="P195" t="n">
        <v>0</v>
      </c>
      <c r="Q195" t="n">
        <v>0</v>
      </c>
      <c r="R195" s="2" t="inlineStr"/>
    </row>
    <row r="196" ht="15" customHeight="1">
      <c r="A196" t="inlineStr">
        <is>
          <t>A 49881-2021</t>
        </is>
      </c>
      <c r="B196" s="1" t="n">
        <v>44455.68322916667</v>
      </c>
      <c r="C196" s="1" t="n">
        <v>46139</v>
      </c>
      <c r="D196" t="inlineStr">
        <is>
          <t>ÖSTERGÖTLANDS LÄN</t>
        </is>
      </c>
      <c r="E196" t="inlineStr">
        <is>
          <t>KINDA</t>
        </is>
      </c>
      <c r="G196" t="n">
        <v>3.2</v>
      </c>
      <c r="H196" t="n">
        <v>0</v>
      </c>
      <c r="I196" t="n">
        <v>0</v>
      </c>
      <c r="J196" t="n">
        <v>0</v>
      </c>
      <c r="K196" t="n">
        <v>0</v>
      </c>
      <c r="L196" t="n">
        <v>0</v>
      </c>
      <c r="M196" t="n">
        <v>0</v>
      </c>
      <c r="N196" t="n">
        <v>0</v>
      </c>
      <c r="O196" t="n">
        <v>0</v>
      </c>
      <c r="P196" t="n">
        <v>0</v>
      </c>
      <c r="Q196" t="n">
        <v>0</v>
      </c>
      <c r="R196" s="2" t="inlineStr"/>
    </row>
    <row r="197" ht="15" customHeight="1">
      <c r="A197" t="inlineStr">
        <is>
          <t>A 21244-2023</t>
        </is>
      </c>
      <c r="B197" s="1" t="n">
        <v>45062.57160879629</v>
      </c>
      <c r="C197" s="1" t="n">
        <v>46139</v>
      </c>
      <c r="D197" t="inlineStr">
        <is>
          <t>ÖSTERGÖTLANDS LÄN</t>
        </is>
      </c>
      <c r="E197" t="inlineStr">
        <is>
          <t>KINDA</t>
        </is>
      </c>
      <c r="G197" t="n">
        <v>5.5</v>
      </c>
      <c r="H197" t="n">
        <v>0</v>
      </c>
      <c r="I197" t="n">
        <v>0</v>
      </c>
      <c r="J197" t="n">
        <v>0</v>
      </c>
      <c r="K197" t="n">
        <v>0</v>
      </c>
      <c r="L197" t="n">
        <v>0</v>
      </c>
      <c r="M197" t="n">
        <v>0</v>
      </c>
      <c r="N197" t="n">
        <v>0</v>
      </c>
      <c r="O197" t="n">
        <v>0</v>
      </c>
      <c r="P197" t="n">
        <v>0</v>
      </c>
      <c r="Q197" t="n">
        <v>0</v>
      </c>
      <c r="R197" s="2" t="inlineStr"/>
    </row>
    <row r="198" ht="15" customHeight="1">
      <c r="A198" t="inlineStr">
        <is>
          <t>A 9576-2024</t>
        </is>
      </c>
      <c r="B198" s="1" t="n">
        <v>45360.41204861111</v>
      </c>
      <c r="C198" s="1" t="n">
        <v>46139</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57767-2022</t>
        </is>
      </c>
      <c r="B199" s="1" t="n">
        <v>44897.60309027778</v>
      </c>
      <c r="C199" s="1" t="n">
        <v>46139</v>
      </c>
      <c r="D199" t="inlineStr">
        <is>
          <t>ÖSTERGÖTLANDS LÄN</t>
        </is>
      </c>
      <c r="E199" t="inlineStr">
        <is>
          <t>KINDA</t>
        </is>
      </c>
      <c r="G199" t="n">
        <v>6</v>
      </c>
      <c r="H199" t="n">
        <v>0</v>
      </c>
      <c r="I199" t="n">
        <v>0</v>
      </c>
      <c r="J199" t="n">
        <v>0</v>
      </c>
      <c r="K199" t="n">
        <v>0</v>
      </c>
      <c r="L199" t="n">
        <v>0</v>
      </c>
      <c r="M199" t="n">
        <v>0</v>
      </c>
      <c r="N199" t="n">
        <v>0</v>
      </c>
      <c r="O199" t="n">
        <v>0</v>
      </c>
      <c r="P199" t="n">
        <v>0</v>
      </c>
      <c r="Q199" t="n">
        <v>0</v>
      </c>
      <c r="R199" s="2" t="inlineStr"/>
    </row>
    <row r="200" ht="15" customHeight="1">
      <c r="A200" t="inlineStr">
        <is>
          <t>A 23897-2023</t>
        </is>
      </c>
      <c r="B200" s="1" t="n">
        <v>45078</v>
      </c>
      <c r="C200" s="1" t="n">
        <v>46139</v>
      </c>
      <c r="D200" t="inlineStr">
        <is>
          <t>ÖSTERGÖTLANDS LÄN</t>
        </is>
      </c>
      <c r="E200" t="inlineStr">
        <is>
          <t>KINDA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17669-2025</t>
        </is>
      </c>
      <c r="B201" s="1" t="n">
        <v>45758.36638888889</v>
      </c>
      <c r="C201" s="1" t="n">
        <v>46139</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6837-2023</t>
        </is>
      </c>
      <c r="B202" s="1" t="n">
        <v>44967</v>
      </c>
      <c r="C202" s="1" t="n">
        <v>46139</v>
      </c>
      <c r="D202" t="inlineStr">
        <is>
          <t>ÖSTERGÖTLANDS LÄN</t>
        </is>
      </c>
      <c r="E202" t="inlineStr">
        <is>
          <t>KINDA</t>
        </is>
      </c>
      <c r="G202" t="n">
        <v>0.7</v>
      </c>
      <c r="H202" t="n">
        <v>0</v>
      </c>
      <c r="I202" t="n">
        <v>0</v>
      </c>
      <c r="J202" t="n">
        <v>0</v>
      </c>
      <c r="K202" t="n">
        <v>0</v>
      </c>
      <c r="L202" t="n">
        <v>0</v>
      </c>
      <c r="M202" t="n">
        <v>0</v>
      </c>
      <c r="N202" t="n">
        <v>0</v>
      </c>
      <c r="O202" t="n">
        <v>0</v>
      </c>
      <c r="P202" t="n">
        <v>0</v>
      </c>
      <c r="Q202" t="n">
        <v>0</v>
      </c>
      <c r="R202" s="2" t="inlineStr"/>
    </row>
    <row r="203" ht="15" customHeight="1">
      <c r="A203" t="inlineStr">
        <is>
          <t>A 41450-2022</t>
        </is>
      </c>
      <c r="B203" s="1" t="n">
        <v>44826</v>
      </c>
      <c r="C203" s="1" t="n">
        <v>46139</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50403-2024</t>
        </is>
      </c>
      <c r="B204" s="1" t="n">
        <v>45601.35335648148</v>
      </c>
      <c r="C204" s="1" t="n">
        <v>46139</v>
      </c>
      <c r="D204" t="inlineStr">
        <is>
          <t>ÖSTERGÖTLANDS LÄN</t>
        </is>
      </c>
      <c r="E204" t="inlineStr">
        <is>
          <t>KINDA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29726-2022</t>
        </is>
      </c>
      <c r="B205" s="1" t="n">
        <v>44755.45060185185</v>
      </c>
      <c r="C205" s="1" t="n">
        <v>46139</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35213-2023</t>
        </is>
      </c>
      <c r="B206" s="1" t="n">
        <v>45145.63927083334</v>
      </c>
      <c r="C206" s="1" t="n">
        <v>46139</v>
      </c>
      <c r="D206" t="inlineStr">
        <is>
          <t>ÖSTERGÖTLANDS LÄN</t>
        </is>
      </c>
      <c r="E206" t="inlineStr">
        <is>
          <t>KINDA</t>
        </is>
      </c>
      <c r="G206" t="n">
        <v>2.4</v>
      </c>
      <c r="H206" t="n">
        <v>0</v>
      </c>
      <c r="I206" t="n">
        <v>0</v>
      </c>
      <c r="J206" t="n">
        <v>0</v>
      </c>
      <c r="K206" t="n">
        <v>0</v>
      </c>
      <c r="L206" t="n">
        <v>0</v>
      </c>
      <c r="M206" t="n">
        <v>0</v>
      </c>
      <c r="N206" t="n">
        <v>0</v>
      </c>
      <c r="O206" t="n">
        <v>0</v>
      </c>
      <c r="P206" t="n">
        <v>0</v>
      </c>
      <c r="Q206" t="n">
        <v>0</v>
      </c>
      <c r="R206" s="2" t="inlineStr"/>
    </row>
    <row r="207" ht="15" customHeight="1">
      <c r="A207" t="inlineStr">
        <is>
          <t>A 32978-2024</t>
        </is>
      </c>
      <c r="B207" s="1" t="n">
        <v>45517.44506944445</v>
      </c>
      <c r="C207" s="1" t="n">
        <v>46139</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34127-2021</t>
        </is>
      </c>
      <c r="B208" s="1" t="n">
        <v>44379</v>
      </c>
      <c r="C208" s="1" t="n">
        <v>46139</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28291-2023</t>
        </is>
      </c>
      <c r="B209" s="1" t="n">
        <v>45098</v>
      </c>
      <c r="C209" s="1" t="n">
        <v>46139</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35650-2022</t>
        </is>
      </c>
      <c r="B210" s="1" t="n">
        <v>44799</v>
      </c>
      <c r="C210" s="1" t="n">
        <v>46139</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35654-2022</t>
        </is>
      </c>
      <c r="B211" s="1" t="n">
        <v>44799.57753472222</v>
      </c>
      <c r="C211" s="1" t="n">
        <v>46139</v>
      </c>
      <c r="D211" t="inlineStr">
        <is>
          <t>ÖSTERGÖTLANDS LÄN</t>
        </is>
      </c>
      <c r="E211" t="inlineStr">
        <is>
          <t>KINDA</t>
        </is>
      </c>
      <c r="G211" t="n">
        <v>3</v>
      </c>
      <c r="H211" t="n">
        <v>0</v>
      </c>
      <c r="I211" t="n">
        <v>0</v>
      </c>
      <c r="J211" t="n">
        <v>0</v>
      </c>
      <c r="K211" t="n">
        <v>0</v>
      </c>
      <c r="L211" t="n">
        <v>0</v>
      </c>
      <c r="M211" t="n">
        <v>0</v>
      </c>
      <c r="N211" t="n">
        <v>0</v>
      </c>
      <c r="O211" t="n">
        <v>0</v>
      </c>
      <c r="P211" t="n">
        <v>0</v>
      </c>
      <c r="Q211" t="n">
        <v>0</v>
      </c>
      <c r="R211" s="2" t="inlineStr"/>
    </row>
    <row r="212" ht="15" customHeight="1">
      <c r="A212" t="inlineStr">
        <is>
          <t>A 133-2024</t>
        </is>
      </c>
      <c r="B212" s="1" t="n">
        <v>45294.43197916666</v>
      </c>
      <c r="C212" s="1" t="n">
        <v>46139</v>
      </c>
      <c r="D212" t="inlineStr">
        <is>
          <t>ÖSTERGÖTLANDS LÄN</t>
        </is>
      </c>
      <c r="E212" t="inlineStr">
        <is>
          <t>KINDA</t>
        </is>
      </c>
      <c r="G212" t="n">
        <v>1.3</v>
      </c>
      <c r="H212" t="n">
        <v>0</v>
      </c>
      <c r="I212" t="n">
        <v>0</v>
      </c>
      <c r="J212" t="n">
        <v>0</v>
      </c>
      <c r="K212" t="n">
        <v>0</v>
      </c>
      <c r="L212" t="n">
        <v>0</v>
      </c>
      <c r="M212" t="n">
        <v>0</v>
      </c>
      <c r="N212" t="n">
        <v>0</v>
      </c>
      <c r="O212" t="n">
        <v>0</v>
      </c>
      <c r="P212" t="n">
        <v>0</v>
      </c>
      <c r="Q212" t="n">
        <v>0</v>
      </c>
      <c r="R212" s="2" t="inlineStr"/>
    </row>
    <row r="213" ht="15" customHeight="1">
      <c r="A213" t="inlineStr">
        <is>
          <t>A 8501-2024</t>
        </is>
      </c>
      <c r="B213" s="1" t="n">
        <v>45355.45898148148</v>
      </c>
      <c r="C213" s="1" t="n">
        <v>46139</v>
      </c>
      <c r="D213" t="inlineStr">
        <is>
          <t>ÖSTERGÖTLANDS LÄN</t>
        </is>
      </c>
      <c r="E213" t="inlineStr">
        <is>
          <t>KINDA</t>
        </is>
      </c>
      <c r="F213" t="inlineStr">
        <is>
          <t>Övriga Aktiebolag</t>
        </is>
      </c>
      <c r="G213" t="n">
        <v>10.3</v>
      </c>
      <c r="H213" t="n">
        <v>0</v>
      </c>
      <c r="I213" t="n">
        <v>0</v>
      </c>
      <c r="J213" t="n">
        <v>0</v>
      </c>
      <c r="K213" t="n">
        <v>0</v>
      </c>
      <c r="L213" t="n">
        <v>0</v>
      </c>
      <c r="M213" t="n">
        <v>0</v>
      </c>
      <c r="N213" t="n">
        <v>0</v>
      </c>
      <c r="O213" t="n">
        <v>0</v>
      </c>
      <c r="P213" t="n">
        <v>0</v>
      </c>
      <c r="Q213" t="n">
        <v>0</v>
      </c>
      <c r="R213" s="2" t="inlineStr"/>
    </row>
    <row r="214" ht="15" customHeight="1">
      <c r="A214" t="inlineStr">
        <is>
          <t>A 57500-2024</t>
        </is>
      </c>
      <c r="B214" s="1" t="n">
        <v>45629</v>
      </c>
      <c r="C214" s="1" t="n">
        <v>46139</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46262-2021</t>
        </is>
      </c>
      <c r="B215" s="1" t="n">
        <v>44442.55604166666</v>
      </c>
      <c r="C215" s="1" t="n">
        <v>46139</v>
      </c>
      <c r="D215" t="inlineStr">
        <is>
          <t>ÖSTERGÖTLANDS LÄN</t>
        </is>
      </c>
      <c r="E215" t="inlineStr">
        <is>
          <t>KINDA</t>
        </is>
      </c>
      <c r="G215" t="n">
        <v>1.5</v>
      </c>
      <c r="H215" t="n">
        <v>0</v>
      </c>
      <c r="I215" t="n">
        <v>0</v>
      </c>
      <c r="J215" t="n">
        <v>0</v>
      </c>
      <c r="K215" t="n">
        <v>0</v>
      </c>
      <c r="L215" t="n">
        <v>0</v>
      </c>
      <c r="M215" t="n">
        <v>0</v>
      </c>
      <c r="N215" t="n">
        <v>0</v>
      </c>
      <c r="O215" t="n">
        <v>0</v>
      </c>
      <c r="P215" t="n">
        <v>0</v>
      </c>
      <c r="Q215" t="n">
        <v>0</v>
      </c>
      <c r="R215" s="2" t="inlineStr"/>
    </row>
    <row r="216" ht="15" customHeight="1">
      <c r="A216" t="inlineStr">
        <is>
          <t>A 44278-2022</t>
        </is>
      </c>
      <c r="B216" s="1" t="n">
        <v>44839.58741898148</v>
      </c>
      <c r="C216" s="1" t="n">
        <v>46139</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46139</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1760-2024</t>
        </is>
      </c>
      <c r="B218" s="1" t="n">
        <v>45307.48108796297</v>
      </c>
      <c r="C218" s="1" t="n">
        <v>46139</v>
      </c>
      <c r="D218" t="inlineStr">
        <is>
          <t>ÖSTERGÖTLANDS LÄN</t>
        </is>
      </c>
      <c r="E218" t="inlineStr">
        <is>
          <t>KINDA</t>
        </is>
      </c>
      <c r="G218" t="n">
        <v>1.4</v>
      </c>
      <c r="H218" t="n">
        <v>0</v>
      </c>
      <c r="I218" t="n">
        <v>0</v>
      </c>
      <c r="J218" t="n">
        <v>0</v>
      </c>
      <c r="K218" t="n">
        <v>0</v>
      </c>
      <c r="L218" t="n">
        <v>0</v>
      </c>
      <c r="M218" t="n">
        <v>0</v>
      </c>
      <c r="N218" t="n">
        <v>0</v>
      </c>
      <c r="O218" t="n">
        <v>0</v>
      </c>
      <c r="P218" t="n">
        <v>0</v>
      </c>
      <c r="Q218" t="n">
        <v>0</v>
      </c>
      <c r="R218" s="2" t="inlineStr"/>
    </row>
    <row r="219" ht="15" customHeight="1">
      <c r="A219" t="inlineStr">
        <is>
          <t>A 53306-2024</t>
        </is>
      </c>
      <c r="B219" s="1" t="n">
        <v>45614.39091435185</v>
      </c>
      <c r="C219" s="1" t="n">
        <v>46139</v>
      </c>
      <c r="D219" t="inlineStr">
        <is>
          <t>ÖSTERGÖTLANDS LÄN</t>
        </is>
      </c>
      <c r="E219" t="inlineStr">
        <is>
          <t>KINDA</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3988-2025</t>
        </is>
      </c>
      <c r="B220" s="1" t="n">
        <v>45684.55570601852</v>
      </c>
      <c r="C220" s="1" t="n">
        <v>46139</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38827-2021</t>
        </is>
      </c>
      <c r="B221" s="1" t="n">
        <v>44411</v>
      </c>
      <c r="C221" s="1" t="n">
        <v>46139</v>
      </c>
      <c r="D221" t="inlineStr">
        <is>
          <t>ÖSTERGÖTLANDS LÄN</t>
        </is>
      </c>
      <c r="E221" t="inlineStr">
        <is>
          <t>KINDA</t>
        </is>
      </c>
      <c r="F221" t="inlineStr">
        <is>
          <t>Övriga Aktiebolag</t>
        </is>
      </c>
      <c r="G221" t="n">
        <v>13.6</v>
      </c>
      <c r="H221" t="n">
        <v>0</v>
      </c>
      <c r="I221" t="n">
        <v>0</v>
      </c>
      <c r="J221" t="n">
        <v>0</v>
      </c>
      <c r="K221" t="n">
        <v>0</v>
      </c>
      <c r="L221" t="n">
        <v>0</v>
      </c>
      <c r="M221" t="n">
        <v>0</v>
      </c>
      <c r="N221" t="n">
        <v>0</v>
      </c>
      <c r="O221" t="n">
        <v>0</v>
      </c>
      <c r="P221" t="n">
        <v>0</v>
      </c>
      <c r="Q221" t="n">
        <v>0</v>
      </c>
      <c r="R221" s="2" t="inlineStr"/>
    </row>
    <row r="222" ht="15" customHeight="1">
      <c r="A222" t="inlineStr">
        <is>
          <t>A 39246-2025</t>
        </is>
      </c>
      <c r="B222" s="1" t="n">
        <v>45889.35399305556</v>
      </c>
      <c r="C222" s="1" t="n">
        <v>46139</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22029-2025</t>
        </is>
      </c>
      <c r="B223" s="1" t="n">
        <v>45785.24804398148</v>
      </c>
      <c r="C223" s="1" t="n">
        <v>46139</v>
      </c>
      <c r="D223" t="inlineStr">
        <is>
          <t>ÖSTERGÖTLANDS LÄN</t>
        </is>
      </c>
      <c r="E223" t="inlineStr">
        <is>
          <t>KINDA</t>
        </is>
      </c>
      <c r="G223" t="n">
        <v>5.2</v>
      </c>
      <c r="H223" t="n">
        <v>0</v>
      </c>
      <c r="I223" t="n">
        <v>0</v>
      </c>
      <c r="J223" t="n">
        <v>0</v>
      </c>
      <c r="K223" t="n">
        <v>0</v>
      </c>
      <c r="L223" t="n">
        <v>0</v>
      </c>
      <c r="M223" t="n">
        <v>0</v>
      </c>
      <c r="N223" t="n">
        <v>0</v>
      </c>
      <c r="O223" t="n">
        <v>0</v>
      </c>
      <c r="P223" t="n">
        <v>0</v>
      </c>
      <c r="Q223" t="n">
        <v>0</v>
      </c>
      <c r="R223" s="2" t="inlineStr"/>
    </row>
    <row r="224" ht="15" customHeight="1">
      <c r="A224" t="inlineStr">
        <is>
          <t>A 46704-2024</t>
        </is>
      </c>
      <c r="B224" s="1" t="n">
        <v>45583.44207175926</v>
      </c>
      <c r="C224" s="1" t="n">
        <v>46139</v>
      </c>
      <c r="D224" t="inlineStr">
        <is>
          <t>ÖSTERGÖTLANDS LÄN</t>
        </is>
      </c>
      <c r="E224" t="inlineStr">
        <is>
          <t>KINDA</t>
        </is>
      </c>
      <c r="G224" t="n">
        <v>1.7</v>
      </c>
      <c r="H224" t="n">
        <v>0</v>
      </c>
      <c r="I224" t="n">
        <v>0</v>
      </c>
      <c r="J224" t="n">
        <v>0</v>
      </c>
      <c r="K224" t="n">
        <v>0</v>
      </c>
      <c r="L224" t="n">
        <v>0</v>
      </c>
      <c r="M224" t="n">
        <v>0</v>
      </c>
      <c r="N224" t="n">
        <v>0</v>
      </c>
      <c r="O224" t="n">
        <v>0</v>
      </c>
      <c r="P224" t="n">
        <v>0</v>
      </c>
      <c r="Q224" t="n">
        <v>0</v>
      </c>
      <c r="R224" s="2" t="inlineStr"/>
    </row>
    <row r="225" ht="15" customHeight="1">
      <c r="A225" t="inlineStr">
        <is>
          <t>A 61987-2023</t>
        </is>
      </c>
      <c r="B225" s="1" t="n">
        <v>45266.61387731481</v>
      </c>
      <c r="C225" s="1" t="n">
        <v>46139</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8413-2025</t>
        </is>
      </c>
      <c r="B226" s="1" t="n">
        <v>45709.39325231482</v>
      </c>
      <c r="C226" s="1" t="n">
        <v>46139</v>
      </c>
      <c r="D226" t="inlineStr">
        <is>
          <t>ÖSTERGÖTLANDS LÄN</t>
        </is>
      </c>
      <c r="E226" t="inlineStr">
        <is>
          <t>KINDA</t>
        </is>
      </c>
      <c r="G226" t="n">
        <v>0.7</v>
      </c>
      <c r="H226" t="n">
        <v>0</v>
      </c>
      <c r="I226" t="n">
        <v>0</v>
      </c>
      <c r="J226" t="n">
        <v>0</v>
      </c>
      <c r="K226" t="n">
        <v>0</v>
      </c>
      <c r="L226" t="n">
        <v>0</v>
      </c>
      <c r="M226" t="n">
        <v>0</v>
      </c>
      <c r="N226" t="n">
        <v>0</v>
      </c>
      <c r="O226" t="n">
        <v>0</v>
      </c>
      <c r="P226" t="n">
        <v>0</v>
      </c>
      <c r="Q226" t="n">
        <v>0</v>
      </c>
      <c r="R226" s="2" t="inlineStr"/>
    </row>
    <row r="227" ht="15" customHeight="1">
      <c r="A227" t="inlineStr">
        <is>
          <t>A 39090-2025</t>
        </is>
      </c>
      <c r="B227" s="1" t="n">
        <v>45888.49229166667</v>
      </c>
      <c r="C227" s="1" t="n">
        <v>46139</v>
      </c>
      <c r="D227" t="inlineStr">
        <is>
          <t>ÖSTERGÖTLANDS LÄN</t>
        </is>
      </c>
      <c r="E227" t="inlineStr">
        <is>
          <t>KINDA</t>
        </is>
      </c>
      <c r="G227" t="n">
        <v>5.4</v>
      </c>
      <c r="H227" t="n">
        <v>0</v>
      </c>
      <c r="I227" t="n">
        <v>0</v>
      </c>
      <c r="J227" t="n">
        <v>0</v>
      </c>
      <c r="K227" t="n">
        <v>0</v>
      </c>
      <c r="L227" t="n">
        <v>0</v>
      </c>
      <c r="M227" t="n">
        <v>0</v>
      </c>
      <c r="N227" t="n">
        <v>0</v>
      </c>
      <c r="O227" t="n">
        <v>0</v>
      </c>
      <c r="P227" t="n">
        <v>0</v>
      </c>
      <c r="Q227" t="n">
        <v>0</v>
      </c>
      <c r="R227" s="2" t="inlineStr"/>
    </row>
    <row r="228" ht="15" customHeight="1">
      <c r="A228" t="inlineStr">
        <is>
          <t>A 61955-2022</t>
        </is>
      </c>
      <c r="B228" s="1" t="n">
        <v>44918.3396875</v>
      </c>
      <c r="C228" s="1" t="n">
        <v>46139</v>
      </c>
      <c r="D228" t="inlineStr">
        <is>
          <t>ÖSTERGÖTLANDS LÄN</t>
        </is>
      </c>
      <c r="E228" t="inlineStr">
        <is>
          <t>KINDA</t>
        </is>
      </c>
      <c r="G228" t="n">
        <v>6.4</v>
      </c>
      <c r="H228" t="n">
        <v>0</v>
      </c>
      <c r="I228" t="n">
        <v>0</v>
      </c>
      <c r="J228" t="n">
        <v>0</v>
      </c>
      <c r="K228" t="n">
        <v>0</v>
      </c>
      <c r="L228" t="n">
        <v>0</v>
      </c>
      <c r="M228" t="n">
        <v>0</v>
      </c>
      <c r="N228" t="n">
        <v>0</v>
      </c>
      <c r="O228" t="n">
        <v>0</v>
      </c>
      <c r="P228" t="n">
        <v>0</v>
      </c>
      <c r="Q228" t="n">
        <v>0</v>
      </c>
      <c r="R228" s="2" t="inlineStr"/>
    </row>
    <row r="229" ht="15" customHeight="1">
      <c r="A229" t="inlineStr">
        <is>
          <t>A 61960-2022</t>
        </is>
      </c>
      <c r="B229" s="1" t="n">
        <v>44918.34784722222</v>
      </c>
      <c r="C229" s="1" t="n">
        <v>46139</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61961-2022</t>
        </is>
      </c>
      <c r="B230" s="1" t="n">
        <v>44918</v>
      </c>
      <c r="C230" s="1" t="n">
        <v>46139</v>
      </c>
      <c r="D230" t="inlineStr">
        <is>
          <t>ÖSTERGÖTLANDS LÄN</t>
        </is>
      </c>
      <c r="E230" t="inlineStr">
        <is>
          <t>KINDA</t>
        </is>
      </c>
      <c r="G230" t="n">
        <v>0.9</v>
      </c>
      <c r="H230" t="n">
        <v>0</v>
      </c>
      <c r="I230" t="n">
        <v>0</v>
      </c>
      <c r="J230" t="n">
        <v>0</v>
      </c>
      <c r="K230" t="n">
        <v>0</v>
      </c>
      <c r="L230" t="n">
        <v>0</v>
      </c>
      <c r="M230" t="n">
        <v>0</v>
      </c>
      <c r="N230" t="n">
        <v>0</v>
      </c>
      <c r="O230" t="n">
        <v>0</v>
      </c>
      <c r="P230" t="n">
        <v>0</v>
      </c>
      <c r="Q230" t="n">
        <v>0</v>
      </c>
      <c r="R230" s="2" t="inlineStr"/>
    </row>
    <row r="231" ht="15" customHeight="1">
      <c r="A231" t="inlineStr">
        <is>
          <t>A 43432-2023</t>
        </is>
      </c>
      <c r="B231" s="1" t="n">
        <v>45184.40974537037</v>
      </c>
      <c r="C231" s="1" t="n">
        <v>46139</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39099-2025</t>
        </is>
      </c>
      <c r="B232" s="1" t="n">
        <v>45888</v>
      </c>
      <c r="C232" s="1" t="n">
        <v>46139</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8233-2023</t>
        </is>
      </c>
      <c r="B233" s="1" t="n">
        <v>44974.57886574074</v>
      </c>
      <c r="C233" s="1" t="n">
        <v>46139</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46139</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44303-2023</t>
        </is>
      </c>
      <c r="B235" s="1" t="n">
        <v>45188.64319444444</v>
      </c>
      <c r="C235" s="1" t="n">
        <v>46139</v>
      </c>
      <c r="D235" t="inlineStr">
        <is>
          <t>ÖSTERGÖTLANDS LÄN</t>
        </is>
      </c>
      <c r="E235" t="inlineStr">
        <is>
          <t>KINDA</t>
        </is>
      </c>
      <c r="G235" t="n">
        <v>2.9</v>
      </c>
      <c r="H235" t="n">
        <v>0</v>
      </c>
      <c r="I235" t="n">
        <v>0</v>
      </c>
      <c r="J235" t="n">
        <v>0</v>
      </c>
      <c r="K235" t="n">
        <v>0</v>
      </c>
      <c r="L235" t="n">
        <v>0</v>
      </c>
      <c r="M235" t="n">
        <v>0</v>
      </c>
      <c r="N235" t="n">
        <v>0</v>
      </c>
      <c r="O235" t="n">
        <v>0</v>
      </c>
      <c r="P235" t="n">
        <v>0</v>
      </c>
      <c r="Q235" t="n">
        <v>0</v>
      </c>
      <c r="R235" s="2" t="inlineStr"/>
    </row>
    <row r="236" ht="15" customHeight="1">
      <c r="A236" t="inlineStr">
        <is>
          <t>A 39097-2025</t>
        </is>
      </c>
      <c r="B236" s="1" t="n">
        <v>45888</v>
      </c>
      <c r="C236" s="1" t="n">
        <v>46139</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39101-2025</t>
        </is>
      </c>
      <c r="B237" s="1" t="n">
        <v>45888</v>
      </c>
      <c r="C237" s="1" t="n">
        <v>46139</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13845-2025</t>
        </is>
      </c>
      <c r="B238" s="1" t="n">
        <v>45737.5596875</v>
      </c>
      <c r="C238" s="1" t="n">
        <v>46139</v>
      </c>
      <c r="D238" t="inlineStr">
        <is>
          <t>ÖSTERGÖTLANDS LÄN</t>
        </is>
      </c>
      <c r="E238" t="inlineStr">
        <is>
          <t>KINDA</t>
        </is>
      </c>
      <c r="G238" t="n">
        <v>0.6</v>
      </c>
      <c r="H238" t="n">
        <v>0</v>
      </c>
      <c r="I238" t="n">
        <v>0</v>
      </c>
      <c r="J238" t="n">
        <v>0</v>
      </c>
      <c r="K238" t="n">
        <v>0</v>
      </c>
      <c r="L238" t="n">
        <v>0</v>
      </c>
      <c r="M238" t="n">
        <v>0</v>
      </c>
      <c r="N238" t="n">
        <v>0</v>
      </c>
      <c r="O238" t="n">
        <v>0</v>
      </c>
      <c r="P238" t="n">
        <v>0</v>
      </c>
      <c r="Q238" t="n">
        <v>0</v>
      </c>
      <c r="R238" s="2" t="inlineStr"/>
    </row>
    <row r="239" ht="15" customHeight="1">
      <c r="A239" t="inlineStr">
        <is>
          <t>A 34882-2023</t>
        </is>
      </c>
      <c r="B239" s="1" t="n">
        <v>45141</v>
      </c>
      <c r="C239" s="1" t="n">
        <v>46139</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54484-2022</t>
        </is>
      </c>
      <c r="B240" s="1" t="n">
        <v>44882</v>
      </c>
      <c r="C240" s="1" t="n">
        <v>46139</v>
      </c>
      <c r="D240" t="inlineStr">
        <is>
          <t>ÖSTERGÖTLANDS LÄN</t>
        </is>
      </c>
      <c r="E240" t="inlineStr">
        <is>
          <t>KINDA</t>
        </is>
      </c>
      <c r="G240" t="n">
        <v>0.3</v>
      </c>
      <c r="H240" t="n">
        <v>0</v>
      </c>
      <c r="I240" t="n">
        <v>0</v>
      </c>
      <c r="J240" t="n">
        <v>0</v>
      </c>
      <c r="K240" t="n">
        <v>0</v>
      </c>
      <c r="L240" t="n">
        <v>0</v>
      </c>
      <c r="M240" t="n">
        <v>0</v>
      </c>
      <c r="N240" t="n">
        <v>0</v>
      </c>
      <c r="O240" t="n">
        <v>0</v>
      </c>
      <c r="P240" t="n">
        <v>0</v>
      </c>
      <c r="Q240" t="n">
        <v>0</v>
      </c>
      <c r="R240" s="2" t="inlineStr"/>
    </row>
    <row r="241" ht="15" customHeight="1">
      <c r="A241" t="inlineStr">
        <is>
          <t>A 12622-2024</t>
        </is>
      </c>
      <c r="B241" s="1" t="n">
        <v>45383</v>
      </c>
      <c r="C241" s="1" t="n">
        <v>46139</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15568-2023</t>
        </is>
      </c>
      <c r="B242" s="1" t="n">
        <v>45020.61570601852</v>
      </c>
      <c r="C242" s="1" t="n">
        <v>46139</v>
      </c>
      <c r="D242" t="inlineStr">
        <is>
          <t>ÖSTERGÖTLANDS LÄN</t>
        </is>
      </c>
      <c r="E242" t="inlineStr">
        <is>
          <t>KINDA</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650-2023</t>
        </is>
      </c>
      <c r="B243" s="1" t="n">
        <v>44930.64962962963</v>
      </c>
      <c r="C243" s="1" t="n">
        <v>46139</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27841-2024</t>
        </is>
      </c>
      <c r="B244" s="1" t="n">
        <v>45475.62894675926</v>
      </c>
      <c r="C244" s="1" t="n">
        <v>46139</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35789-2022</t>
        </is>
      </c>
      <c r="B245" s="1" t="n">
        <v>44801</v>
      </c>
      <c r="C245" s="1" t="n">
        <v>46139</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51047-2022</t>
        </is>
      </c>
      <c r="B246" s="1" t="n">
        <v>44868</v>
      </c>
      <c r="C246" s="1" t="n">
        <v>46139</v>
      </c>
      <c r="D246" t="inlineStr">
        <is>
          <t>ÖSTERGÖTLANDS LÄN</t>
        </is>
      </c>
      <c r="E246" t="inlineStr">
        <is>
          <t>KINDA</t>
        </is>
      </c>
      <c r="G246" t="n">
        <v>0.9</v>
      </c>
      <c r="H246" t="n">
        <v>0</v>
      </c>
      <c r="I246" t="n">
        <v>0</v>
      </c>
      <c r="J246" t="n">
        <v>0</v>
      </c>
      <c r="K246" t="n">
        <v>0</v>
      </c>
      <c r="L246" t="n">
        <v>0</v>
      </c>
      <c r="M246" t="n">
        <v>0</v>
      </c>
      <c r="N246" t="n">
        <v>0</v>
      </c>
      <c r="O246" t="n">
        <v>0</v>
      </c>
      <c r="P246" t="n">
        <v>0</v>
      </c>
      <c r="Q246" t="n">
        <v>0</v>
      </c>
      <c r="R246" s="2" t="inlineStr"/>
    </row>
    <row r="247" ht="15" customHeight="1">
      <c r="A247" t="inlineStr">
        <is>
          <t>A 32781-2021</t>
        </is>
      </c>
      <c r="B247" s="1" t="n">
        <v>44375</v>
      </c>
      <c r="C247" s="1" t="n">
        <v>46139</v>
      </c>
      <c r="D247" t="inlineStr">
        <is>
          <t>ÖSTERGÖTLANDS LÄN</t>
        </is>
      </c>
      <c r="E247" t="inlineStr">
        <is>
          <t>KINDA</t>
        </is>
      </c>
      <c r="G247" t="n">
        <v>2</v>
      </c>
      <c r="H247" t="n">
        <v>0</v>
      </c>
      <c r="I247" t="n">
        <v>0</v>
      </c>
      <c r="J247" t="n">
        <v>0</v>
      </c>
      <c r="K247" t="n">
        <v>0</v>
      </c>
      <c r="L247" t="n">
        <v>0</v>
      </c>
      <c r="M247" t="n">
        <v>0</v>
      </c>
      <c r="N247" t="n">
        <v>0</v>
      </c>
      <c r="O247" t="n">
        <v>0</v>
      </c>
      <c r="P247" t="n">
        <v>0</v>
      </c>
      <c r="Q247" t="n">
        <v>0</v>
      </c>
      <c r="R247" s="2" t="inlineStr"/>
      <c r="U247">
        <f>HYPERLINK("https://klasma.github.io/Logging_0513/knärot/A 32781-2021 karta knärot.png", "A 32781-2021")</f>
        <v/>
      </c>
      <c r="V247">
        <f>HYPERLINK("https://klasma.github.io/Logging_0513/klagomål/A 32781-2021 FSC-klagomål.docx", "A 32781-2021")</f>
        <v/>
      </c>
      <c r="W247">
        <f>HYPERLINK("https://klasma.github.io/Logging_0513/klagomålsmail/A 32781-2021 FSC-klagomål mail.docx", "A 32781-2021")</f>
        <v/>
      </c>
      <c r="X247">
        <f>HYPERLINK("https://klasma.github.io/Logging_0513/tillsyn/A 32781-2021 tillsynsbegäran.docx", "A 32781-2021")</f>
        <v/>
      </c>
      <c r="Y247">
        <f>HYPERLINK("https://klasma.github.io/Logging_0513/tillsynsmail/A 32781-2021 tillsynsbegäran mail.docx", "A 32781-2021")</f>
        <v/>
      </c>
    </row>
    <row r="248" ht="15" customHeight="1">
      <c r="A248" t="inlineStr">
        <is>
          <t>A 35947-2023</t>
        </is>
      </c>
      <c r="B248" s="1" t="n">
        <v>45148.70342592592</v>
      </c>
      <c r="C248" s="1" t="n">
        <v>46139</v>
      </c>
      <c r="D248" t="inlineStr">
        <is>
          <t>ÖSTERGÖTLANDS LÄN</t>
        </is>
      </c>
      <c r="E248" t="inlineStr">
        <is>
          <t>KINDA</t>
        </is>
      </c>
      <c r="G248" t="n">
        <v>0.4</v>
      </c>
      <c r="H248" t="n">
        <v>0</v>
      </c>
      <c r="I248" t="n">
        <v>0</v>
      </c>
      <c r="J248" t="n">
        <v>0</v>
      </c>
      <c r="K248" t="n">
        <v>0</v>
      </c>
      <c r="L248" t="n">
        <v>0</v>
      </c>
      <c r="M248" t="n">
        <v>0</v>
      </c>
      <c r="N248" t="n">
        <v>0</v>
      </c>
      <c r="O248" t="n">
        <v>0</v>
      </c>
      <c r="P248" t="n">
        <v>0</v>
      </c>
      <c r="Q248" t="n">
        <v>0</v>
      </c>
      <c r="R248" s="2" t="inlineStr"/>
    </row>
    <row r="249" ht="15" customHeight="1">
      <c r="A249" t="inlineStr">
        <is>
          <t>A 10035-2025</t>
        </is>
      </c>
      <c r="B249" s="1" t="n">
        <v>45719.49922453704</v>
      </c>
      <c r="C249" s="1" t="n">
        <v>46139</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c r="U249">
        <f>HYPERLINK("https://klasma.github.io/Logging_0513/knärot/A 10035-2025 karta knärot.png", "A 10035-2025")</f>
        <v/>
      </c>
      <c r="V249">
        <f>HYPERLINK("https://klasma.github.io/Logging_0513/klagomål/A 10035-2025 FSC-klagomål.docx", "A 10035-2025")</f>
        <v/>
      </c>
      <c r="W249">
        <f>HYPERLINK("https://klasma.github.io/Logging_0513/klagomålsmail/A 10035-2025 FSC-klagomål mail.docx", "A 10035-2025")</f>
        <v/>
      </c>
      <c r="X249">
        <f>HYPERLINK("https://klasma.github.io/Logging_0513/tillsyn/A 10035-2025 tillsynsbegäran.docx", "A 10035-2025")</f>
        <v/>
      </c>
      <c r="Y249">
        <f>HYPERLINK("https://klasma.github.io/Logging_0513/tillsynsmail/A 10035-2025 tillsynsbegäran mail.docx", "A 10035-2025")</f>
        <v/>
      </c>
    </row>
    <row r="250" ht="15" customHeight="1">
      <c r="A250" t="inlineStr">
        <is>
          <t>A 23717-2021</t>
        </is>
      </c>
      <c r="B250" s="1" t="n">
        <v>44334.71728009259</v>
      </c>
      <c r="C250" s="1" t="n">
        <v>46139</v>
      </c>
      <c r="D250" t="inlineStr">
        <is>
          <t>ÖSTERGÖTLANDS LÄN</t>
        </is>
      </c>
      <c r="E250" t="inlineStr">
        <is>
          <t>KINDA</t>
        </is>
      </c>
      <c r="G250" t="n">
        <v>1.8</v>
      </c>
      <c r="H250" t="n">
        <v>0</v>
      </c>
      <c r="I250" t="n">
        <v>0</v>
      </c>
      <c r="J250" t="n">
        <v>0</v>
      </c>
      <c r="K250" t="n">
        <v>0</v>
      </c>
      <c r="L250" t="n">
        <v>0</v>
      </c>
      <c r="M250" t="n">
        <v>0</v>
      </c>
      <c r="N250" t="n">
        <v>0</v>
      </c>
      <c r="O250" t="n">
        <v>0</v>
      </c>
      <c r="P250" t="n">
        <v>0</v>
      </c>
      <c r="Q250" t="n">
        <v>0</v>
      </c>
      <c r="R250" s="2" t="inlineStr"/>
    </row>
    <row r="251" ht="15" customHeight="1">
      <c r="A251" t="inlineStr">
        <is>
          <t>A 40845-2025</t>
        </is>
      </c>
      <c r="B251" s="1" t="n">
        <v>45897.54273148148</v>
      </c>
      <c r="C251" s="1" t="n">
        <v>46139</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767-2025</t>
        </is>
      </c>
      <c r="B252" s="1" t="n">
        <v>45665.45471064815</v>
      </c>
      <c r="C252" s="1" t="n">
        <v>46139</v>
      </c>
      <c r="D252" t="inlineStr">
        <is>
          <t>ÖSTERGÖTLANDS LÄN</t>
        </is>
      </c>
      <c r="E252" t="inlineStr">
        <is>
          <t>KINDA</t>
        </is>
      </c>
      <c r="G252" t="n">
        <v>5</v>
      </c>
      <c r="H252" t="n">
        <v>0</v>
      </c>
      <c r="I252" t="n">
        <v>0</v>
      </c>
      <c r="J252" t="n">
        <v>0</v>
      </c>
      <c r="K252" t="n">
        <v>0</v>
      </c>
      <c r="L252" t="n">
        <v>0</v>
      </c>
      <c r="M252" t="n">
        <v>0</v>
      </c>
      <c r="N252" t="n">
        <v>0</v>
      </c>
      <c r="O252" t="n">
        <v>0</v>
      </c>
      <c r="P252" t="n">
        <v>0</v>
      </c>
      <c r="Q252" t="n">
        <v>0</v>
      </c>
      <c r="R252" s="2" t="inlineStr"/>
    </row>
    <row r="253" ht="15" customHeight="1">
      <c r="A253" t="inlineStr">
        <is>
          <t>A 40849-2025</t>
        </is>
      </c>
      <c r="B253" s="1" t="n">
        <v>45897.54880787037</v>
      </c>
      <c r="C253" s="1" t="n">
        <v>46139</v>
      </c>
      <c r="D253" t="inlineStr">
        <is>
          <t>ÖSTERGÖTLANDS LÄN</t>
        </is>
      </c>
      <c r="E253" t="inlineStr">
        <is>
          <t>KINDA</t>
        </is>
      </c>
      <c r="G253" t="n">
        <v>2.7</v>
      </c>
      <c r="H253" t="n">
        <v>0</v>
      </c>
      <c r="I253" t="n">
        <v>0</v>
      </c>
      <c r="J253" t="n">
        <v>0</v>
      </c>
      <c r="K253" t="n">
        <v>0</v>
      </c>
      <c r="L253" t="n">
        <v>0</v>
      </c>
      <c r="M253" t="n">
        <v>0</v>
      </c>
      <c r="N253" t="n">
        <v>0</v>
      </c>
      <c r="O253" t="n">
        <v>0</v>
      </c>
      <c r="P253" t="n">
        <v>0</v>
      </c>
      <c r="Q253" t="n">
        <v>0</v>
      </c>
      <c r="R253" s="2" t="inlineStr"/>
    </row>
    <row r="254" ht="15" customHeight="1">
      <c r="A254" t="inlineStr">
        <is>
          <t>A 26146-2024</t>
        </is>
      </c>
      <c r="B254" s="1" t="n">
        <v>45468.49909722222</v>
      </c>
      <c r="C254" s="1" t="n">
        <v>46139</v>
      </c>
      <c r="D254" t="inlineStr">
        <is>
          <t>ÖSTERGÖTLANDS LÄN</t>
        </is>
      </c>
      <c r="E254" t="inlineStr">
        <is>
          <t>KINDA</t>
        </is>
      </c>
      <c r="G254" t="n">
        <v>0.8</v>
      </c>
      <c r="H254" t="n">
        <v>0</v>
      </c>
      <c r="I254" t="n">
        <v>0</v>
      </c>
      <c r="J254" t="n">
        <v>0</v>
      </c>
      <c r="K254" t="n">
        <v>0</v>
      </c>
      <c r="L254" t="n">
        <v>0</v>
      </c>
      <c r="M254" t="n">
        <v>0</v>
      </c>
      <c r="N254" t="n">
        <v>0</v>
      </c>
      <c r="O254" t="n">
        <v>0</v>
      </c>
      <c r="P254" t="n">
        <v>0</v>
      </c>
      <c r="Q254" t="n">
        <v>0</v>
      </c>
      <c r="R254" s="2" t="inlineStr"/>
    </row>
    <row r="255" ht="15" customHeight="1">
      <c r="A255" t="inlineStr">
        <is>
          <t>A 40847-2025</t>
        </is>
      </c>
      <c r="B255" s="1" t="n">
        <v>45897.54641203704</v>
      </c>
      <c r="C255" s="1" t="n">
        <v>46139</v>
      </c>
      <c r="D255" t="inlineStr">
        <is>
          <t>ÖSTERGÖTLANDS LÄN</t>
        </is>
      </c>
      <c r="E255" t="inlineStr">
        <is>
          <t>KINDA</t>
        </is>
      </c>
      <c r="G255" t="n">
        <v>3.1</v>
      </c>
      <c r="H255" t="n">
        <v>0</v>
      </c>
      <c r="I255" t="n">
        <v>0</v>
      </c>
      <c r="J255" t="n">
        <v>0</v>
      </c>
      <c r="K255" t="n">
        <v>0</v>
      </c>
      <c r="L255" t="n">
        <v>0</v>
      </c>
      <c r="M255" t="n">
        <v>0</v>
      </c>
      <c r="N255" t="n">
        <v>0</v>
      </c>
      <c r="O255" t="n">
        <v>0</v>
      </c>
      <c r="P255" t="n">
        <v>0</v>
      </c>
      <c r="Q255" t="n">
        <v>0</v>
      </c>
      <c r="R255" s="2" t="inlineStr"/>
    </row>
    <row r="256" ht="15" customHeight="1">
      <c r="A256" t="inlineStr">
        <is>
          <t>A 40853-2025</t>
        </is>
      </c>
      <c r="B256" s="1" t="n">
        <v>45897.55340277778</v>
      </c>
      <c r="C256" s="1" t="n">
        <v>46139</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15159-2022</t>
        </is>
      </c>
      <c r="B257" s="1" t="n">
        <v>44658.49030092593</v>
      </c>
      <c r="C257" s="1" t="n">
        <v>46139</v>
      </c>
      <c r="D257" t="inlineStr">
        <is>
          <t>ÖSTERGÖTLANDS LÄN</t>
        </is>
      </c>
      <c r="E257" t="inlineStr">
        <is>
          <t>KINDA</t>
        </is>
      </c>
      <c r="G257" t="n">
        <v>2.9</v>
      </c>
      <c r="H257" t="n">
        <v>0</v>
      </c>
      <c r="I257" t="n">
        <v>0</v>
      </c>
      <c r="J257" t="n">
        <v>0</v>
      </c>
      <c r="K257" t="n">
        <v>0</v>
      </c>
      <c r="L257" t="n">
        <v>0</v>
      </c>
      <c r="M257" t="n">
        <v>0</v>
      </c>
      <c r="N257" t="n">
        <v>0</v>
      </c>
      <c r="O257" t="n">
        <v>0</v>
      </c>
      <c r="P257" t="n">
        <v>0</v>
      </c>
      <c r="Q257" t="n">
        <v>0</v>
      </c>
      <c r="R257" s="2" t="inlineStr"/>
    </row>
    <row r="258" ht="15" customHeight="1">
      <c r="A258" t="inlineStr">
        <is>
          <t>A 2967-2024</t>
        </is>
      </c>
      <c r="B258" s="1" t="n">
        <v>45315.66689814815</v>
      </c>
      <c r="C258" s="1" t="n">
        <v>46139</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62565-2021</t>
        </is>
      </c>
      <c r="B259" s="1" t="n">
        <v>44502</v>
      </c>
      <c r="C259" s="1" t="n">
        <v>46139</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57336-2023</t>
        </is>
      </c>
      <c r="B260" s="1" t="n">
        <v>45245.66636574074</v>
      </c>
      <c r="C260" s="1" t="n">
        <v>46139</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13782-2023</t>
        </is>
      </c>
      <c r="B261" s="1" t="n">
        <v>45007</v>
      </c>
      <c r="C261" s="1" t="n">
        <v>46139</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11881-2025</t>
        </is>
      </c>
      <c r="B262" s="1" t="n">
        <v>45728.44758101852</v>
      </c>
      <c r="C262" s="1" t="n">
        <v>46139</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17671-2025</t>
        </is>
      </c>
      <c r="B263" s="1" t="n">
        <v>45758.36788194445</v>
      </c>
      <c r="C263" s="1" t="n">
        <v>46139</v>
      </c>
      <c r="D263" t="inlineStr">
        <is>
          <t>ÖSTERGÖTLANDS LÄN</t>
        </is>
      </c>
      <c r="E263" t="inlineStr">
        <is>
          <t>KINDA</t>
        </is>
      </c>
      <c r="G263" t="n">
        <v>1.9</v>
      </c>
      <c r="H263" t="n">
        <v>0</v>
      </c>
      <c r="I263" t="n">
        <v>0</v>
      </c>
      <c r="J263" t="n">
        <v>0</v>
      </c>
      <c r="K263" t="n">
        <v>0</v>
      </c>
      <c r="L263" t="n">
        <v>0</v>
      </c>
      <c r="M263" t="n">
        <v>0</v>
      </c>
      <c r="N263" t="n">
        <v>0</v>
      </c>
      <c r="O263" t="n">
        <v>0</v>
      </c>
      <c r="P263" t="n">
        <v>0</v>
      </c>
      <c r="Q263" t="n">
        <v>0</v>
      </c>
      <c r="R263" s="2" t="inlineStr"/>
    </row>
    <row r="264" ht="15" customHeight="1">
      <c r="A264" t="inlineStr">
        <is>
          <t>A 21795-2024</t>
        </is>
      </c>
      <c r="B264" s="1" t="n">
        <v>45442.6459837963</v>
      </c>
      <c r="C264" s="1" t="n">
        <v>46139</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15302-2025</t>
        </is>
      </c>
      <c r="B265" s="1" t="n">
        <v>45746.48921296297</v>
      </c>
      <c r="C265" s="1" t="n">
        <v>46139</v>
      </c>
      <c r="D265" t="inlineStr">
        <is>
          <t>ÖSTERGÖTLANDS LÄN</t>
        </is>
      </c>
      <c r="E265" t="inlineStr">
        <is>
          <t>KINDA</t>
        </is>
      </c>
      <c r="G265" t="n">
        <v>5.6</v>
      </c>
      <c r="H265" t="n">
        <v>0</v>
      </c>
      <c r="I265" t="n">
        <v>0</v>
      </c>
      <c r="J265" t="n">
        <v>0</v>
      </c>
      <c r="K265" t="n">
        <v>0</v>
      </c>
      <c r="L265" t="n">
        <v>0</v>
      </c>
      <c r="M265" t="n">
        <v>0</v>
      </c>
      <c r="N265" t="n">
        <v>0</v>
      </c>
      <c r="O265" t="n">
        <v>0</v>
      </c>
      <c r="P265" t="n">
        <v>0</v>
      </c>
      <c r="Q265" t="n">
        <v>0</v>
      </c>
      <c r="R265" s="2" t="inlineStr"/>
    </row>
    <row r="266" ht="15" customHeight="1">
      <c r="A266" t="inlineStr">
        <is>
          <t>A 33997-2023</t>
        </is>
      </c>
      <c r="B266" s="1" t="n">
        <v>45134</v>
      </c>
      <c r="C266" s="1" t="n">
        <v>46139</v>
      </c>
      <c r="D266" t="inlineStr">
        <is>
          <t>ÖSTERGÖTLANDS LÄN</t>
        </is>
      </c>
      <c r="E266" t="inlineStr">
        <is>
          <t>KINDA</t>
        </is>
      </c>
      <c r="G266" t="n">
        <v>3.7</v>
      </c>
      <c r="H266" t="n">
        <v>0</v>
      </c>
      <c r="I266" t="n">
        <v>0</v>
      </c>
      <c r="J266" t="n">
        <v>0</v>
      </c>
      <c r="K266" t="n">
        <v>0</v>
      </c>
      <c r="L266" t="n">
        <v>0</v>
      </c>
      <c r="M266" t="n">
        <v>0</v>
      </c>
      <c r="N266" t="n">
        <v>0</v>
      </c>
      <c r="O266" t="n">
        <v>0</v>
      </c>
      <c r="P266" t="n">
        <v>0</v>
      </c>
      <c r="Q266" t="n">
        <v>0</v>
      </c>
      <c r="R266" s="2" t="inlineStr"/>
    </row>
    <row r="267" ht="15" customHeight="1">
      <c r="A267" t="inlineStr">
        <is>
          <t>A 27648-2023</t>
        </is>
      </c>
      <c r="B267" s="1" t="n">
        <v>45097.68376157407</v>
      </c>
      <c r="C267" s="1" t="n">
        <v>46139</v>
      </c>
      <c r="D267" t="inlineStr">
        <is>
          <t>ÖSTERGÖTLANDS LÄN</t>
        </is>
      </c>
      <c r="E267" t="inlineStr">
        <is>
          <t>KINDA</t>
        </is>
      </c>
      <c r="G267" t="n">
        <v>0.9</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46139</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8064-2024</t>
        </is>
      </c>
      <c r="B269" s="1" t="n">
        <v>45351.40523148148</v>
      </c>
      <c r="C269" s="1" t="n">
        <v>46139</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27809-2024</t>
        </is>
      </c>
      <c r="B270" s="1" t="n">
        <v>45475</v>
      </c>
      <c r="C270" s="1" t="n">
        <v>46139</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915-2024</t>
        </is>
      </c>
      <c r="B271" s="1" t="n">
        <v>45301.47129629629</v>
      </c>
      <c r="C271" s="1" t="n">
        <v>46139</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41396-2025</t>
        </is>
      </c>
      <c r="B272" s="1" t="n">
        <v>45901.32078703704</v>
      </c>
      <c r="C272" s="1" t="n">
        <v>46139</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59573-2022</t>
        </is>
      </c>
      <c r="B273" s="1" t="n">
        <v>44907</v>
      </c>
      <c r="C273" s="1" t="n">
        <v>46139</v>
      </c>
      <c r="D273" t="inlineStr">
        <is>
          <t>ÖSTERGÖTLANDS LÄN</t>
        </is>
      </c>
      <c r="E273" t="inlineStr">
        <is>
          <t>KINDA</t>
        </is>
      </c>
      <c r="G273" t="n">
        <v>0.8</v>
      </c>
      <c r="H273" t="n">
        <v>0</v>
      </c>
      <c r="I273" t="n">
        <v>0</v>
      </c>
      <c r="J273" t="n">
        <v>0</v>
      </c>
      <c r="K273" t="n">
        <v>0</v>
      </c>
      <c r="L273" t="n">
        <v>0</v>
      </c>
      <c r="M273" t="n">
        <v>0</v>
      </c>
      <c r="N273" t="n">
        <v>0</v>
      </c>
      <c r="O273" t="n">
        <v>0</v>
      </c>
      <c r="P273" t="n">
        <v>0</v>
      </c>
      <c r="Q273" t="n">
        <v>0</v>
      </c>
      <c r="R273" s="2" t="inlineStr"/>
    </row>
    <row r="274" ht="15" customHeight="1">
      <c r="A274" t="inlineStr">
        <is>
          <t>A 15599-2023</t>
        </is>
      </c>
      <c r="B274" s="1" t="n">
        <v>45020.71773148148</v>
      </c>
      <c r="C274" s="1" t="n">
        <v>46139</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28316-2023</t>
        </is>
      </c>
      <c r="B275" s="1" t="n">
        <v>45098</v>
      </c>
      <c r="C275" s="1" t="n">
        <v>46139</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61544-2024</t>
        </is>
      </c>
      <c r="B276" s="1" t="n">
        <v>45646.5981712963</v>
      </c>
      <c r="C276" s="1" t="n">
        <v>46139</v>
      </c>
      <c r="D276" t="inlineStr">
        <is>
          <t>ÖSTERGÖTLANDS LÄN</t>
        </is>
      </c>
      <c r="E276" t="inlineStr">
        <is>
          <t>KINDA</t>
        </is>
      </c>
      <c r="G276" t="n">
        <v>0.9</v>
      </c>
      <c r="H276" t="n">
        <v>0</v>
      </c>
      <c r="I276" t="n">
        <v>0</v>
      </c>
      <c r="J276" t="n">
        <v>0</v>
      </c>
      <c r="K276" t="n">
        <v>0</v>
      </c>
      <c r="L276" t="n">
        <v>0</v>
      </c>
      <c r="M276" t="n">
        <v>0</v>
      </c>
      <c r="N276" t="n">
        <v>0</v>
      </c>
      <c r="O276" t="n">
        <v>0</v>
      </c>
      <c r="P276" t="n">
        <v>0</v>
      </c>
      <c r="Q276" t="n">
        <v>0</v>
      </c>
      <c r="R276" s="2" t="inlineStr"/>
    </row>
    <row r="277" ht="15" customHeight="1">
      <c r="A277" t="inlineStr">
        <is>
          <t>A 4001-2025</t>
        </is>
      </c>
      <c r="B277" s="1" t="n">
        <v>45684.57195601852</v>
      </c>
      <c r="C277" s="1" t="n">
        <v>46139</v>
      </c>
      <c r="D277" t="inlineStr">
        <is>
          <t>ÖSTERGÖTLANDS LÄN</t>
        </is>
      </c>
      <c r="E277" t="inlineStr">
        <is>
          <t>KINDA</t>
        </is>
      </c>
      <c r="G277" t="n">
        <v>10.7</v>
      </c>
      <c r="H277" t="n">
        <v>0</v>
      </c>
      <c r="I277" t="n">
        <v>0</v>
      </c>
      <c r="J277" t="n">
        <v>0</v>
      </c>
      <c r="K277" t="n">
        <v>0</v>
      </c>
      <c r="L277" t="n">
        <v>0</v>
      </c>
      <c r="M277" t="n">
        <v>0</v>
      </c>
      <c r="N277" t="n">
        <v>0</v>
      </c>
      <c r="O277" t="n">
        <v>0</v>
      </c>
      <c r="P277" t="n">
        <v>0</v>
      </c>
      <c r="Q277" t="n">
        <v>0</v>
      </c>
      <c r="R277" s="2" t="inlineStr"/>
    </row>
    <row r="278" ht="15" customHeight="1">
      <c r="A278" t="inlineStr">
        <is>
          <t>A 58737-2024</t>
        </is>
      </c>
      <c r="B278" s="1" t="n">
        <v>45635.68952546296</v>
      </c>
      <c r="C278" s="1" t="n">
        <v>46139</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22694-2023</t>
        </is>
      </c>
      <c r="B279" s="1" t="n">
        <v>45071</v>
      </c>
      <c r="C279" s="1" t="n">
        <v>46139</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36005-2024</t>
        </is>
      </c>
      <c r="B280" s="1" t="n">
        <v>45533.54908564815</v>
      </c>
      <c r="C280" s="1" t="n">
        <v>46139</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20997-2025</t>
        </is>
      </c>
      <c r="B281" s="1" t="n">
        <v>45777.48113425926</v>
      </c>
      <c r="C281" s="1" t="n">
        <v>46139</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21049-2025</t>
        </is>
      </c>
      <c r="B282" s="1" t="n">
        <v>45777.55960648148</v>
      </c>
      <c r="C282" s="1" t="n">
        <v>46139</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45119-2023</t>
        </is>
      </c>
      <c r="B283" s="1" t="n">
        <v>45187</v>
      </c>
      <c r="C283" s="1" t="n">
        <v>46139</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46139</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49443-2021</t>
        </is>
      </c>
      <c r="B285" s="1" t="n">
        <v>44454.66972222222</v>
      </c>
      <c r="C285" s="1" t="n">
        <v>46139</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20677-2025</t>
        </is>
      </c>
      <c r="B286" s="1" t="n">
        <v>45776.44575231482</v>
      </c>
      <c r="C286" s="1" t="n">
        <v>46139</v>
      </c>
      <c r="D286" t="inlineStr">
        <is>
          <t>ÖSTERGÖTLANDS LÄN</t>
        </is>
      </c>
      <c r="E286" t="inlineStr">
        <is>
          <t>KINDA</t>
        </is>
      </c>
      <c r="G286" t="n">
        <v>5.1</v>
      </c>
      <c r="H286" t="n">
        <v>0</v>
      </c>
      <c r="I286" t="n">
        <v>0</v>
      </c>
      <c r="J286" t="n">
        <v>0</v>
      </c>
      <c r="K286" t="n">
        <v>0</v>
      </c>
      <c r="L286" t="n">
        <v>0</v>
      </c>
      <c r="M286" t="n">
        <v>0</v>
      </c>
      <c r="N286" t="n">
        <v>0</v>
      </c>
      <c r="O286" t="n">
        <v>0</v>
      </c>
      <c r="P286" t="n">
        <v>0</v>
      </c>
      <c r="Q286" t="n">
        <v>0</v>
      </c>
      <c r="R286" s="2" t="inlineStr"/>
    </row>
    <row r="287" ht="15" customHeight="1">
      <c r="A287" t="inlineStr">
        <is>
          <t>A 20711-2025</t>
        </is>
      </c>
      <c r="B287" s="1" t="n">
        <v>45776.48627314815</v>
      </c>
      <c r="C287" s="1" t="n">
        <v>46139</v>
      </c>
      <c r="D287" t="inlineStr">
        <is>
          <t>ÖSTERGÖTLANDS LÄN</t>
        </is>
      </c>
      <c r="E287" t="inlineStr">
        <is>
          <t>KINDA</t>
        </is>
      </c>
      <c r="G287" t="n">
        <v>2.2</v>
      </c>
      <c r="H287" t="n">
        <v>0</v>
      </c>
      <c r="I287" t="n">
        <v>0</v>
      </c>
      <c r="J287" t="n">
        <v>0</v>
      </c>
      <c r="K287" t="n">
        <v>0</v>
      </c>
      <c r="L287" t="n">
        <v>0</v>
      </c>
      <c r="M287" t="n">
        <v>0</v>
      </c>
      <c r="N287" t="n">
        <v>0</v>
      </c>
      <c r="O287" t="n">
        <v>0</v>
      </c>
      <c r="P287" t="n">
        <v>0</v>
      </c>
      <c r="Q287" t="n">
        <v>0</v>
      </c>
      <c r="R287" s="2" t="inlineStr"/>
    </row>
    <row r="288" ht="15" customHeight="1">
      <c r="A288" t="inlineStr">
        <is>
          <t>A 5706-2024</t>
        </is>
      </c>
      <c r="B288" s="1" t="n">
        <v>45334.82431712963</v>
      </c>
      <c r="C288" s="1" t="n">
        <v>46139</v>
      </c>
      <c r="D288" t="inlineStr">
        <is>
          <t>ÖSTERGÖTLANDS LÄN</t>
        </is>
      </c>
      <c r="E288" t="inlineStr">
        <is>
          <t>KINDA</t>
        </is>
      </c>
      <c r="G288" t="n">
        <v>5.3</v>
      </c>
      <c r="H288" t="n">
        <v>0</v>
      </c>
      <c r="I288" t="n">
        <v>0</v>
      </c>
      <c r="J288" t="n">
        <v>0</v>
      </c>
      <c r="K288" t="n">
        <v>0</v>
      </c>
      <c r="L288" t="n">
        <v>0</v>
      </c>
      <c r="M288" t="n">
        <v>0</v>
      </c>
      <c r="N288" t="n">
        <v>0</v>
      </c>
      <c r="O288" t="n">
        <v>0</v>
      </c>
      <c r="P288" t="n">
        <v>0</v>
      </c>
      <c r="Q288" t="n">
        <v>0</v>
      </c>
      <c r="R288" s="2" t="inlineStr"/>
    </row>
    <row r="289" ht="15" customHeight="1">
      <c r="A289" t="inlineStr">
        <is>
          <t>A 23886-2023</t>
        </is>
      </c>
      <c r="B289" s="1" t="n">
        <v>45078.5274537037</v>
      </c>
      <c r="C289" s="1" t="n">
        <v>46139</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20701-2025</t>
        </is>
      </c>
      <c r="B290" s="1" t="n">
        <v>45776.47818287037</v>
      </c>
      <c r="C290" s="1" t="n">
        <v>46139</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42375-2025</t>
        </is>
      </c>
      <c r="B291" s="1" t="n">
        <v>45905.33846064815</v>
      </c>
      <c r="C291" s="1" t="n">
        <v>46139</v>
      </c>
      <c r="D291" t="inlineStr">
        <is>
          <t>ÖSTERGÖTLANDS LÄN</t>
        </is>
      </c>
      <c r="E291" t="inlineStr">
        <is>
          <t>KINDA</t>
        </is>
      </c>
      <c r="G291" t="n">
        <v>1.4</v>
      </c>
      <c r="H291" t="n">
        <v>0</v>
      </c>
      <c r="I291" t="n">
        <v>0</v>
      </c>
      <c r="J291" t="n">
        <v>0</v>
      </c>
      <c r="K291" t="n">
        <v>0</v>
      </c>
      <c r="L291" t="n">
        <v>0</v>
      </c>
      <c r="M291" t="n">
        <v>0</v>
      </c>
      <c r="N291" t="n">
        <v>0</v>
      </c>
      <c r="O291" t="n">
        <v>0</v>
      </c>
      <c r="P291" t="n">
        <v>0</v>
      </c>
      <c r="Q291" t="n">
        <v>0</v>
      </c>
      <c r="R291" s="2" t="inlineStr"/>
    </row>
    <row r="292" ht="15" customHeight="1">
      <c r="A292" t="inlineStr">
        <is>
          <t>A 42509-2025</t>
        </is>
      </c>
      <c r="B292" s="1" t="n">
        <v>45904</v>
      </c>
      <c r="C292" s="1" t="n">
        <v>46139</v>
      </c>
      <c r="D292" t="inlineStr">
        <is>
          <t>ÖSTERGÖTLANDS LÄN</t>
        </is>
      </c>
      <c r="E292" t="inlineStr">
        <is>
          <t>KINDA</t>
        </is>
      </c>
      <c r="G292" t="n">
        <v>3.5</v>
      </c>
      <c r="H292" t="n">
        <v>0</v>
      </c>
      <c r="I292" t="n">
        <v>0</v>
      </c>
      <c r="J292" t="n">
        <v>0</v>
      </c>
      <c r="K292" t="n">
        <v>0</v>
      </c>
      <c r="L292" t="n">
        <v>0</v>
      </c>
      <c r="M292" t="n">
        <v>0</v>
      </c>
      <c r="N292" t="n">
        <v>0</v>
      </c>
      <c r="O292" t="n">
        <v>0</v>
      </c>
      <c r="P292" t="n">
        <v>0</v>
      </c>
      <c r="Q292" t="n">
        <v>0</v>
      </c>
      <c r="R292" s="2" t="inlineStr"/>
    </row>
    <row r="293" ht="15" customHeight="1">
      <c r="A293" t="inlineStr">
        <is>
          <t>A 42511-2025</t>
        </is>
      </c>
      <c r="B293" s="1" t="n">
        <v>45904</v>
      </c>
      <c r="C293" s="1" t="n">
        <v>46139</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62260-2023</t>
        </is>
      </c>
      <c r="B294" s="1" t="n">
        <v>45267.6274537037</v>
      </c>
      <c r="C294" s="1" t="n">
        <v>46139</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21700-2023</t>
        </is>
      </c>
      <c r="B295" s="1" t="n">
        <v>45062</v>
      </c>
      <c r="C295" s="1" t="n">
        <v>46139</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46139</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39242-2024</t>
        </is>
      </c>
      <c r="B297" s="1" t="n">
        <v>45551.28467592593</v>
      </c>
      <c r="C297" s="1" t="n">
        <v>46139</v>
      </c>
      <c r="D297" t="inlineStr">
        <is>
          <t>ÖSTERGÖTLANDS LÄN</t>
        </is>
      </c>
      <c r="E297" t="inlineStr">
        <is>
          <t>KINDA</t>
        </is>
      </c>
      <c r="G297" t="n">
        <v>3.9</v>
      </c>
      <c r="H297" t="n">
        <v>0</v>
      </c>
      <c r="I297" t="n">
        <v>0</v>
      </c>
      <c r="J297" t="n">
        <v>0</v>
      </c>
      <c r="K297" t="n">
        <v>0</v>
      </c>
      <c r="L297" t="n">
        <v>0</v>
      </c>
      <c r="M297" t="n">
        <v>0</v>
      </c>
      <c r="N297" t="n">
        <v>0</v>
      </c>
      <c r="O297" t="n">
        <v>0</v>
      </c>
      <c r="P297" t="n">
        <v>0</v>
      </c>
      <c r="Q297" t="n">
        <v>0</v>
      </c>
      <c r="R297" s="2" t="inlineStr"/>
    </row>
    <row r="298" ht="15" customHeight="1">
      <c r="A298" t="inlineStr">
        <is>
          <t>A 46908-2022</t>
        </is>
      </c>
      <c r="B298" s="1" t="n">
        <v>44851</v>
      </c>
      <c r="C298" s="1" t="n">
        <v>46139</v>
      </c>
      <c r="D298" t="inlineStr">
        <is>
          <t>ÖSTERGÖTLANDS LÄN</t>
        </is>
      </c>
      <c r="E298" t="inlineStr">
        <is>
          <t>KINDA</t>
        </is>
      </c>
      <c r="G298" t="n">
        <v>1.8</v>
      </c>
      <c r="H298" t="n">
        <v>0</v>
      </c>
      <c r="I298" t="n">
        <v>0</v>
      </c>
      <c r="J298" t="n">
        <v>0</v>
      </c>
      <c r="K298" t="n">
        <v>0</v>
      </c>
      <c r="L298" t="n">
        <v>0</v>
      </c>
      <c r="M298" t="n">
        <v>0</v>
      </c>
      <c r="N298" t="n">
        <v>0</v>
      </c>
      <c r="O298" t="n">
        <v>0</v>
      </c>
      <c r="P298" t="n">
        <v>0</v>
      </c>
      <c r="Q298" t="n">
        <v>0</v>
      </c>
      <c r="R298" s="2" t="inlineStr"/>
    </row>
    <row r="299" ht="15" customHeight="1">
      <c r="A299" t="inlineStr">
        <is>
          <t>A 43005-2025</t>
        </is>
      </c>
      <c r="B299" s="1" t="n">
        <v>45909.47525462963</v>
      </c>
      <c r="C299" s="1" t="n">
        <v>46139</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22044-2025</t>
        </is>
      </c>
      <c r="B300" s="1" t="n">
        <v>45785.34126157407</v>
      </c>
      <c r="C300" s="1" t="n">
        <v>46139</v>
      </c>
      <c r="D300" t="inlineStr">
        <is>
          <t>ÖSTERGÖTLANDS LÄN</t>
        </is>
      </c>
      <c r="E300" t="inlineStr">
        <is>
          <t>KINDA</t>
        </is>
      </c>
      <c r="G300" t="n">
        <v>0.9</v>
      </c>
      <c r="H300" t="n">
        <v>0</v>
      </c>
      <c r="I300" t="n">
        <v>0</v>
      </c>
      <c r="J300" t="n">
        <v>0</v>
      </c>
      <c r="K300" t="n">
        <v>0</v>
      </c>
      <c r="L300" t="n">
        <v>0</v>
      </c>
      <c r="M300" t="n">
        <v>0</v>
      </c>
      <c r="N300" t="n">
        <v>0</v>
      </c>
      <c r="O300" t="n">
        <v>0</v>
      </c>
      <c r="P300" t="n">
        <v>0</v>
      </c>
      <c r="Q300" t="n">
        <v>0</v>
      </c>
      <c r="R300" s="2" t="inlineStr"/>
    </row>
    <row r="301" ht="15" customHeight="1">
      <c r="A301" t="inlineStr">
        <is>
          <t>A 52863-2023</t>
        </is>
      </c>
      <c r="B301" s="1" t="n">
        <v>45219</v>
      </c>
      <c r="C301" s="1" t="n">
        <v>46139</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46228-2024</t>
        </is>
      </c>
      <c r="B302" s="1" t="n">
        <v>45581.57662037037</v>
      </c>
      <c r="C302" s="1" t="n">
        <v>46139</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43007-2025</t>
        </is>
      </c>
      <c r="B303" s="1" t="n">
        <v>45909.48123842593</v>
      </c>
      <c r="C303" s="1" t="n">
        <v>46139</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38019-2024</t>
        </is>
      </c>
      <c r="B304" s="1" t="n">
        <v>45544.6372337963</v>
      </c>
      <c r="C304" s="1" t="n">
        <v>46139</v>
      </c>
      <c r="D304" t="inlineStr">
        <is>
          <t>ÖSTERGÖTLANDS LÄN</t>
        </is>
      </c>
      <c r="E304" t="inlineStr">
        <is>
          <t>KINDA</t>
        </is>
      </c>
      <c r="G304" t="n">
        <v>6.3</v>
      </c>
      <c r="H304" t="n">
        <v>0</v>
      </c>
      <c r="I304" t="n">
        <v>0</v>
      </c>
      <c r="J304" t="n">
        <v>0</v>
      </c>
      <c r="K304" t="n">
        <v>0</v>
      </c>
      <c r="L304" t="n">
        <v>0</v>
      </c>
      <c r="M304" t="n">
        <v>0</v>
      </c>
      <c r="N304" t="n">
        <v>0</v>
      </c>
      <c r="O304" t="n">
        <v>0</v>
      </c>
      <c r="P304" t="n">
        <v>0</v>
      </c>
      <c r="Q304" t="n">
        <v>0</v>
      </c>
      <c r="R304" s="2" t="inlineStr"/>
      <c r="U304">
        <f>HYPERLINK("https://klasma.github.io/Logging_0513/knärot/A 38019-2024 karta knärot.png", "A 38019-2024")</f>
        <v/>
      </c>
      <c r="V304">
        <f>HYPERLINK("https://klasma.github.io/Logging_0513/klagomål/A 38019-2024 FSC-klagomål.docx", "A 38019-2024")</f>
        <v/>
      </c>
      <c r="W304">
        <f>HYPERLINK("https://klasma.github.io/Logging_0513/klagomålsmail/A 38019-2024 FSC-klagomål mail.docx", "A 38019-2024")</f>
        <v/>
      </c>
      <c r="X304">
        <f>HYPERLINK("https://klasma.github.io/Logging_0513/tillsyn/A 38019-2024 tillsynsbegäran.docx", "A 38019-2024")</f>
        <v/>
      </c>
      <c r="Y304">
        <f>HYPERLINK("https://klasma.github.io/Logging_0513/tillsynsmail/A 38019-2024 tillsynsbegäran mail.docx", "A 38019-2024")</f>
        <v/>
      </c>
    </row>
    <row r="305" ht="15" customHeight="1">
      <c r="A305" t="inlineStr">
        <is>
          <t>A 46925-2023</t>
        </is>
      </c>
      <c r="B305" s="1" t="n">
        <v>45201.40716435185</v>
      </c>
      <c r="C305" s="1" t="n">
        <v>46139</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42981-2025</t>
        </is>
      </c>
      <c r="B306" s="1" t="n">
        <v>45909.43236111111</v>
      </c>
      <c r="C306" s="1" t="n">
        <v>46139</v>
      </c>
      <c r="D306" t="inlineStr">
        <is>
          <t>ÖSTERGÖTLANDS LÄN</t>
        </is>
      </c>
      <c r="E306" t="inlineStr">
        <is>
          <t>KINDA</t>
        </is>
      </c>
      <c r="G306" t="n">
        <v>2.6</v>
      </c>
      <c r="H306" t="n">
        <v>0</v>
      </c>
      <c r="I306" t="n">
        <v>0</v>
      </c>
      <c r="J306" t="n">
        <v>0</v>
      </c>
      <c r="K306" t="n">
        <v>0</v>
      </c>
      <c r="L306" t="n">
        <v>0</v>
      </c>
      <c r="M306" t="n">
        <v>0</v>
      </c>
      <c r="N306" t="n">
        <v>0</v>
      </c>
      <c r="O306" t="n">
        <v>0</v>
      </c>
      <c r="P306" t="n">
        <v>0</v>
      </c>
      <c r="Q306" t="n">
        <v>0</v>
      </c>
      <c r="R306" s="2" t="inlineStr"/>
    </row>
    <row r="307" ht="15" customHeight="1">
      <c r="A307" t="inlineStr">
        <is>
          <t>A 21293-2021</t>
        </is>
      </c>
      <c r="B307" s="1" t="n">
        <v>44320.65725694445</v>
      </c>
      <c r="C307" s="1" t="n">
        <v>46139</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42977-2025</t>
        </is>
      </c>
      <c r="B308" s="1" t="n">
        <v>45909.42916666667</v>
      </c>
      <c r="C308" s="1" t="n">
        <v>46139</v>
      </c>
      <c r="D308" t="inlineStr">
        <is>
          <t>ÖSTERGÖTLANDS LÄN</t>
        </is>
      </c>
      <c r="E308" t="inlineStr">
        <is>
          <t>KINDA</t>
        </is>
      </c>
      <c r="G308" t="n">
        <v>4.3</v>
      </c>
      <c r="H308" t="n">
        <v>0</v>
      </c>
      <c r="I308" t="n">
        <v>0</v>
      </c>
      <c r="J308" t="n">
        <v>0</v>
      </c>
      <c r="K308" t="n">
        <v>0</v>
      </c>
      <c r="L308" t="n">
        <v>0</v>
      </c>
      <c r="M308" t="n">
        <v>0</v>
      </c>
      <c r="N308" t="n">
        <v>0</v>
      </c>
      <c r="O308" t="n">
        <v>0</v>
      </c>
      <c r="P308" t="n">
        <v>0</v>
      </c>
      <c r="Q308" t="n">
        <v>0</v>
      </c>
      <c r="R308" s="2" t="inlineStr"/>
    </row>
    <row r="309" ht="15" customHeight="1">
      <c r="A309" t="inlineStr">
        <is>
          <t>A 42993-2025</t>
        </is>
      </c>
      <c r="B309" s="1" t="n">
        <v>45909.45248842592</v>
      </c>
      <c r="C309" s="1" t="n">
        <v>46139</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43857-2023</t>
        </is>
      </c>
      <c r="B310" s="1" t="n">
        <v>45187.61545138889</v>
      </c>
      <c r="C310" s="1" t="n">
        <v>46139</v>
      </c>
      <c r="D310" t="inlineStr">
        <is>
          <t>ÖSTERGÖTLANDS LÄN</t>
        </is>
      </c>
      <c r="E310" t="inlineStr">
        <is>
          <t>KINDA</t>
        </is>
      </c>
      <c r="G310" t="n">
        <v>2</v>
      </c>
      <c r="H310" t="n">
        <v>0</v>
      </c>
      <c r="I310" t="n">
        <v>0</v>
      </c>
      <c r="J310" t="n">
        <v>0</v>
      </c>
      <c r="K310" t="n">
        <v>0</v>
      </c>
      <c r="L310" t="n">
        <v>0</v>
      </c>
      <c r="M310" t="n">
        <v>0</v>
      </c>
      <c r="N310" t="n">
        <v>0</v>
      </c>
      <c r="O310" t="n">
        <v>0</v>
      </c>
      <c r="P310" t="n">
        <v>0</v>
      </c>
      <c r="Q310" t="n">
        <v>0</v>
      </c>
      <c r="R310" s="2" t="inlineStr"/>
    </row>
    <row r="311" ht="15" customHeight="1">
      <c r="A311" t="inlineStr">
        <is>
          <t>A 21948-2025</t>
        </is>
      </c>
      <c r="B311" s="1" t="n">
        <v>45784.59287037037</v>
      </c>
      <c r="C311" s="1" t="n">
        <v>46139</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43069-2024</t>
        </is>
      </c>
      <c r="B312" s="1" t="n">
        <v>45567.47780092592</v>
      </c>
      <c r="C312" s="1" t="n">
        <v>46139</v>
      </c>
      <c r="D312" t="inlineStr">
        <is>
          <t>ÖSTERGÖTLANDS LÄN</t>
        </is>
      </c>
      <c r="E312" t="inlineStr">
        <is>
          <t>KINDA</t>
        </is>
      </c>
      <c r="G312" t="n">
        <v>4.1</v>
      </c>
      <c r="H312" t="n">
        <v>0</v>
      </c>
      <c r="I312" t="n">
        <v>0</v>
      </c>
      <c r="J312" t="n">
        <v>0</v>
      </c>
      <c r="K312" t="n">
        <v>0</v>
      </c>
      <c r="L312" t="n">
        <v>0</v>
      </c>
      <c r="M312" t="n">
        <v>0</v>
      </c>
      <c r="N312" t="n">
        <v>0</v>
      </c>
      <c r="O312" t="n">
        <v>0</v>
      </c>
      <c r="P312" t="n">
        <v>0</v>
      </c>
      <c r="Q312" t="n">
        <v>0</v>
      </c>
      <c r="R312" s="2" t="inlineStr"/>
    </row>
    <row r="313" ht="15" customHeight="1">
      <c r="A313" t="inlineStr">
        <is>
          <t>A 9399-2023</t>
        </is>
      </c>
      <c r="B313" s="1" t="n">
        <v>44981</v>
      </c>
      <c r="C313" s="1" t="n">
        <v>46139</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17047-2025</t>
        </is>
      </c>
      <c r="B314" s="1" t="n">
        <v>45755.59559027778</v>
      </c>
      <c r="C314" s="1" t="n">
        <v>46139</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58289-2024</t>
        </is>
      </c>
      <c r="B315" s="1" t="n">
        <v>45632.59153935185</v>
      </c>
      <c r="C315" s="1" t="n">
        <v>46139</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22804-2025</t>
        </is>
      </c>
      <c r="B316" s="1" t="n">
        <v>45789.67196759259</v>
      </c>
      <c r="C316" s="1" t="n">
        <v>46139</v>
      </c>
      <c r="D316" t="inlineStr">
        <is>
          <t>ÖSTERGÖTLANDS LÄN</t>
        </is>
      </c>
      <c r="E316" t="inlineStr">
        <is>
          <t>KINDA</t>
        </is>
      </c>
      <c r="G316" t="n">
        <v>2.5</v>
      </c>
      <c r="H316" t="n">
        <v>0</v>
      </c>
      <c r="I316" t="n">
        <v>0</v>
      </c>
      <c r="J316" t="n">
        <v>0</v>
      </c>
      <c r="K316" t="n">
        <v>0</v>
      </c>
      <c r="L316" t="n">
        <v>0</v>
      </c>
      <c r="M316" t="n">
        <v>0</v>
      </c>
      <c r="N316" t="n">
        <v>0</v>
      </c>
      <c r="O316" t="n">
        <v>0</v>
      </c>
      <c r="P316" t="n">
        <v>0</v>
      </c>
      <c r="Q316" t="n">
        <v>0</v>
      </c>
      <c r="R316" s="2" t="inlineStr"/>
    </row>
    <row r="317" ht="15" customHeight="1">
      <c r="A317" t="inlineStr">
        <is>
          <t>A 36126-2023</t>
        </is>
      </c>
      <c r="B317" s="1" t="n">
        <v>45149.57319444444</v>
      </c>
      <c r="C317" s="1" t="n">
        <v>46139</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45789.67461805556</v>
      </c>
      <c r="C318" s="1" t="n">
        <v>46139</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45912.47875</v>
      </c>
      <c r="C319" s="1" t="n">
        <v>46139</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39774-2023</t>
        </is>
      </c>
      <c r="B320" s="1" t="n">
        <v>45167</v>
      </c>
      <c r="C320" s="1" t="n">
        <v>46139</v>
      </c>
      <c r="D320" t="inlineStr">
        <is>
          <t>ÖSTERGÖTLANDS LÄN</t>
        </is>
      </c>
      <c r="E320" t="inlineStr">
        <is>
          <t>KINDA</t>
        </is>
      </c>
      <c r="G320" t="n">
        <v>1.7</v>
      </c>
      <c r="H320" t="n">
        <v>0</v>
      </c>
      <c r="I320" t="n">
        <v>0</v>
      </c>
      <c r="J320" t="n">
        <v>0</v>
      </c>
      <c r="K320" t="n">
        <v>0</v>
      </c>
      <c r="L320" t="n">
        <v>0</v>
      </c>
      <c r="M320" t="n">
        <v>0</v>
      </c>
      <c r="N320" t="n">
        <v>0</v>
      </c>
      <c r="O320" t="n">
        <v>0</v>
      </c>
      <c r="P320" t="n">
        <v>0</v>
      </c>
      <c r="Q320" t="n">
        <v>0</v>
      </c>
      <c r="R320" s="2" t="inlineStr"/>
    </row>
    <row r="321" ht="15" customHeight="1">
      <c r="A321" t="inlineStr">
        <is>
          <t>A 61946-2022</t>
        </is>
      </c>
      <c r="B321" s="1" t="n">
        <v>44918.32740740741</v>
      </c>
      <c r="C321" s="1" t="n">
        <v>46139</v>
      </c>
      <c r="D321" t="inlineStr">
        <is>
          <t>ÖSTERGÖTLANDS LÄN</t>
        </is>
      </c>
      <c r="E321" t="inlineStr">
        <is>
          <t>KINDA</t>
        </is>
      </c>
      <c r="G321" t="n">
        <v>11.6</v>
      </c>
      <c r="H321" t="n">
        <v>0</v>
      </c>
      <c r="I321" t="n">
        <v>0</v>
      </c>
      <c r="J321" t="n">
        <v>0</v>
      </c>
      <c r="K321" t="n">
        <v>0</v>
      </c>
      <c r="L321" t="n">
        <v>0</v>
      </c>
      <c r="M321" t="n">
        <v>0</v>
      </c>
      <c r="N321" t="n">
        <v>0</v>
      </c>
      <c r="O321" t="n">
        <v>0</v>
      </c>
      <c r="P321" t="n">
        <v>0</v>
      </c>
      <c r="Q321" t="n">
        <v>0</v>
      </c>
      <c r="R321" s="2" t="inlineStr"/>
    </row>
    <row r="322" ht="15" customHeight="1">
      <c r="A322" t="inlineStr">
        <is>
          <t>A 61949-2022</t>
        </is>
      </c>
      <c r="B322" s="1" t="n">
        <v>44918.33414351852</v>
      </c>
      <c r="C322" s="1" t="n">
        <v>46139</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61962-2022</t>
        </is>
      </c>
      <c r="B323" s="1" t="n">
        <v>44918</v>
      </c>
      <c r="C323" s="1" t="n">
        <v>46139</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10621-2023</t>
        </is>
      </c>
      <c r="B324" s="1" t="n">
        <v>44988</v>
      </c>
      <c r="C324" s="1" t="n">
        <v>46139</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12623-2024</t>
        </is>
      </c>
      <c r="B325" s="1" t="n">
        <v>45383</v>
      </c>
      <c r="C325" s="1" t="n">
        <v>46139</v>
      </c>
      <c r="D325" t="inlineStr">
        <is>
          <t>ÖSTERGÖTLANDS LÄN</t>
        </is>
      </c>
      <c r="E325" t="inlineStr">
        <is>
          <t>KINDA</t>
        </is>
      </c>
      <c r="G325" t="n">
        <v>2.4</v>
      </c>
      <c r="H325" t="n">
        <v>0</v>
      </c>
      <c r="I325" t="n">
        <v>0</v>
      </c>
      <c r="J325" t="n">
        <v>0</v>
      </c>
      <c r="K325" t="n">
        <v>0</v>
      </c>
      <c r="L325" t="n">
        <v>0</v>
      </c>
      <c r="M325" t="n">
        <v>0</v>
      </c>
      <c r="N325" t="n">
        <v>0</v>
      </c>
      <c r="O325" t="n">
        <v>0</v>
      </c>
      <c r="P325" t="n">
        <v>0</v>
      </c>
      <c r="Q325" t="n">
        <v>0</v>
      </c>
      <c r="R325" s="2" t="inlineStr"/>
    </row>
    <row r="326" ht="15" customHeight="1">
      <c r="A326" t="inlineStr">
        <is>
          <t>A 343-2025</t>
        </is>
      </c>
      <c r="B326" s="1" t="n">
        <v>45660.71824074074</v>
      </c>
      <c r="C326" s="1" t="n">
        <v>46139</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9615-2024</t>
        </is>
      </c>
      <c r="B327" s="1" t="n">
        <v>45361.75074074074</v>
      </c>
      <c r="C327" s="1" t="n">
        <v>46139</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22473-2025</t>
        </is>
      </c>
      <c r="B328" s="1" t="n">
        <v>45786.62056712963</v>
      </c>
      <c r="C328" s="1" t="n">
        <v>46139</v>
      </c>
      <c r="D328" t="inlineStr">
        <is>
          <t>ÖSTERGÖTLANDS LÄN</t>
        </is>
      </c>
      <c r="E328" t="inlineStr">
        <is>
          <t>KINDA</t>
        </is>
      </c>
      <c r="G328" t="n">
        <v>3.1</v>
      </c>
      <c r="H328" t="n">
        <v>0</v>
      </c>
      <c r="I328" t="n">
        <v>0</v>
      </c>
      <c r="J328" t="n">
        <v>0</v>
      </c>
      <c r="K328" t="n">
        <v>0</v>
      </c>
      <c r="L328" t="n">
        <v>0</v>
      </c>
      <c r="M328" t="n">
        <v>0</v>
      </c>
      <c r="N328" t="n">
        <v>0</v>
      </c>
      <c r="O328" t="n">
        <v>0</v>
      </c>
      <c r="P328" t="n">
        <v>0</v>
      </c>
      <c r="Q328" t="n">
        <v>0</v>
      </c>
      <c r="R328" s="2" t="inlineStr"/>
    </row>
    <row r="329" ht="15" customHeight="1">
      <c r="A329" t="inlineStr">
        <is>
          <t>A 8318-2025</t>
        </is>
      </c>
      <c r="B329" s="1" t="n">
        <v>45708.62505787037</v>
      </c>
      <c r="C329" s="1" t="n">
        <v>46139</v>
      </c>
      <c r="D329" t="inlineStr">
        <is>
          <t>ÖSTERGÖTLANDS LÄN</t>
        </is>
      </c>
      <c r="E329" t="inlineStr">
        <is>
          <t>KINDA</t>
        </is>
      </c>
      <c r="G329" t="n">
        <v>2.9</v>
      </c>
      <c r="H329" t="n">
        <v>0</v>
      </c>
      <c r="I329" t="n">
        <v>0</v>
      </c>
      <c r="J329" t="n">
        <v>0</v>
      </c>
      <c r="K329" t="n">
        <v>0</v>
      </c>
      <c r="L329" t="n">
        <v>0</v>
      </c>
      <c r="M329" t="n">
        <v>0</v>
      </c>
      <c r="N329" t="n">
        <v>0</v>
      </c>
      <c r="O329" t="n">
        <v>0</v>
      </c>
      <c r="P329" t="n">
        <v>0</v>
      </c>
      <c r="Q329" t="n">
        <v>0</v>
      </c>
      <c r="R329" s="2" t="inlineStr"/>
    </row>
    <row r="330" ht="15" customHeight="1">
      <c r="A330" t="inlineStr">
        <is>
          <t>A 17046-2025</t>
        </is>
      </c>
      <c r="B330" s="1" t="n">
        <v>45755.59457175926</v>
      </c>
      <c r="C330" s="1" t="n">
        <v>46139</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24110-2024</t>
        </is>
      </c>
      <c r="B331" s="1" t="n">
        <v>45456.61288194444</v>
      </c>
      <c r="C331" s="1" t="n">
        <v>46139</v>
      </c>
      <c r="D331" t="inlineStr">
        <is>
          <t>ÖSTERGÖTLANDS LÄN</t>
        </is>
      </c>
      <c r="E331" t="inlineStr">
        <is>
          <t>KINDA</t>
        </is>
      </c>
      <c r="G331" t="n">
        <v>1.7</v>
      </c>
      <c r="H331" t="n">
        <v>0</v>
      </c>
      <c r="I331" t="n">
        <v>0</v>
      </c>
      <c r="J331" t="n">
        <v>0</v>
      </c>
      <c r="K331" t="n">
        <v>0</v>
      </c>
      <c r="L331" t="n">
        <v>0</v>
      </c>
      <c r="M331" t="n">
        <v>0</v>
      </c>
      <c r="N331" t="n">
        <v>0</v>
      </c>
      <c r="O331" t="n">
        <v>0</v>
      </c>
      <c r="P331" t="n">
        <v>0</v>
      </c>
      <c r="Q331" t="n">
        <v>0</v>
      </c>
      <c r="R331" s="2" t="inlineStr"/>
    </row>
    <row r="332" ht="15" customHeight="1">
      <c r="A332" t="inlineStr">
        <is>
          <t>A 34661-2024</t>
        </is>
      </c>
      <c r="B332" s="1" t="n">
        <v>45526</v>
      </c>
      <c r="C332" s="1" t="n">
        <v>46139</v>
      </c>
      <c r="D332" t="inlineStr">
        <is>
          <t>ÖSTERGÖTLANDS LÄN</t>
        </is>
      </c>
      <c r="E332" t="inlineStr">
        <is>
          <t>KINDA</t>
        </is>
      </c>
      <c r="G332" t="n">
        <v>2.1</v>
      </c>
      <c r="H332" t="n">
        <v>0</v>
      </c>
      <c r="I332" t="n">
        <v>0</v>
      </c>
      <c r="J332" t="n">
        <v>0</v>
      </c>
      <c r="K332" t="n">
        <v>0</v>
      </c>
      <c r="L332" t="n">
        <v>0</v>
      </c>
      <c r="M332" t="n">
        <v>0</v>
      </c>
      <c r="N332" t="n">
        <v>0</v>
      </c>
      <c r="O332" t="n">
        <v>0</v>
      </c>
      <c r="P332" t="n">
        <v>0</v>
      </c>
      <c r="Q332" t="n">
        <v>0</v>
      </c>
      <c r="R332" s="2" t="inlineStr"/>
    </row>
    <row r="333" ht="15" customHeight="1">
      <c r="A333" t="inlineStr">
        <is>
          <t>A 35203-2023</t>
        </is>
      </c>
      <c r="B333" s="1" t="n">
        <v>45145</v>
      </c>
      <c r="C333" s="1" t="n">
        <v>46139</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44633-2025</t>
        </is>
      </c>
      <c r="B334" s="1" t="n">
        <v>45917</v>
      </c>
      <c r="C334" s="1" t="n">
        <v>46139</v>
      </c>
      <c r="D334" t="inlineStr">
        <is>
          <t>ÖSTERGÖTLANDS LÄN</t>
        </is>
      </c>
      <c r="E334" t="inlineStr">
        <is>
          <t>KINDA</t>
        </is>
      </c>
      <c r="G334" t="n">
        <v>5.1</v>
      </c>
      <c r="H334" t="n">
        <v>0</v>
      </c>
      <c r="I334" t="n">
        <v>0</v>
      </c>
      <c r="J334" t="n">
        <v>0</v>
      </c>
      <c r="K334" t="n">
        <v>0</v>
      </c>
      <c r="L334" t="n">
        <v>0</v>
      </c>
      <c r="M334" t="n">
        <v>0</v>
      </c>
      <c r="N334" t="n">
        <v>0</v>
      </c>
      <c r="O334" t="n">
        <v>0</v>
      </c>
      <c r="P334" t="n">
        <v>0</v>
      </c>
      <c r="Q334" t="n">
        <v>0</v>
      </c>
      <c r="R334" s="2" t="inlineStr"/>
    </row>
    <row r="335" ht="15" customHeight="1">
      <c r="A335" t="inlineStr">
        <is>
          <t>A 5086-2023</t>
        </is>
      </c>
      <c r="B335" s="1" t="n">
        <v>44953</v>
      </c>
      <c r="C335" s="1" t="n">
        <v>46139</v>
      </c>
      <c r="D335" t="inlineStr">
        <is>
          <t>ÖSTERGÖTLANDS LÄN</t>
        </is>
      </c>
      <c r="E335" t="inlineStr">
        <is>
          <t>KINDA</t>
        </is>
      </c>
      <c r="G335" t="n">
        <v>4.2</v>
      </c>
      <c r="H335" t="n">
        <v>0</v>
      </c>
      <c r="I335" t="n">
        <v>0</v>
      </c>
      <c r="J335" t="n">
        <v>0</v>
      </c>
      <c r="K335" t="n">
        <v>0</v>
      </c>
      <c r="L335" t="n">
        <v>0</v>
      </c>
      <c r="M335" t="n">
        <v>0</v>
      </c>
      <c r="N335" t="n">
        <v>0</v>
      </c>
      <c r="O335" t="n">
        <v>0</v>
      </c>
      <c r="P335" t="n">
        <v>0</v>
      </c>
      <c r="Q335" t="n">
        <v>0</v>
      </c>
      <c r="R335" s="2" t="inlineStr"/>
    </row>
    <row r="336" ht="15" customHeight="1">
      <c r="A336" t="inlineStr">
        <is>
          <t>A 3486-2023</t>
        </is>
      </c>
      <c r="B336" s="1" t="n">
        <v>44949.73369212963</v>
      </c>
      <c r="C336" s="1" t="n">
        <v>46139</v>
      </c>
      <c r="D336" t="inlineStr">
        <is>
          <t>ÖSTERGÖTLANDS LÄN</t>
        </is>
      </c>
      <c r="E336" t="inlineStr">
        <is>
          <t>KINDA</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53239-2023</t>
        </is>
      </c>
      <c r="B337" s="1" t="n">
        <v>45229</v>
      </c>
      <c r="C337" s="1" t="n">
        <v>46139</v>
      </c>
      <c r="D337" t="inlineStr">
        <is>
          <t>ÖSTERGÖTLANDS LÄN</t>
        </is>
      </c>
      <c r="E337" t="inlineStr">
        <is>
          <t>KINDA</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10758-2022</t>
        </is>
      </c>
      <c r="B338" s="1" t="n">
        <v>44627</v>
      </c>
      <c r="C338" s="1" t="n">
        <v>46139</v>
      </c>
      <c r="D338" t="inlineStr">
        <is>
          <t>ÖSTERGÖTLANDS LÄN</t>
        </is>
      </c>
      <c r="E338" t="inlineStr">
        <is>
          <t>KINDA</t>
        </is>
      </c>
      <c r="G338" t="n">
        <v>0.1</v>
      </c>
      <c r="H338" t="n">
        <v>0</v>
      </c>
      <c r="I338" t="n">
        <v>0</v>
      </c>
      <c r="J338" t="n">
        <v>0</v>
      </c>
      <c r="K338" t="n">
        <v>0</v>
      </c>
      <c r="L338" t="n">
        <v>0</v>
      </c>
      <c r="M338" t="n">
        <v>0</v>
      </c>
      <c r="N338" t="n">
        <v>0</v>
      </c>
      <c r="O338" t="n">
        <v>0</v>
      </c>
      <c r="P338" t="n">
        <v>0</v>
      </c>
      <c r="Q338" t="n">
        <v>0</v>
      </c>
      <c r="R338" s="2" t="inlineStr"/>
    </row>
    <row r="339" ht="15" customHeight="1">
      <c r="A339" t="inlineStr">
        <is>
          <t>A 19545-2023</t>
        </is>
      </c>
      <c r="B339" s="1" t="n">
        <v>45049</v>
      </c>
      <c r="C339" s="1" t="n">
        <v>46139</v>
      </c>
      <c r="D339" t="inlineStr">
        <is>
          <t>ÖSTERGÖTLANDS LÄN</t>
        </is>
      </c>
      <c r="E339" t="inlineStr">
        <is>
          <t>KINDA</t>
        </is>
      </c>
      <c r="G339" t="n">
        <v>2.6</v>
      </c>
      <c r="H339" t="n">
        <v>0</v>
      </c>
      <c r="I339" t="n">
        <v>0</v>
      </c>
      <c r="J339" t="n">
        <v>0</v>
      </c>
      <c r="K339" t="n">
        <v>0</v>
      </c>
      <c r="L339" t="n">
        <v>0</v>
      </c>
      <c r="M339" t="n">
        <v>0</v>
      </c>
      <c r="N339" t="n">
        <v>0</v>
      </c>
      <c r="O339" t="n">
        <v>0</v>
      </c>
      <c r="P339" t="n">
        <v>0</v>
      </c>
      <c r="Q339" t="n">
        <v>0</v>
      </c>
      <c r="R339" s="2" t="inlineStr"/>
    </row>
    <row r="340" ht="15" customHeight="1">
      <c r="A340" t="inlineStr">
        <is>
          <t>A 24067-2022</t>
        </is>
      </c>
      <c r="B340" s="1" t="n">
        <v>44725.33693287037</v>
      </c>
      <c r="C340" s="1" t="n">
        <v>46139</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23372-2025</t>
        </is>
      </c>
      <c r="B341" s="1" t="n">
        <v>45791</v>
      </c>
      <c r="C341" s="1" t="n">
        <v>46139</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1880-2025</t>
        </is>
      </c>
      <c r="B342" s="1" t="n">
        <v>45671.62322916667</v>
      </c>
      <c r="C342" s="1" t="n">
        <v>46139</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4914-2023</t>
        </is>
      </c>
      <c r="B343" s="1" t="n">
        <v>44958.38997685185</v>
      </c>
      <c r="C343" s="1" t="n">
        <v>46139</v>
      </c>
      <c r="D343" t="inlineStr">
        <is>
          <t>ÖSTERGÖTLANDS LÄN</t>
        </is>
      </c>
      <c r="E343" t="inlineStr">
        <is>
          <t>KINDA</t>
        </is>
      </c>
      <c r="G343" t="n">
        <v>1.8</v>
      </c>
      <c r="H343" t="n">
        <v>0</v>
      </c>
      <c r="I343" t="n">
        <v>0</v>
      </c>
      <c r="J343" t="n">
        <v>0</v>
      </c>
      <c r="K343" t="n">
        <v>0</v>
      </c>
      <c r="L343" t="n">
        <v>0</v>
      </c>
      <c r="M343" t="n">
        <v>0</v>
      </c>
      <c r="N343" t="n">
        <v>0</v>
      </c>
      <c r="O343" t="n">
        <v>0</v>
      </c>
      <c r="P343" t="n">
        <v>0</v>
      </c>
      <c r="Q343" t="n">
        <v>0</v>
      </c>
      <c r="R343" s="2" t="inlineStr"/>
    </row>
    <row r="344" ht="15" customHeight="1">
      <c r="A344" t="inlineStr">
        <is>
          <t>A 60343-2023</t>
        </is>
      </c>
      <c r="B344" s="1" t="n">
        <v>45259.31565972222</v>
      </c>
      <c r="C344" s="1" t="n">
        <v>46139</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45674-2025</t>
        </is>
      </c>
      <c r="B345" s="1" t="n">
        <v>45923.3625</v>
      </c>
      <c r="C345" s="1" t="n">
        <v>46139</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24023-2024</t>
        </is>
      </c>
      <c r="B346" s="1" t="n">
        <v>45456.44684027778</v>
      </c>
      <c r="C346" s="1" t="n">
        <v>46139</v>
      </c>
      <c r="D346" t="inlineStr">
        <is>
          <t>ÖSTERGÖTLANDS LÄN</t>
        </is>
      </c>
      <c r="E346" t="inlineStr">
        <is>
          <t>KINDA</t>
        </is>
      </c>
      <c r="G346" t="n">
        <v>7.1</v>
      </c>
      <c r="H346" t="n">
        <v>0</v>
      </c>
      <c r="I346" t="n">
        <v>0</v>
      </c>
      <c r="J346" t="n">
        <v>0</v>
      </c>
      <c r="K346" t="n">
        <v>0</v>
      </c>
      <c r="L346" t="n">
        <v>0</v>
      </c>
      <c r="M346" t="n">
        <v>0</v>
      </c>
      <c r="N346" t="n">
        <v>0</v>
      </c>
      <c r="O346" t="n">
        <v>0</v>
      </c>
      <c r="P346" t="n">
        <v>0</v>
      </c>
      <c r="Q346" t="n">
        <v>0</v>
      </c>
      <c r="R346" s="2" t="inlineStr"/>
    </row>
    <row r="347" ht="15" customHeight="1">
      <c r="A347" t="inlineStr">
        <is>
          <t>A 23437-2025</t>
        </is>
      </c>
      <c r="B347" s="1" t="n">
        <v>45792.37238425926</v>
      </c>
      <c r="C347" s="1" t="n">
        <v>46139</v>
      </c>
      <c r="D347" t="inlineStr">
        <is>
          <t>ÖSTERGÖTLANDS LÄN</t>
        </is>
      </c>
      <c r="E347" t="inlineStr">
        <is>
          <t>KINDA</t>
        </is>
      </c>
      <c r="G347" t="n">
        <v>5.2</v>
      </c>
      <c r="H347" t="n">
        <v>0</v>
      </c>
      <c r="I347" t="n">
        <v>0</v>
      </c>
      <c r="J347" t="n">
        <v>0</v>
      </c>
      <c r="K347" t="n">
        <v>0</v>
      </c>
      <c r="L347" t="n">
        <v>0</v>
      </c>
      <c r="M347" t="n">
        <v>0</v>
      </c>
      <c r="N347" t="n">
        <v>0</v>
      </c>
      <c r="O347" t="n">
        <v>0</v>
      </c>
      <c r="P347" t="n">
        <v>0</v>
      </c>
      <c r="Q347" t="n">
        <v>0</v>
      </c>
      <c r="R347" s="2" t="inlineStr"/>
    </row>
    <row r="348" ht="15" customHeight="1">
      <c r="A348" t="inlineStr">
        <is>
          <t>A 610-2022</t>
        </is>
      </c>
      <c r="B348" s="1" t="n">
        <v>44567.77518518519</v>
      </c>
      <c r="C348" s="1" t="n">
        <v>46139</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24133-2025</t>
        </is>
      </c>
      <c r="B349" s="1" t="n">
        <v>45796.63584490741</v>
      </c>
      <c r="C349" s="1" t="n">
        <v>46139</v>
      </c>
      <c r="D349" t="inlineStr">
        <is>
          <t>ÖSTERGÖTLANDS LÄN</t>
        </is>
      </c>
      <c r="E349" t="inlineStr">
        <is>
          <t>KINDA</t>
        </is>
      </c>
      <c r="G349" t="n">
        <v>1.6</v>
      </c>
      <c r="H349" t="n">
        <v>0</v>
      </c>
      <c r="I349" t="n">
        <v>0</v>
      </c>
      <c r="J349" t="n">
        <v>0</v>
      </c>
      <c r="K349" t="n">
        <v>0</v>
      </c>
      <c r="L349" t="n">
        <v>0</v>
      </c>
      <c r="M349" t="n">
        <v>0</v>
      </c>
      <c r="N349" t="n">
        <v>0</v>
      </c>
      <c r="O349" t="n">
        <v>0</v>
      </c>
      <c r="P349" t="n">
        <v>0</v>
      </c>
      <c r="Q349" t="n">
        <v>0</v>
      </c>
      <c r="R349" s="2" t="inlineStr"/>
    </row>
    <row r="350" ht="15" customHeight="1">
      <c r="A350" t="inlineStr">
        <is>
          <t>A 43688-2023</t>
        </is>
      </c>
      <c r="B350" s="1" t="n">
        <v>45187</v>
      </c>
      <c r="C350" s="1" t="n">
        <v>46139</v>
      </c>
      <c r="D350" t="inlineStr">
        <is>
          <t>ÖSTERGÖTLANDS LÄN</t>
        </is>
      </c>
      <c r="E350" t="inlineStr">
        <is>
          <t>KINDA</t>
        </is>
      </c>
      <c r="F350" t="inlineStr">
        <is>
          <t>Övriga Aktiebolag</t>
        </is>
      </c>
      <c r="G350" t="n">
        <v>1.5</v>
      </c>
      <c r="H350" t="n">
        <v>0</v>
      </c>
      <c r="I350" t="n">
        <v>0</v>
      </c>
      <c r="J350" t="n">
        <v>0</v>
      </c>
      <c r="K350" t="n">
        <v>0</v>
      </c>
      <c r="L350" t="n">
        <v>0</v>
      </c>
      <c r="M350" t="n">
        <v>0</v>
      </c>
      <c r="N350" t="n">
        <v>0</v>
      </c>
      <c r="O350" t="n">
        <v>0</v>
      </c>
      <c r="P350" t="n">
        <v>0</v>
      </c>
      <c r="Q350" t="n">
        <v>0</v>
      </c>
      <c r="R350" s="2" t="inlineStr"/>
    </row>
    <row r="351" ht="15" customHeight="1">
      <c r="A351" t="inlineStr">
        <is>
          <t>A 46919-2025</t>
        </is>
      </c>
      <c r="B351" s="1" t="n">
        <v>45929.43230324074</v>
      </c>
      <c r="C351" s="1" t="n">
        <v>46139</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46914-2025</t>
        </is>
      </c>
      <c r="B352" s="1" t="n">
        <v>45929.41962962963</v>
      </c>
      <c r="C352" s="1" t="n">
        <v>46139</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46916-2025</t>
        </is>
      </c>
      <c r="B353" s="1" t="n">
        <v>45929.42545138889</v>
      </c>
      <c r="C353" s="1" t="n">
        <v>46139</v>
      </c>
      <c r="D353" t="inlineStr">
        <is>
          <t>ÖSTERGÖTLANDS LÄN</t>
        </is>
      </c>
      <c r="E353" t="inlineStr">
        <is>
          <t>KINDA</t>
        </is>
      </c>
      <c r="G353" t="n">
        <v>3.4</v>
      </c>
      <c r="H353" t="n">
        <v>0</v>
      </c>
      <c r="I353" t="n">
        <v>0</v>
      </c>
      <c r="J353" t="n">
        <v>0</v>
      </c>
      <c r="K353" t="n">
        <v>0</v>
      </c>
      <c r="L353" t="n">
        <v>0</v>
      </c>
      <c r="M353" t="n">
        <v>0</v>
      </c>
      <c r="N353" t="n">
        <v>0</v>
      </c>
      <c r="O353" t="n">
        <v>0</v>
      </c>
      <c r="P353" t="n">
        <v>0</v>
      </c>
      <c r="Q353" t="n">
        <v>0</v>
      </c>
      <c r="R353" s="2" t="inlineStr"/>
    </row>
    <row r="354" ht="15" customHeight="1">
      <c r="A354" t="inlineStr">
        <is>
          <t>A 46926-2025</t>
        </is>
      </c>
      <c r="B354" s="1" t="n">
        <v>45929.43957175926</v>
      </c>
      <c r="C354" s="1" t="n">
        <v>46139</v>
      </c>
      <c r="D354" t="inlineStr">
        <is>
          <t>ÖSTERGÖTLANDS LÄN</t>
        </is>
      </c>
      <c r="E354" t="inlineStr">
        <is>
          <t>KINDA</t>
        </is>
      </c>
      <c r="G354" t="n">
        <v>2.1</v>
      </c>
      <c r="H354" t="n">
        <v>0</v>
      </c>
      <c r="I354" t="n">
        <v>0</v>
      </c>
      <c r="J354" t="n">
        <v>0</v>
      </c>
      <c r="K354" t="n">
        <v>0</v>
      </c>
      <c r="L354" t="n">
        <v>0</v>
      </c>
      <c r="M354" t="n">
        <v>0</v>
      </c>
      <c r="N354" t="n">
        <v>0</v>
      </c>
      <c r="O354" t="n">
        <v>0</v>
      </c>
      <c r="P354" t="n">
        <v>0</v>
      </c>
      <c r="Q354" t="n">
        <v>0</v>
      </c>
      <c r="R354" s="2" t="inlineStr"/>
    </row>
    <row r="355" ht="15" customHeight="1">
      <c r="A355" t="inlineStr">
        <is>
          <t>A 46890-2025</t>
        </is>
      </c>
      <c r="B355" s="1" t="n">
        <v>45929</v>
      </c>
      <c r="C355" s="1" t="n">
        <v>46139</v>
      </c>
      <c r="D355" t="inlineStr">
        <is>
          <t>ÖSTERGÖTLANDS LÄN</t>
        </is>
      </c>
      <c r="E355" t="inlineStr">
        <is>
          <t>KINDA</t>
        </is>
      </c>
      <c r="G355" t="n">
        <v>3.8</v>
      </c>
      <c r="H355" t="n">
        <v>0</v>
      </c>
      <c r="I355" t="n">
        <v>0</v>
      </c>
      <c r="J355" t="n">
        <v>0</v>
      </c>
      <c r="K355" t="n">
        <v>0</v>
      </c>
      <c r="L355" t="n">
        <v>0</v>
      </c>
      <c r="M355" t="n">
        <v>0</v>
      </c>
      <c r="N355" t="n">
        <v>0</v>
      </c>
      <c r="O355" t="n">
        <v>0</v>
      </c>
      <c r="P355" t="n">
        <v>0</v>
      </c>
      <c r="Q355" t="n">
        <v>0</v>
      </c>
      <c r="R355" s="2" t="inlineStr"/>
    </row>
    <row r="356" ht="15" customHeight="1">
      <c r="A356" t="inlineStr">
        <is>
          <t>A 46901-2025</t>
        </is>
      </c>
      <c r="B356" s="1" t="n">
        <v>45929.39244212963</v>
      </c>
      <c r="C356" s="1" t="n">
        <v>46139</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24844-2024</t>
        </is>
      </c>
      <c r="B357" s="1" t="n">
        <v>45461.42116898148</v>
      </c>
      <c r="C357" s="1" t="n">
        <v>46139</v>
      </c>
      <c r="D357" t="inlineStr">
        <is>
          <t>ÖSTERGÖTLANDS LÄN</t>
        </is>
      </c>
      <c r="E357" t="inlineStr">
        <is>
          <t>KINDA</t>
        </is>
      </c>
      <c r="G357" t="n">
        <v>0.9</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46139</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24130-2025</t>
        </is>
      </c>
      <c r="B359" s="1" t="n">
        <v>45796.63424768519</v>
      </c>
      <c r="C359" s="1" t="n">
        <v>46139</v>
      </c>
      <c r="D359" t="inlineStr">
        <is>
          <t>ÖSTERGÖTLANDS LÄN</t>
        </is>
      </c>
      <c r="E359" t="inlineStr">
        <is>
          <t>KINDA</t>
        </is>
      </c>
      <c r="G359" t="n">
        <v>1.6</v>
      </c>
      <c r="H359" t="n">
        <v>0</v>
      </c>
      <c r="I359" t="n">
        <v>0</v>
      </c>
      <c r="J359" t="n">
        <v>0</v>
      </c>
      <c r="K359" t="n">
        <v>0</v>
      </c>
      <c r="L359" t="n">
        <v>0</v>
      </c>
      <c r="M359" t="n">
        <v>0</v>
      </c>
      <c r="N359" t="n">
        <v>0</v>
      </c>
      <c r="O359" t="n">
        <v>0</v>
      </c>
      <c r="P359" t="n">
        <v>0</v>
      </c>
      <c r="Q359" t="n">
        <v>0</v>
      </c>
      <c r="R359" s="2" t="inlineStr"/>
    </row>
    <row r="360" ht="15" customHeight="1">
      <c r="A360" t="inlineStr">
        <is>
          <t>A 8590-2024</t>
        </is>
      </c>
      <c r="B360" s="1" t="n">
        <v>45352</v>
      </c>
      <c r="C360" s="1" t="n">
        <v>46139</v>
      </c>
      <c r="D360" t="inlineStr">
        <is>
          <t>ÖSTERGÖTLANDS LÄN</t>
        </is>
      </c>
      <c r="E360" t="inlineStr">
        <is>
          <t>KINDA</t>
        </is>
      </c>
      <c r="G360" t="n">
        <v>1.4</v>
      </c>
      <c r="H360" t="n">
        <v>0</v>
      </c>
      <c r="I360" t="n">
        <v>0</v>
      </c>
      <c r="J360" t="n">
        <v>0</v>
      </c>
      <c r="K360" t="n">
        <v>0</v>
      </c>
      <c r="L360" t="n">
        <v>0</v>
      </c>
      <c r="M360" t="n">
        <v>0</v>
      </c>
      <c r="N360" t="n">
        <v>0</v>
      </c>
      <c r="O360" t="n">
        <v>0</v>
      </c>
      <c r="P360" t="n">
        <v>0</v>
      </c>
      <c r="Q360" t="n">
        <v>0</v>
      </c>
      <c r="R360" s="2" t="inlineStr"/>
    </row>
    <row r="361" ht="15" customHeight="1">
      <c r="A361" t="inlineStr">
        <is>
          <t>A 21716-2024</t>
        </is>
      </c>
      <c r="B361" s="1" t="n">
        <v>45442.48741898148</v>
      </c>
      <c r="C361" s="1" t="n">
        <v>46139</v>
      </c>
      <c r="D361" t="inlineStr">
        <is>
          <t>ÖSTERGÖTLANDS LÄN</t>
        </is>
      </c>
      <c r="E361" t="inlineStr">
        <is>
          <t>KINDA</t>
        </is>
      </c>
      <c r="G361" t="n">
        <v>0.2</v>
      </c>
      <c r="H361" t="n">
        <v>0</v>
      </c>
      <c r="I361" t="n">
        <v>0</v>
      </c>
      <c r="J361" t="n">
        <v>0</v>
      </c>
      <c r="K361" t="n">
        <v>0</v>
      </c>
      <c r="L361" t="n">
        <v>0</v>
      </c>
      <c r="M361" t="n">
        <v>0</v>
      </c>
      <c r="N361" t="n">
        <v>0</v>
      </c>
      <c r="O361" t="n">
        <v>0</v>
      </c>
      <c r="P361" t="n">
        <v>0</v>
      </c>
      <c r="Q361" t="n">
        <v>0</v>
      </c>
      <c r="R361" s="2" t="inlineStr"/>
    </row>
    <row r="362" ht="15" customHeight="1">
      <c r="A362" t="inlineStr">
        <is>
          <t>A 46944-2025</t>
        </is>
      </c>
      <c r="B362" s="1" t="n">
        <v>45929.45878472222</v>
      </c>
      <c r="C362" s="1" t="n">
        <v>46139</v>
      </c>
      <c r="D362" t="inlineStr">
        <is>
          <t>ÖSTERGÖTLANDS LÄN</t>
        </is>
      </c>
      <c r="E362" t="inlineStr">
        <is>
          <t>KINDA</t>
        </is>
      </c>
      <c r="G362" t="n">
        <v>3.1</v>
      </c>
      <c r="H362" t="n">
        <v>0</v>
      </c>
      <c r="I362" t="n">
        <v>0</v>
      </c>
      <c r="J362" t="n">
        <v>0</v>
      </c>
      <c r="K362" t="n">
        <v>0</v>
      </c>
      <c r="L362" t="n">
        <v>0</v>
      </c>
      <c r="M362" t="n">
        <v>0</v>
      </c>
      <c r="N362" t="n">
        <v>0</v>
      </c>
      <c r="O362" t="n">
        <v>0</v>
      </c>
      <c r="P362" t="n">
        <v>0</v>
      </c>
      <c r="Q362" t="n">
        <v>0</v>
      </c>
      <c r="R362" s="2" t="inlineStr"/>
    </row>
    <row r="363" ht="15" customHeight="1">
      <c r="A363" t="inlineStr">
        <is>
          <t>A 24128-2025</t>
        </is>
      </c>
      <c r="B363" s="1" t="n">
        <v>45796.63180555555</v>
      </c>
      <c r="C363" s="1" t="n">
        <v>46139</v>
      </c>
      <c r="D363" t="inlineStr">
        <is>
          <t>ÖSTERGÖTLANDS LÄN</t>
        </is>
      </c>
      <c r="E363" t="inlineStr">
        <is>
          <t>KINDA</t>
        </is>
      </c>
      <c r="G363" t="n">
        <v>1</v>
      </c>
      <c r="H363" t="n">
        <v>0</v>
      </c>
      <c r="I363" t="n">
        <v>0</v>
      </c>
      <c r="J363" t="n">
        <v>0</v>
      </c>
      <c r="K363" t="n">
        <v>0</v>
      </c>
      <c r="L363" t="n">
        <v>0</v>
      </c>
      <c r="M363" t="n">
        <v>0</v>
      </c>
      <c r="N363" t="n">
        <v>0</v>
      </c>
      <c r="O363" t="n">
        <v>0</v>
      </c>
      <c r="P363" t="n">
        <v>0</v>
      </c>
      <c r="Q363" t="n">
        <v>0</v>
      </c>
      <c r="R363" s="2" t="inlineStr"/>
    </row>
    <row r="364" ht="15" customHeight="1">
      <c r="A364" t="inlineStr">
        <is>
          <t>A 24446-2025</t>
        </is>
      </c>
      <c r="B364" s="1" t="n">
        <v>45798.33460648148</v>
      </c>
      <c r="C364" s="1" t="n">
        <v>46139</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24448-2025</t>
        </is>
      </c>
      <c r="B365" s="1" t="n">
        <v>45798.33824074074</v>
      </c>
      <c r="C365" s="1" t="n">
        <v>46139</v>
      </c>
      <c r="D365" t="inlineStr">
        <is>
          <t>ÖSTERGÖTLANDS LÄN</t>
        </is>
      </c>
      <c r="E365" t="inlineStr">
        <is>
          <t>KINDA</t>
        </is>
      </c>
      <c r="G365" t="n">
        <v>0.7</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46139</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48193-2025</t>
        </is>
      </c>
      <c r="B367" s="1" t="n">
        <v>45933.46984953704</v>
      </c>
      <c r="C367" s="1" t="n">
        <v>46139</v>
      </c>
      <c r="D367" t="inlineStr">
        <is>
          <t>ÖSTERGÖTLANDS LÄN</t>
        </is>
      </c>
      <c r="E367" t="inlineStr">
        <is>
          <t>KINDA</t>
        </is>
      </c>
      <c r="G367" t="n">
        <v>1.2</v>
      </c>
      <c r="H367" t="n">
        <v>0</v>
      </c>
      <c r="I367" t="n">
        <v>0</v>
      </c>
      <c r="J367" t="n">
        <v>0</v>
      </c>
      <c r="K367" t="n">
        <v>0</v>
      </c>
      <c r="L367" t="n">
        <v>0</v>
      </c>
      <c r="M367" t="n">
        <v>0</v>
      </c>
      <c r="N367" t="n">
        <v>0</v>
      </c>
      <c r="O367" t="n">
        <v>0</v>
      </c>
      <c r="P367" t="n">
        <v>0</v>
      </c>
      <c r="Q367" t="n">
        <v>0</v>
      </c>
      <c r="R367" s="2" t="inlineStr"/>
    </row>
    <row r="368" ht="15" customHeight="1">
      <c r="A368" t="inlineStr">
        <is>
          <t>A 5665-2023</t>
        </is>
      </c>
      <c r="B368" s="1" t="n">
        <v>44960.64481481481</v>
      </c>
      <c r="C368" s="1" t="n">
        <v>46139</v>
      </c>
      <c r="D368" t="inlineStr">
        <is>
          <t>ÖSTERGÖTLANDS LÄN</t>
        </is>
      </c>
      <c r="E368" t="inlineStr">
        <is>
          <t>KINDA</t>
        </is>
      </c>
      <c r="G368" t="n">
        <v>6.7</v>
      </c>
      <c r="H368" t="n">
        <v>0</v>
      </c>
      <c r="I368" t="n">
        <v>0</v>
      </c>
      <c r="J368" t="n">
        <v>0</v>
      </c>
      <c r="K368" t="n">
        <v>0</v>
      </c>
      <c r="L368" t="n">
        <v>0</v>
      </c>
      <c r="M368" t="n">
        <v>0</v>
      </c>
      <c r="N368" t="n">
        <v>0</v>
      </c>
      <c r="O368" t="n">
        <v>0</v>
      </c>
      <c r="P368" t="n">
        <v>0</v>
      </c>
      <c r="Q368" t="n">
        <v>0</v>
      </c>
      <c r="R368" s="2" t="inlineStr"/>
    </row>
    <row r="369" ht="15" customHeight="1">
      <c r="A369" t="inlineStr">
        <is>
          <t>A 24774-2025</t>
        </is>
      </c>
      <c r="B369" s="1" t="n">
        <v>45799</v>
      </c>
      <c r="C369" s="1" t="n">
        <v>46139</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24754-2025</t>
        </is>
      </c>
      <c r="B370" s="1" t="n">
        <v>45799.36881944445</v>
      </c>
      <c r="C370" s="1" t="n">
        <v>46139</v>
      </c>
      <c r="D370" t="inlineStr">
        <is>
          <t>ÖSTERGÖTLANDS LÄN</t>
        </is>
      </c>
      <c r="E370" t="inlineStr">
        <is>
          <t>KINDA</t>
        </is>
      </c>
      <c r="G370" t="n">
        <v>2</v>
      </c>
      <c r="H370" t="n">
        <v>0</v>
      </c>
      <c r="I370" t="n">
        <v>0</v>
      </c>
      <c r="J370" t="n">
        <v>0</v>
      </c>
      <c r="K370" t="n">
        <v>0</v>
      </c>
      <c r="L370" t="n">
        <v>0</v>
      </c>
      <c r="M370" t="n">
        <v>0</v>
      </c>
      <c r="N370" t="n">
        <v>0</v>
      </c>
      <c r="O370" t="n">
        <v>0</v>
      </c>
      <c r="P370" t="n">
        <v>0</v>
      </c>
      <c r="Q370" t="n">
        <v>0</v>
      </c>
      <c r="R370" s="2" t="inlineStr"/>
    </row>
    <row r="371" ht="15" customHeight="1">
      <c r="A371" t="inlineStr">
        <is>
          <t>A 19161-2025</t>
        </is>
      </c>
      <c r="B371" s="1" t="n">
        <v>45769.37105324074</v>
      </c>
      <c r="C371" s="1" t="n">
        <v>46139</v>
      </c>
      <c r="D371" t="inlineStr">
        <is>
          <t>ÖSTERGÖTLANDS LÄN</t>
        </is>
      </c>
      <c r="E371" t="inlineStr">
        <is>
          <t>KINDA</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47956-2025</t>
        </is>
      </c>
      <c r="B372" s="1" t="n">
        <v>45932.59002314815</v>
      </c>
      <c r="C372" s="1" t="n">
        <v>46139</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47958-2025</t>
        </is>
      </c>
      <c r="B373" s="1" t="n">
        <v>45932.59138888889</v>
      </c>
      <c r="C373" s="1" t="n">
        <v>46139</v>
      </c>
      <c r="D373" t="inlineStr">
        <is>
          <t>ÖSTERGÖTLANDS LÄN</t>
        </is>
      </c>
      <c r="E373" t="inlineStr">
        <is>
          <t>KINDA</t>
        </is>
      </c>
      <c r="G373" t="n">
        <v>5.5</v>
      </c>
      <c r="H373" t="n">
        <v>0</v>
      </c>
      <c r="I373" t="n">
        <v>0</v>
      </c>
      <c r="J373" t="n">
        <v>0</v>
      </c>
      <c r="K373" t="n">
        <v>0</v>
      </c>
      <c r="L373" t="n">
        <v>0</v>
      </c>
      <c r="M373" t="n">
        <v>0</v>
      </c>
      <c r="N373" t="n">
        <v>0</v>
      </c>
      <c r="O373" t="n">
        <v>0</v>
      </c>
      <c r="P373" t="n">
        <v>0</v>
      </c>
      <c r="Q373" t="n">
        <v>0</v>
      </c>
      <c r="R373" s="2" t="inlineStr"/>
    </row>
    <row r="374" ht="15" customHeight="1">
      <c r="A374" t="inlineStr">
        <is>
          <t>A 47936-2025</t>
        </is>
      </c>
      <c r="B374" s="1" t="n">
        <v>45932.55936342593</v>
      </c>
      <c r="C374" s="1" t="n">
        <v>46139</v>
      </c>
      <c r="D374" t="inlineStr">
        <is>
          <t>ÖSTERGÖTLANDS LÄN</t>
        </is>
      </c>
      <c r="E374" t="inlineStr">
        <is>
          <t>KINDA</t>
        </is>
      </c>
      <c r="G374" t="n">
        <v>2.7</v>
      </c>
      <c r="H374" t="n">
        <v>0</v>
      </c>
      <c r="I374" t="n">
        <v>0</v>
      </c>
      <c r="J374" t="n">
        <v>0</v>
      </c>
      <c r="K374" t="n">
        <v>0</v>
      </c>
      <c r="L374" t="n">
        <v>0</v>
      </c>
      <c r="M374" t="n">
        <v>0</v>
      </c>
      <c r="N374" t="n">
        <v>0</v>
      </c>
      <c r="O374" t="n">
        <v>0</v>
      </c>
      <c r="P374" t="n">
        <v>0</v>
      </c>
      <c r="Q374" t="n">
        <v>0</v>
      </c>
      <c r="R374" s="2" t="inlineStr"/>
    </row>
    <row r="375" ht="15" customHeight="1">
      <c r="A375" t="inlineStr">
        <is>
          <t>A 48194-2025</t>
        </is>
      </c>
      <c r="B375" s="1" t="n">
        <v>45933.47111111111</v>
      </c>
      <c r="C375" s="1" t="n">
        <v>46139</v>
      </c>
      <c r="D375" t="inlineStr">
        <is>
          <t>ÖSTERGÖTLANDS LÄN</t>
        </is>
      </c>
      <c r="E375" t="inlineStr">
        <is>
          <t>KINDA</t>
        </is>
      </c>
      <c r="G375" t="n">
        <v>2.6</v>
      </c>
      <c r="H375" t="n">
        <v>0</v>
      </c>
      <c r="I375" t="n">
        <v>0</v>
      </c>
      <c r="J375" t="n">
        <v>0</v>
      </c>
      <c r="K375" t="n">
        <v>0</v>
      </c>
      <c r="L375" t="n">
        <v>0</v>
      </c>
      <c r="M375" t="n">
        <v>0</v>
      </c>
      <c r="N375" t="n">
        <v>0</v>
      </c>
      <c r="O375" t="n">
        <v>0</v>
      </c>
      <c r="P375" t="n">
        <v>0</v>
      </c>
      <c r="Q375" t="n">
        <v>0</v>
      </c>
      <c r="R375" s="2" t="inlineStr"/>
    </row>
    <row r="376" ht="15" customHeight="1">
      <c r="A376" t="inlineStr">
        <is>
          <t>A 61957-2022</t>
        </is>
      </c>
      <c r="B376" s="1" t="n">
        <v>44918.34216435185</v>
      </c>
      <c r="C376" s="1" t="n">
        <v>46139</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48592-2025</t>
        </is>
      </c>
      <c r="B377" s="1" t="n">
        <v>45935</v>
      </c>
      <c r="C377" s="1" t="n">
        <v>46139</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57342-2023</t>
        </is>
      </c>
      <c r="B378" s="1" t="n">
        <v>45245.67082175926</v>
      </c>
      <c r="C378" s="1" t="n">
        <v>46139</v>
      </c>
      <c r="D378" t="inlineStr">
        <is>
          <t>ÖSTERGÖTLANDS LÄN</t>
        </is>
      </c>
      <c r="E378" t="inlineStr">
        <is>
          <t>KINDA</t>
        </is>
      </c>
      <c r="G378" t="n">
        <v>2.7</v>
      </c>
      <c r="H378" t="n">
        <v>0</v>
      </c>
      <c r="I378" t="n">
        <v>0</v>
      </c>
      <c r="J378" t="n">
        <v>0</v>
      </c>
      <c r="K378" t="n">
        <v>0</v>
      </c>
      <c r="L378" t="n">
        <v>0</v>
      </c>
      <c r="M378" t="n">
        <v>0</v>
      </c>
      <c r="N378" t="n">
        <v>0</v>
      </c>
      <c r="O378" t="n">
        <v>0</v>
      </c>
      <c r="P378" t="n">
        <v>0</v>
      </c>
      <c r="Q378" t="n">
        <v>0</v>
      </c>
      <c r="R378" s="2" t="inlineStr"/>
    </row>
    <row r="379" ht="15" customHeight="1">
      <c r="A379" t="inlineStr">
        <is>
          <t>A 26567-2025</t>
        </is>
      </c>
      <c r="B379" s="1" t="n">
        <v>45807.66878472222</v>
      </c>
      <c r="C379" s="1" t="n">
        <v>46139</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49834-2025</t>
        </is>
      </c>
      <c r="B380" s="1" t="n">
        <v>45940.46385416666</v>
      </c>
      <c r="C380" s="1" t="n">
        <v>46139</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50179-2025</t>
        </is>
      </c>
      <c r="B381" s="1" t="n">
        <v>45943.61493055556</v>
      </c>
      <c r="C381" s="1" t="n">
        <v>46139</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35672-2022</t>
        </is>
      </c>
      <c r="B382" s="1" t="n">
        <v>44799.59876157407</v>
      </c>
      <c r="C382" s="1" t="n">
        <v>46139</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46139</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27105-2025</t>
        </is>
      </c>
      <c r="B384" s="1" t="n">
        <v>45811</v>
      </c>
      <c r="C384" s="1" t="n">
        <v>46139</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27600-2025</t>
        </is>
      </c>
      <c r="B385" s="1" t="n">
        <v>45813.52677083333</v>
      </c>
      <c r="C385" s="1" t="n">
        <v>46139</v>
      </c>
      <c r="D385" t="inlineStr">
        <is>
          <t>ÖSTERGÖTLANDS LÄN</t>
        </is>
      </c>
      <c r="E385" t="inlineStr">
        <is>
          <t>KINDA</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27587-2025</t>
        </is>
      </c>
      <c r="B386" s="1" t="n">
        <v>45813.50763888889</v>
      </c>
      <c r="C386" s="1" t="n">
        <v>46139</v>
      </c>
      <c r="D386" t="inlineStr">
        <is>
          <t>ÖSTERGÖTLANDS LÄN</t>
        </is>
      </c>
      <c r="E386" t="inlineStr">
        <is>
          <t>KINDA</t>
        </is>
      </c>
      <c r="F386" t="inlineStr">
        <is>
          <t>Övriga Aktiebolag</t>
        </is>
      </c>
      <c r="G386" t="n">
        <v>13.6</v>
      </c>
      <c r="H386" t="n">
        <v>0</v>
      </c>
      <c r="I386" t="n">
        <v>0</v>
      </c>
      <c r="J386" t="n">
        <v>0</v>
      </c>
      <c r="K386" t="n">
        <v>0</v>
      </c>
      <c r="L386" t="n">
        <v>0</v>
      </c>
      <c r="M386" t="n">
        <v>0</v>
      </c>
      <c r="N386" t="n">
        <v>0</v>
      </c>
      <c r="O386" t="n">
        <v>0</v>
      </c>
      <c r="P386" t="n">
        <v>0</v>
      </c>
      <c r="Q386" t="n">
        <v>0</v>
      </c>
      <c r="R386" s="2" t="inlineStr"/>
    </row>
    <row r="387" ht="15" customHeight="1">
      <c r="A387" t="inlineStr">
        <is>
          <t>A 29717-2023</t>
        </is>
      </c>
      <c r="B387" s="1" t="n">
        <v>45107.42807870371</v>
      </c>
      <c r="C387" s="1" t="n">
        <v>46139</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27608-2025</t>
        </is>
      </c>
      <c r="B388" s="1" t="n">
        <v>45813.53402777778</v>
      </c>
      <c r="C388" s="1" t="n">
        <v>46139</v>
      </c>
      <c r="D388" t="inlineStr">
        <is>
          <t>ÖSTERGÖTLANDS LÄN</t>
        </is>
      </c>
      <c r="E388" t="inlineStr">
        <is>
          <t>KINDA</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46139</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20920-2021</t>
        </is>
      </c>
      <c r="B390" s="1" t="n">
        <v>44319</v>
      </c>
      <c r="C390" s="1" t="n">
        <v>46139</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49096-2022</t>
        </is>
      </c>
      <c r="B391" s="1" t="n">
        <v>44860</v>
      </c>
      <c r="C391" s="1" t="n">
        <v>46139</v>
      </c>
      <c r="D391" t="inlineStr">
        <is>
          <t>ÖSTERGÖTLANDS LÄN</t>
        </is>
      </c>
      <c r="E391" t="inlineStr">
        <is>
          <t>KINDA</t>
        </is>
      </c>
      <c r="G391" t="n">
        <v>5.1</v>
      </c>
      <c r="H391" t="n">
        <v>0</v>
      </c>
      <c r="I391" t="n">
        <v>0</v>
      </c>
      <c r="J391" t="n">
        <v>0</v>
      </c>
      <c r="K391" t="n">
        <v>0</v>
      </c>
      <c r="L391" t="n">
        <v>0</v>
      </c>
      <c r="M391" t="n">
        <v>0</v>
      </c>
      <c r="N391" t="n">
        <v>0</v>
      </c>
      <c r="O391" t="n">
        <v>0</v>
      </c>
      <c r="P391" t="n">
        <v>0</v>
      </c>
      <c r="Q391" t="n">
        <v>0</v>
      </c>
      <c r="R391" s="2" t="inlineStr"/>
    </row>
    <row r="392" ht="15" customHeight="1">
      <c r="A392" t="inlineStr">
        <is>
          <t>A 27969-2025</t>
        </is>
      </c>
      <c r="B392" s="1" t="n">
        <v>45817.55887731481</v>
      </c>
      <c r="C392" s="1" t="n">
        <v>46139</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27966-2025</t>
        </is>
      </c>
      <c r="B393" s="1" t="n">
        <v>45817.55668981482</v>
      </c>
      <c r="C393" s="1" t="n">
        <v>46139</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2644-2025</t>
        </is>
      </c>
      <c r="B394" s="1" t="n">
        <v>45676</v>
      </c>
      <c r="C394" s="1" t="n">
        <v>46139</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2645-2025</t>
        </is>
      </c>
      <c r="B395" s="1" t="n">
        <v>45676.49690972222</v>
      </c>
      <c r="C395" s="1" t="n">
        <v>46139</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28256-2025</t>
        </is>
      </c>
      <c r="B396" s="1" t="n">
        <v>45818</v>
      </c>
      <c r="C396" s="1" t="n">
        <v>46139</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28258-2025</t>
        </is>
      </c>
      <c r="B397" s="1" t="n">
        <v>45818</v>
      </c>
      <c r="C397" s="1" t="n">
        <v>46139</v>
      </c>
      <c r="D397" t="inlineStr">
        <is>
          <t>ÖSTERGÖTLANDS LÄN</t>
        </is>
      </c>
      <c r="E397" t="inlineStr">
        <is>
          <t>KINDA</t>
        </is>
      </c>
      <c r="G397" t="n">
        <v>3.4</v>
      </c>
      <c r="H397" t="n">
        <v>0</v>
      </c>
      <c r="I397" t="n">
        <v>0</v>
      </c>
      <c r="J397" t="n">
        <v>0</v>
      </c>
      <c r="K397" t="n">
        <v>0</v>
      </c>
      <c r="L397" t="n">
        <v>0</v>
      </c>
      <c r="M397" t="n">
        <v>0</v>
      </c>
      <c r="N397" t="n">
        <v>0</v>
      </c>
      <c r="O397" t="n">
        <v>0</v>
      </c>
      <c r="P397" t="n">
        <v>0</v>
      </c>
      <c r="Q397" t="n">
        <v>0</v>
      </c>
      <c r="R397" s="2" t="inlineStr"/>
    </row>
    <row r="398" ht="15" customHeight="1">
      <c r="A398" t="inlineStr">
        <is>
          <t>A 28552-2025</t>
        </is>
      </c>
      <c r="B398" s="1" t="n">
        <v>45819.53686342593</v>
      </c>
      <c r="C398" s="1" t="n">
        <v>46139</v>
      </c>
      <c r="D398" t="inlineStr">
        <is>
          <t>ÖSTERGÖTLANDS LÄN</t>
        </is>
      </c>
      <c r="E398" t="inlineStr">
        <is>
          <t>KINDA</t>
        </is>
      </c>
      <c r="F398" t="inlineStr">
        <is>
          <t>Övriga Aktiebolag</t>
        </is>
      </c>
      <c r="G398" t="n">
        <v>1.4</v>
      </c>
      <c r="H398" t="n">
        <v>0</v>
      </c>
      <c r="I398" t="n">
        <v>0</v>
      </c>
      <c r="J398" t="n">
        <v>0</v>
      </c>
      <c r="K398" t="n">
        <v>0</v>
      </c>
      <c r="L398" t="n">
        <v>0</v>
      </c>
      <c r="M398" t="n">
        <v>0</v>
      </c>
      <c r="N398" t="n">
        <v>0</v>
      </c>
      <c r="O398" t="n">
        <v>0</v>
      </c>
      <c r="P398" t="n">
        <v>0</v>
      </c>
      <c r="Q398" t="n">
        <v>0</v>
      </c>
      <c r="R398" s="2" t="inlineStr"/>
    </row>
    <row r="399" ht="15" customHeight="1">
      <c r="A399" t="inlineStr">
        <is>
          <t>A 28568-2025</t>
        </is>
      </c>
      <c r="B399" s="1" t="n">
        <v>45819.55849537037</v>
      </c>
      <c r="C399" s="1" t="n">
        <v>46139</v>
      </c>
      <c r="D399" t="inlineStr">
        <is>
          <t>ÖSTERGÖTLANDS LÄN</t>
        </is>
      </c>
      <c r="E399" t="inlineStr">
        <is>
          <t>KINDA</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28611-2025</t>
        </is>
      </c>
      <c r="B400" s="1" t="n">
        <v>45819.60376157407</v>
      </c>
      <c r="C400" s="1" t="n">
        <v>46139</v>
      </c>
      <c r="D400" t="inlineStr">
        <is>
          <t>ÖSTERGÖTLANDS LÄN</t>
        </is>
      </c>
      <c r="E400" t="inlineStr">
        <is>
          <t>KINDA</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28479-2025</t>
        </is>
      </c>
      <c r="B401" s="1" t="n">
        <v>45819.4475</v>
      </c>
      <c r="C401" s="1" t="n">
        <v>46139</v>
      </c>
      <c r="D401" t="inlineStr">
        <is>
          <t>ÖSTERGÖTLANDS LÄN</t>
        </is>
      </c>
      <c r="E401" t="inlineStr">
        <is>
          <t>KINDA</t>
        </is>
      </c>
      <c r="F401" t="inlineStr">
        <is>
          <t>Övriga Aktiebolag</t>
        </is>
      </c>
      <c r="G401" t="n">
        <v>15.2</v>
      </c>
      <c r="H401" t="n">
        <v>0</v>
      </c>
      <c r="I401" t="n">
        <v>0</v>
      </c>
      <c r="J401" t="n">
        <v>0</v>
      </c>
      <c r="K401" t="n">
        <v>0</v>
      </c>
      <c r="L401" t="n">
        <v>0</v>
      </c>
      <c r="M401" t="n">
        <v>0</v>
      </c>
      <c r="N401" t="n">
        <v>0</v>
      </c>
      <c r="O401" t="n">
        <v>0</v>
      </c>
      <c r="P401" t="n">
        <v>0</v>
      </c>
      <c r="Q401" t="n">
        <v>0</v>
      </c>
      <c r="R401" s="2" t="inlineStr"/>
    </row>
    <row r="402" ht="15" customHeight="1">
      <c r="A402" t="inlineStr">
        <is>
          <t>A 47003-2025</t>
        </is>
      </c>
      <c r="B402" s="1" t="n">
        <v>45929</v>
      </c>
      <c r="C402" s="1" t="n">
        <v>46139</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28519-2025</t>
        </is>
      </c>
      <c r="B403" s="1" t="n">
        <v>45819.4893287037</v>
      </c>
      <c r="C403" s="1" t="n">
        <v>46139</v>
      </c>
      <c r="D403" t="inlineStr">
        <is>
          <t>ÖSTERGÖTLANDS LÄN</t>
        </is>
      </c>
      <c r="E403" t="inlineStr">
        <is>
          <t>KINDA</t>
        </is>
      </c>
      <c r="F403" t="inlineStr">
        <is>
          <t>Övriga Aktiebolag</t>
        </is>
      </c>
      <c r="G403" t="n">
        <v>2.9</v>
      </c>
      <c r="H403" t="n">
        <v>0</v>
      </c>
      <c r="I403" t="n">
        <v>0</v>
      </c>
      <c r="J403" t="n">
        <v>0</v>
      </c>
      <c r="K403" t="n">
        <v>0</v>
      </c>
      <c r="L403" t="n">
        <v>0</v>
      </c>
      <c r="M403" t="n">
        <v>0</v>
      </c>
      <c r="N403" t="n">
        <v>0</v>
      </c>
      <c r="O403" t="n">
        <v>0</v>
      </c>
      <c r="P403" t="n">
        <v>0</v>
      </c>
      <c r="Q403" t="n">
        <v>0</v>
      </c>
      <c r="R403" s="2" t="inlineStr"/>
    </row>
    <row r="404" ht="15" customHeight="1">
      <c r="A404" t="inlineStr">
        <is>
          <t>A 50741-2025</t>
        </is>
      </c>
      <c r="B404" s="1" t="n">
        <v>45946.3800462963</v>
      </c>
      <c r="C404" s="1" t="n">
        <v>46139</v>
      </c>
      <c r="D404" t="inlineStr">
        <is>
          <t>ÖSTERGÖTLANDS LÄN</t>
        </is>
      </c>
      <c r="E404" t="inlineStr">
        <is>
          <t>KINDA</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29086-2025</t>
        </is>
      </c>
      <c r="B405" s="1" t="n">
        <v>45821</v>
      </c>
      <c r="C405" s="1" t="n">
        <v>46139</v>
      </c>
      <c r="D405" t="inlineStr">
        <is>
          <t>ÖSTERGÖTLANDS LÄN</t>
        </is>
      </c>
      <c r="E405" t="inlineStr">
        <is>
          <t>KINDA</t>
        </is>
      </c>
      <c r="G405" t="n">
        <v>2</v>
      </c>
      <c r="H405" t="n">
        <v>0</v>
      </c>
      <c r="I405" t="n">
        <v>0</v>
      </c>
      <c r="J405" t="n">
        <v>0</v>
      </c>
      <c r="K405" t="n">
        <v>0</v>
      </c>
      <c r="L405" t="n">
        <v>0</v>
      </c>
      <c r="M405" t="n">
        <v>0</v>
      </c>
      <c r="N405" t="n">
        <v>0</v>
      </c>
      <c r="O405" t="n">
        <v>0</v>
      </c>
      <c r="P405" t="n">
        <v>0</v>
      </c>
      <c r="Q405" t="n">
        <v>0</v>
      </c>
      <c r="R405" s="2" t="inlineStr"/>
    </row>
    <row r="406" ht="15" customHeight="1">
      <c r="A406" t="inlineStr">
        <is>
          <t>A 13968-2023</t>
        </is>
      </c>
      <c r="B406" s="1" t="n">
        <v>45008</v>
      </c>
      <c r="C406" s="1" t="n">
        <v>46139</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29061-2025</t>
        </is>
      </c>
      <c r="B407" s="1" t="n">
        <v>45821</v>
      </c>
      <c r="C407" s="1" t="n">
        <v>46139</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29092-2025</t>
        </is>
      </c>
      <c r="B408" s="1" t="n">
        <v>45821</v>
      </c>
      <c r="C408" s="1" t="n">
        <v>46139</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43475-2023</t>
        </is>
      </c>
      <c r="B409" s="1" t="n">
        <v>45184.43140046296</v>
      </c>
      <c r="C409" s="1" t="n">
        <v>46139</v>
      </c>
      <c r="D409" t="inlineStr">
        <is>
          <t>ÖSTERGÖTLANDS LÄN</t>
        </is>
      </c>
      <c r="E409" t="inlineStr">
        <is>
          <t>KINDA</t>
        </is>
      </c>
      <c r="G409" t="n">
        <v>6.1</v>
      </c>
      <c r="H409" t="n">
        <v>0</v>
      </c>
      <c r="I409" t="n">
        <v>0</v>
      </c>
      <c r="J409" t="n">
        <v>0</v>
      </c>
      <c r="K409" t="n">
        <v>0</v>
      </c>
      <c r="L409" t="n">
        <v>0</v>
      </c>
      <c r="M409" t="n">
        <v>0</v>
      </c>
      <c r="N409" t="n">
        <v>0</v>
      </c>
      <c r="O409" t="n">
        <v>0</v>
      </c>
      <c r="P409" t="n">
        <v>0</v>
      </c>
      <c r="Q409" t="n">
        <v>0</v>
      </c>
      <c r="R409" s="2" t="inlineStr"/>
    </row>
    <row r="410" ht="15" customHeight="1">
      <c r="A410" t="inlineStr">
        <is>
          <t>A 29471-2025</t>
        </is>
      </c>
      <c r="B410" s="1" t="n">
        <v>45824</v>
      </c>
      <c r="C410" s="1" t="n">
        <v>46139</v>
      </c>
      <c r="D410" t="inlineStr">
        <is>
          <t>ÖSTERGÖTLANDS LÄN</t>
        </is>
      </c>
      <c r="E410" t="inlineStr">
        <is>
          <t>KINDA</t>
        </is>
      </c>
      <c r="G410" t="n">
        <v>5.4</v>
      </c>
      <c r="H410" t="n">
        <v>0</v>
      </c>
      <c r="I410" t="n">
        <v>0</v>
      </c>
      <c r="J410" t="n">
        <v>0</v>
      </c>
      <c r="K410" t="n">
        <v>0</v>
      </c>
      <c r="L410" t="n">
        <v>0</v>
      </c>
      <c r="M410" t="n">
        <v>0</v>
      </c>
      <c r="N410" t="n">
        <v>0</v>
      </c>
      <c r="O410" t="n">
        <v>0</v>
      </c>
      <c r="P410" t="n">
        <v>0</v>
      </c>
      <c r="Q410" t="n">
        <v>0</v>
      </c>
      <c r="R410" s="2" t="inlineStr"/>
    </row>
    <row r="411" ht="15" customHeight="1">
      <c r="A411" t="inlineStr">
        <is>
          <t>A 29078-2025</t>
        </is>
      </c>
      <c r="B411" s="1" t="n">
        <v>45821</v>
      </c>
      <c r="C411" s="1" t="n">
        <v>46139</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row>
    <row r="412" ht="15" customHeight="1">
      <c r="A412" t="inlineStr">
        <is>
          <t>A 29211-2025</t>
        </is>
      </c>
      <c r="B412" s="1" t="n">
        <v>45823.95393518519</v>
      </c>
      <c r="C412" s="1" t="n">
        <v>46139</v>
      </c>
      <c r="D412" t="inlineStr">
        <is>
          <t>ÖSTERGÖTLANDS LÄN</t>
        </is>
      </c>
      <c r="E412" t="inlineStr">
        <is>
          <t>KINDA</t>
        </is>
      </c>
      <c r="G412" t="n">
        <v>2.4</v>
      </c>
      <c r="H412" t="n">
        <v>0</v>
      </c>
      <c r="I412" t="n">
        <v>0</v>
      </c>
      <c r="J412" t="n">
        <v>0</v>
      </c>
      <c r="K412" t="n">
        <v>0</v>
      </c>
      <c r="L412" t="n">
        <v>0</v>
      </c>
      <c r="M412" t="n">
        <v>0</v>
      </c>
      <c r="N412" t="n">
        <v>0</v>
      </c>
      <c r="O412" t="n">
        <v>0</v>
      </c>
      <c r="P412" t="n">
        <v>0</v>
      </c>
      <c r="Q412" t="n">
        <v>0</v>
      </c>
      <c r="R412" s="2" t="inlineStr"/>
    </row>
    <row r="413" ht="15" customHeight="1">
      <c r="A413" t="inlineStr">
        <is>
          <t>A 54345-2022</t>
        </is>
      </c>
      <c r="B413" s="1" t="n">
        <v>44882</v>
      </c>
      <c r="C413" s="1" t="n">
        <v>46139</v>
      </c>
      <c r="D413" t="inlineStr">
        <is>
          <t>ÖSTERGÖTLANDS LÄN</t>
        </is>
      </c>
      <c r="E413" t="inlineStr">
        <is>
          <t>KINDA</t>
        </is>
      </c>
      <c r="G413" t="n">
        <v>0.1</v>
      </c>
      <c r="H413" t="n">
        <v>0</v>
      </c>
      <c r="I413" t="n">
        <v>0</v>
      </c>
      <c r="J413" t="n">
        <v>0</v>
      </c>
      <c r="K413" t="n">
        <v>0</v>
      </c>
      <c r="L413" t="n">
        <v>0</v>
      </c>
      <c r="M413" t="n">
        <v>0</v>
      </c>
      <c r="N413" t="n">
        <v>0</v>
      </c>
      <c r="O413" t="n">
        <v>0</v>
      </c>
      <c r="P413" t="n">
        <v>0</v>
      </c>
      <c r="Q413" t="n">
        <v>0</v>
      </c>
      <c r="R413" s="2" t="inlineStr"/>
    </row>
    <row r="414" ht="15" customHeight="1">
      <c r="A414" t="inlineStr">
        <is>
          <t>A 29210-2025</t>
        </is>
      </c>
      <c r="B414" s="1" t="n">
        <v>45823.95060185185</v>
      </c>
      <c r="C414" s="1" t="n">
        <v>46139</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13673-2024</t>
        </is>
      </c>
      <c r="B415" s="1" t="n">
        <v>45390.53634259259</v>
      </c>
      <c r="C415" s="1" t="n">
        <v>46139</v>
      </c>
      <c r="D415" t="inlineStr">
        <is>
          <t>ÖSTERGÖTLANDS LÄN</t>
        </is>
      </c>
      <c r="E415" t="inlineStr">
        <is>
          <t>KINDA</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29079-2025</t>
        </is>
      </c>
      <c r="B416" s="1" t="n">
        <v>45821</v>
      </c>
      <c r="C416" s="1" t="n">
        <v>46139</v>
      </c>
      <c r="D416" t="inlineStr">
        <is>
          <t>ÖSTERGÖTLANDS LÄN</t>
        </is>
      </c>
      <c r="E416" t="inlineStr">
        <is>
          <t>KINDA</t>
        </is>
      </c>
      <c r="G416" t="n">
        <v>5.7</v>
      </c>
      <c r="H416" t="n">
        <v>0</v>
      </c>
      <c r="I416" t="n">
        <v>0</v>
      </c>
      <c r="J416" t="n">
        <v>0</v>
      </c>
      <c r="K416" t="n">
        <v>0</v>
      </c>
      <c r="L416" t="n">
        <v>0</v>
      </c>
      <c r="M416" t="n">
        <v>0</v>
      </c>
      <c r="N416" t="n">
        <v>0</v>
      </c>
      <c r="O416" t="n">
        <v>0</v>
      </c>
      <c r="P416" t="n">
        <v>0</v>
      </c>
      <c r="Q416" t="n">
        <v>0</v>
      </c>
      <c r="R416" s="2" t="inlineStr"/>
    </row>
    <row r="417" ht="15" customHeight="1">
      <c r="A417" t="inlineStr">
        <is>
          <t>A 58875-2023</t>
        </is>
      </c>
      <c r="B417" s="1" t="n">
        <v>45250</v>
      </c>
      <c r="C417" s="1" t="n">
        <v>46139</v>
      </c>
      <c r="D417" t="inlineStr">
        <is>
          <t>ÖSTERGÖTLANDS LÄN</t>
        </is>
      </c>
      <c r="E417" t="inlineStr">
        <is>
          <t>KINDA</t>
        </is>
      </c>
      <c r="G417" t="n">
        <v>1.3</v>
      </c>
      <c r="H417" t="n">
        <v>0</v>
      </c>
      <c r="I417" t="n">
        <v>0</v>
      </c>
      <c r="J417" t="n">
        <v>0</v>
      </c>
      <c r="K417" t="n">
        <v>0</v>
      </c>
      <c r="L417" t="n">
        <v>0</v>
      </c>
      <c r="M417" t="n">
        <v>0</v>
      </c>
      <c r="N417" t="n">
        <v>0</v>
      </c>
      <c r="O417" t="n">
        <v>0</v>
      </c>
      <c r="P417" t="n">
        <v>0</v>
      </c>
      <c r="Q417" t="n">
        <v>0</v>
      </c>
      <c r="R417" s="2" t="inlineStr"/>
    </row>
    <row r="418" ht="15" customHeight="1">
      <c r="A418" t="inlineStr">
        <is>
          <t>A 52766-2025</t>
        </is>
      </c>
      <c r="B418" s="1" t="n">
        <v>45957.4008912037</v>
      </c>
      <c r="C418" s="1" t="n">
        <v>46139</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12997-2024</t>
        </is>
      </c>
      <c r="B419" s="1" t="n">
        <v>45385.56655092593</v>
      </c>
      <c r="C419" s="1" t="n">
        <v>46139</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1876-2025</t>
        </is>
      </c>
      <c r="B420" s="1" t="n">
        <v>45671.62127314815</v>
      </c>
      <c r="C420" s="1" t="n">
        <v>46139</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5371-2024</t>
        </is>
      </c>
      <c r="B421" s="1" t="n">
        <v>45331</v>
      </c>
      <c r="C421" s="1" t="n">
        <v>46139</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30613-2025</t>
        </is>
      </c>
      <c r="B422" s="1" t="n">
        <v>45831.46635416667</v>
      </c>
      <c r="C422" s="1" t="n">
        <v>46139</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30631-2025</t>
        </is>
      </c>
      <c r="B423" s="1" t="n">
        <v>45831.47709490741</v>
      </c>
      <c r="C423" s="1" t="n">
        <v>46139</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34860-2024</t>
        </is>
      </c>
      <c r="B424" s="1" t="n">
        <v>45527.33670138889</v>
      </c>
      <c r="C424" s="1" t="n">
        <v>46139</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34871-2024</t>
        </is>
      </c>
      <c r="B425" s="1" t="n">
        <v>45527.3469212963</v>
      </c>
      <c r="C425" s="1" t="n">
        <v>46139</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43074-2024</t>
        </is>
      </c>
      <c r="B426" s="1" t="n">
        <v>45567.48658564815</v>
      </c>
      <c r="C426" s="1" t="n">
        <v>46139</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53417-2025</t>
        </is>
      </c>
      <c r="B427" s="1" t="n">
        <v>45959.58710648148</v>
      </c>
      <c r="C427" s="1" t="n">
        <v>46139</v>
      </c>
      <c r="D427" t="inlineStr">
        <is>
          <t>ÖSTERGÖTLANDS LÄN</t>
        </is>
      </c>
      <c r="E427" t="inlineStr">
        <is>
          <t>KINDA</t>
        </is>
      </c>
      <c r="G427" t="n">
        <v>4.5</v>
      </c>
      <c r="H427" t="n">
        <v>0</v>
      </c>
      <c r="I427" t="n">
        <v>0</v>
      </c>
      <c r="J427" t="n">
        <v>0</v>
      </c>
      <c r="K427" t="n">
        <v>0</v>
      </c>
      <c r="L427" t="n">
        <v>0</v>
      </c>
      <c r="M427" t="n">
        <v>0</v>
      </c>
      <c r="N427" t="n">
        <v>0</v>
      </c>
      <c r="O427" t="n">
        <v>0</v>
      </c>
      <c r="P427" t="n">
        <v>0</v>
      </c>
      <c r="Q427" t="n">
        <v>0</v>
      </c>
      <c r="R427" s="2" t="inlineStr"/>
    </row>
    <row r="428" ht="15" customHeight="1">
      <c r="A428" t="inlineStr">
        <is>
          <t>A 48386-2024</t>
        </is>
      </c>
      <c r="B428" s="1" t="n">
        <v>45590.59793981481</v>
      </c>
      <c r="C428" s="1" t="n">
        <v>46139</v>
      </c>
      <c r="D428" t="inlineStr">
        <is>
          <t>ÖSTERGÖTLANDS LÄN</t>
        </is>
      </c>
      <c r="E428" t="inlineStr">
        <is>
          <t>KINDA</t>
        </is>
      </c>
      <c r="G428" t="n">
        <v>1.1</v>
      </c>
      <c r="H428" t="n">
        <v>0</v>
      </c>
      <c r="I428" t="n">
        <v>0</v>
      </c>
      <c r="J428" t="n">
        <v>0</v>
      </c>
      <c r="K428" t="n">
        <v>0</v>
      </c>
      <c r="L428" t="n">
        <v>0</v>
      </c>
      <c r="M428" t="n">
        <v>0</v>
      </c>
      <c r="N428" t="n">
        <v>0</v>
      </c>
      <c r="O428" t="n">
        <v>0</v>
      </c>
      <c r="P428" t="n">
        <v>0</v>
      </c>
      <c r="Q428" t="n">
        <v>0</v>
      </c>
      <c r="R428" s="2" t="inlineStr"/>
    </row>
    <row r="429" ht="15" customHeight="1">
      <c r="A429" t="inlineStr">
        <is>
          <t>A 53808-2025</t>
        </is>
      </c>
      <c r="B429" s="1" t="n">
        <v>45960.86200231482</v>
      </c>
      <c r="C429" s="1" t="n">
        <v>46139</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31054-2025</t>
        </is>
      </c>
      <c r="B430" s="1" t="n">
        <v>45832.56275462963</v>
      </c>
      <c r="C430" s="1" t="n">
        <v>46139</v>
      </c>
      <c r="D430" t="inlineStr">
        <is>
          <t>ÖSTERGÖTLANDS LÄN</t>
        </is>
      </c>
      <c r="E430" t="inlineStr">
        <is>
          <t>KINDA</t>
        </is>
      </c>
      <c r="G430" t="n">
        <v>2.3</v>
      </c>
      <c r="H430" t="n">
        <v>0</v>
      </c>
      <c r="I430" t="n">
        <v>0</v>
      </c>
      <c r="J430" t="n">
        <v>0</v>
      </c>
      <c r="K430" t="n">
        <v>0</v>
      </c>
      <c r="L430" t="n">
        <v>0</v>
      </c>
      <c r="M430" t="n">
        <v>0</v>
      </c>
      <c r="N430" t="n">
        <v>0</v>
      </c>
      <c r="O430" t="n">
        <v>0</v>
      </c>
      <c r="P430" t="n">
        <v>0</v>
      </c>
      <c r="Q430" t="n">
        <v>0</v>
      </c>
      <c r="R430" s="2" t="inlineStr"/>
    </row>
    <row r="431" ht="15" customHeight="1">
      <c r="A431" t="inlineStr">
        <is>
          <t>A 54403-2025</t>
        </is>
      </c>
      <c r="B431" s="1" t="n">
        <v>45965.45344907408</v>
      </c>
      <c r="C431" s="1" t="n">
        <v>46139</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31048-2025</t>
        </is>
      </c>
      <c r="B432" s="1" t="n">
        <v>45832.55696759259</v>
      </c>
      <c r="C432" s="1" t="n">
        <v>46139</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31811-2025</t>
        </is>
      </c>
      <c r="B433" s="1" t="n">
        <v>45834.56487268519</v>
      </c>
      <c r="C433" s="1" t="n">
        <v>46139</v>
      </c>
      <c r="D433" t="inlineStr">
        <is>
          <t>ÖSTERGÖTLANDS LÄN</t>
        </is>
      </c>
      <c r="E433" t="inlineStr">
        <is>
          <t>KINDA</t>
        </is>
      </c>
      <c r="G433" t="n">
        <v>4.4</v>
      </c>
      <c r="H433" t="n">
        <v>0</v>
      </c>
      <c r="I433" t="n">
        <v>0</v>
      </c>
      <c r="J433" t="n">
        <v>0</v>
      </c>
      <c r="K433" t="n">
        <v>0</v>
      </c>
      <c r="L433" t="n">
        <v>0</v>
      </c>
      <c r="M433" t="n">
        <v>0</v>
      </c>
      <c r="N433" t="n">
        <v>0</v>
      </c>
      <c r="O433" t="n">
        <v>0</v>
      </c>
      <c r="P433" t="n">
        <v>0</v>
      </c>
      <c r="Q433" t="n">
        <v>0</v>
      </c>
      <c r="R433" s="2" t="inlineStr"/>
    </row>
    <row r="434" ht="15" customHeight="1">
      <c r="A434" t="inlineStr">
        <is>
          <t>A 29060-2025</t>
        </is>
      </c>
      <c r="B434" s="1" t="n">
        <v>45821.4841087963</v>
      </c>
      <c r="C434" s="1" t="n">
        <v>46139</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31989-2025</t>
        </is>
      </c>
      <c r="B435" s="1" t="n">
        <v>45835.36383101852</v>
      </c>
      <c r="C435" s="1" t="n">
        <v>46139</v>
      </c>
      <c r="D435" t="inlineStr">
        <is>
          <t>ÖSTERGÖTLANDS LÄN</t>
        </is>
      </c>
      <c r="E435" t="inlineStr">
        <is>
          <t>KINDA</t>
        </is>
      </c>
      <c r="G435" t="n">
        <v>1.1</v>
      </c>
      <c r="H435" t="n">
        <v>0</v>
      </c>
      <c r="I435" t="n">
        <v>0</v>
      </c>
      <c r="J435" t="n">
        <v>0</v>
      </c>
      <c r="K435" t="n">
        <v>0</v>
      </c>
      <c r="L435" t="n">
        <v>0</v>
      </c>
      <c r="M435" t="n">
        <v>0</v>
      </c>
      <c r="N435" t="n">
        <v>0</v>
      </c>
      <c r="O435" t="n">
        <v>0</v>
      </c>
      <c r="P435" t="n">
        <v>0</v>
      </c>
      <c r="Q435" t="n">
        <v>0</v>
      </c>
      <c r="R435" s="2" t="inlineStr"/>
    </row>
    <row r="436" ht="15" customHeight="1">
      <c r="A436" t="inlineStr">
        <is>
          <t>A 24839-2024</t>
        </is>
      </c>
      <c r="B436" s="1" t="n">
        <v>45461.41216435185</v>
      </c>
      <c r="C436" s="1" t="n">
        <v>46139</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31980-2025</t>
        </is>
      </c>
      <c r="B437" s="1" t="n">
        <v>45835.35780092593</v>
      </c>
      <c r="C437" s="1" t="n">
        <v>46139</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32674-2025</t>
        </is>
      </c>
      <c r="B438" s="1" t="n">
        <v>45838.72785879629</v>
      </c>
      <c r="C438" s="1" t="n">
        <v>46139</v>
      </c>
      <c r="D438" t="inlineStr">
        <is>
          <t>ÖSTERGÖTLANDS LÄN</t>
        </is>
      </c>
      <c r="E438" t="inlineStr">
        <is>
          <t>KINDA</t>
        </is>
      </c>
      <c r="G438" t="n">
        <v>2.4</v>
      </c>
      <c r="H438" t="n">
        <v>0</v>
      </c>
      <c r="I438" t="n">
        <v>0</v>
      </c>
      <c r="J438" t="n">
        <v>0</v>
      </c>
      <c r="K438" t="n">
        <v>0</v>
      </c>
      <c r="L438" t="n">
        <v>0</v>
      </c>
      <c r="M438" t="n">
        <v>0</v>
      </c>
      <c r="N438" t="n">
        <v>0</v>
      </c>
      <c r="O438" t="n">
        <v>0</v>
      </c>
      <c r="P438" t="n">
        <v>0</v>
      </c>
      <c r="Q438" t="n">
        <v>0</v>
      </c>
      <c r="R438" s="2" t="inlineStr"/>
    </row>
    <row r="439" ht="15" customHeight="1">
      <c r="A439" t="inlineStr">
        <is>
          <t>A 50406-2024</t>
        </is>
      </c>
      <c r="B439" s="1" t="n">
        <v>45601.35923611111</v>
      </c>
      <c r="C439" s="1" t="n">
        <v>46139</v>
      </c>
      <c r="D439" t="inlineStr">
        <is>
          <t>ÖSTERGÖTLANDS LÄN</t>
        </is>
      </c>
      <c r="E439" t="inlineStr">
        <is>
          <t>KINDA</t>
        </is>
      </c>
      <c r="F439" t="inlineStr">
        <is>
          <t>Sveaskog</t>
        </is>
      </c>
      <c r="G439" t="n">
        <v>2.7</v>
      </c>
      <c r="H439" t="n">
        <v>0</v>
      </c>
      <c r="I439" t="n">
        <v>0</v>
      </c>
      <c r="J439" t="n">
        <v>0</v>
      </c>
      <c r="K439" t="n">
        <v>0</v>
      </c>
      <c r="L439" t="n">
        <v>0</v>
      </c>
      <c r="M439" t="n">
        <v>0</v>
      </c>
      <c r="N439" t="n">
        <v>0</v>
      </c>
      <c r="O439" t="n">
        <v>0</v>
      </c>
      <c r="P439" t="n">
        <v>0</v>
      </c>
      <c r="Q439" t="n">
        <v>0</v>
      </c>
      <c r="R439" s="2" t="inlineStr"/>
    </row>
    <row r="440" ht="15" customHeight="1">
      <c r="A440" t="inlineStr">
        <is>
          <t>A 32809-2025</t>
        </is>
      </c>
      <c r="B440" s="1" t="n">
        <v>45839.50966435186</v>
      </c>
      <c r="C440" s="1" t="n">
        <v>46139</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54870-2025</t>
        </is>
      </c>
      <c r="B441" s="1" t="n">
        <v>45966.87212962963</v>
      </c>
      <c r="C441" s="1" t="n">
        <v>46139</v>
      </c>
      <c r="D441" t="inlineStr">
        <is>
          <t>ÖSTERGÖTLANDS LÄN</t>
        </is>
      </c>
      <c r="E441" t="inlineStr">
        <is>
          <t>KINDA</t>
        </is>
      </c>
      <c r="G441" t="n">
        <v>2.1</v>
      </c>
      <c r="H441" t="n">
        <v>0</v>
      </c>
      <c r="I441" t="n">
        <v>0</v>
      </c>
      <c r="J441" t="n">
        <v>0</v>
      </c>
      <c r="K441" t="n">
        <v>0</v>
      </c>
      <c r="L441" t="n">
        <v>0</v>
      </c>
      <c r="M441" t="n">
        <v>0</v>
      </c>
      <c r="N441" t="n">
        <v>0</v>
      </c>
      <c r="O441" t="n">
        <v>0</v>
      </c>
      <c r="P441" t="n">
        <v>0</v>
      </c>
      <c r="Q441" t="n">
        <v>0</v>
      </c>
      <c r="R441" s="2" t="inlineStr"/>
    </row>
    <row r="442" ht="15" customHeight="1">
      <c r="A442" t="inlineStr">
        <is>
          <t>A 55000-2025</t>
        </is>
      </c>
      <c r="B442" s="1" t="n">
        <v>45967.60479166666</v>
      </c>
      <c r="C442" s="1" t="n">
        <v>46139</v>
      </c>
      <c r="D442" t="inlineStr">
        <is>
          <t>ÖSTERGÖTLANDS LÄN</t>
        </is>
      </c>
      <c r="E442" t="inlineStr">
        <is>
          <t>KINDA</t>
        </is>
      </c>
      <c r="F442" t="inlineStr">
        <is>
          <t>Övriga Aktiebolag</t>
        </is>
      </c>
      <c r="G442" t="n">
        <v>3</v>
      </c>
      <c r="H442" t="n">
        <v>0</v>
      </c>
      <c r="I442" t="n">
        <v>0</v>
      </c>
      <c r="J442" t="n">
        <v>0</v>
      </c>
      <c r="K442" t="n">
        <v>0</v>
      </c>
      <c r="L442" t="n">
        <v>0</v>
      </c>
      <c r="M442" t="n">
        <v>0</v>
      </c>
      <c r="N442" t="n">
        <v>0</v>
      </c>
      <c r="O442" t="n">
        <v>0</v>
      </c>
      <c r="P442" t="n">
        <v>0</v>
      </c>
      <c r="Q442" t="n">
        <v>0</v>
      </c>
      <c r="R442" s="2" t="inlineStr"/>
    </row>
    <row r="443" ht="15" customHeight="1">
      <c r="A443" t="inlineStr">
        <is>
          <t>A 32811-2025</t>
        </is>
      </c>
      <c r="B443" s="1" t="n">
        <v>45839.51413194444</v>
      </c>
      <c r="C443" s="1" t="n">
        <v>46139</v>
      </c>
      <c r="D443" t="inlineStr">
        <is>
          <t>ÖSTERGÖTLANDS LÄN</t>
        </is>
      </c>
      <c r="E443" t="inlineStr">
        <is>
          <t>KINDA</t>
        </is>
      </c>
      <c r="G443" t="n">
        <v>3.7</v>
      </c>
      <c r="H443" t="n">
        <v>0</v>
      </c>
      <c r="I443" t="n">
        <v>0</v>
      </c>
      <c r="J443" t="n">
        <v>0</v>
      </c>
      <c r="K443" t="n">
        <v>0</v>
      </c>
      <c r="L443" t="n">
        <v>0</v>
      </c>
      <c r="M443" t="n">
        <v>0</v>
      </c>
      <c r="N443" t="n">
        <v>0</v>
      </c>
      <c r="O443" t="n">
        <v>0</v>
      </c>
      <c r="P443" t="n">
        <v>0</v>
      </c>
      <c r="Q443" t="n">
        <v>0</v>
      </c>
      <c r="R443" s="2" t="inlineStr"/>
    </row>
    <row r="444" ht="15" customHeight="1">
      <c r="A444" t="inlineStr">
        <is>
          <t>A 24903-2022</t>
        </is>
      </c>
      <c r="B444" s="1" t="n">
        <v>44728.60424768519</v>
      </c>
      <c r="C444" s="1" t="n">
        <v>46139</v>
      </c>
      <c r="D444" t="inlineStr">
        <is>
          <t>ÖSTERGÖTLANDS LÄN</t>
        </is>
      </c>
      <c r="E444" t="inlineStr">
        <is>
          <t>KINDA</t>
        </is>
      </c>
      <c r="G444" t="n">
        <v>6.3</v>
      </c>
      <c r="H444" t="n">
        <v>0</v>
      </c>
      <c r="I444" t="n">
        <v>0</v>
      </c>
      <c r="J444" t="n">
        <v>0</v>
      </c>
      <c r="K444" t="n">
        <v>0</v>
      </c>
      <c r="L444" t="n">
        <v>0</v>
      </c>
      <c r="M444" t="n">
        <v>0</v>
      </c>
      <c r="N444" t="n">
        <v>0</v>
      </c>
      <c r="O444" t="n">
        <v>0</v>
      </c>
      <c r="P444" t="n">
        <v>0</v>
      </c>
      <c r="Q444" t="n">
        <v>0</v>
      </c>
      <c r="R444" s="2" t="inlineStr"/>
    </row>
    <row r="445" ht="15" customHeight="1">
      <c r="A445" t="inlineStr">
        <is>
          <t>A 55521-2025</t>
        </is>
      </c>
      <c r="B445" s="1" t="n">
        <v>45971.60863425926</v>
      </c>
      <c r="C445" s="1" t="n">
        <v>46139</v>
      </c>
      <c r="D445" t="inlineStr">
        <is>
          <t>ÖSTERGÖTLANDS LÄN</t>
        </is>
      </c>
      <c r="E445" t="inlineStr">
        <is>
          <t>KINDA</t>
        </is>
      </c>
      <c r="F445" t="inlineStr">
        <is>
          <t>Övriga Aktiebolag</t>
        </is>
      </c>
      <c r="G445" t="n">
        <v>5.4</v>
      </c>
      <c r="H445" t="n">
        <v>0</v>
      </c>
      <c r="I445" t="n">
        <v>0</v>
      </c>
      <c r="J445" t="n">
        <v>0</v>
      </c>
      <c r="K445" t="n">
        <v>0</v>
      </c>
      <c r="L445" t="n">
        <v>0</v>
      </c>
      <c r="M445" t="n">
        <v>0</v>
      </c>
      <c r="N445" t="n">
        <v>0</v>
      </c>
      <c r="O445" t="n">
        <v>0</v>
      </c>
      <c r="P445" t="n">
        <v>0</v>
      </c>
      <c r="Q445" t="n">
        <v>0</v>
      </c>
      <c r="R445" s="2" t="inlineStr"/>
    </row>
    <row r="446" ht="15" customHeight="1">
      <c r="A446" t="inlineStr">
        <is>
          <t>A 17366-2023</t>
        </is>
      </c>
      <c r="B446" s="1" t="n">
        <v>45035</v>
      </c>
      <c r="C446" s="1" t="n">
        <v>46139</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55531-2025</t>
        </is>
      </c>
      <c r="B447" s="1" t="n">
        <v>45971.62304398148</v>
      </c>
      <c r="C447" s="1" t="n">
        <v>46139</v>
      </c>
      <c r="D447" t="inlineStr">
        <is>
          <t>ÖSTERGÖTLANDS LÄN</t>
        </is>
      </c>
      <c r="E447" t="inlineStr">
        <is>
          <t>KINDA</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10477-2022</t>
        </is>
      </c>
      <c r="B448" s="1" t="n">
        <v>44623.61737268518</v>
      </c>
      <c r="C448" s="1" t="n">
        <v>46139</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55511-2025</t>
        </is>
      </c>
      <c r="B449" s="1" t="n">
        <v>45971.60042824074</v>
      </c>
      <c r="C449" s="1" t="n">
        <v>46139</v>
      </c>
      <c r="D449" t="inlineStr">
        <is>
          <t>ÖSTERGÖTLANDS LÄN</t>
        </is>
      </c>
      <c r="E449" t="inlineStr">
        <is>
          <t>KINDA</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33289-2025</t>
        </is>
      </c>
      <c r="B450" s="1" t="n">
        <v>45840.85745370371</v>
      </c>
      <c r="C450" s="1" t="n">
        <v>46139</v>
      </c>
      <c r="D450" t="inlineStr">
        <is>
          <t>ÖSTERGÖTLANDS LÄN</t>
        </is>
      </c>
      <c r="E450" t="inlineStr">
        <is>
          <t>KINDA</t>
        </is>
      </c>
      <c r="G450" t="n">
        <v>3.2</v>
      </c>
      <c r="H450" t="n">
        <v>0</v>
      </c>
      <c r="I450" t="n">
        <v>0</v>
      </c>
      <c r="J450" t="n">
        <v>0</v>
      </c>
      <c r="K450" t="n">
        <v>0</v>
      </c>
      <c r="L450" t="n">
        <v>0</v>
      </c>
      <c r="M450" t="n">
        <v>0</v>
      </c>
      <c r="N450" t="n">
        <v>0</v>
      </c>
      <c r="O450" t="n">
        <v>0</v>
      </c>
      <c r="P450" t="n">
        <v>0</v>
      </c>
      <c r="Q450" t="n">
        <v>0</v>
      </c>
      <c r="R450" s="2" t="inlineStr"/>
    </row>
    <row r="451" ht="15" customHeight="1">
      <c r="A451" t="inlineStr">
        <is>
          <t>A 33445-2025</t>
        </is>
      </c>
      <c r="B451" s="1" t="n">
        <v>45841.4630787037</v>
      </c>
      <c r="C451" s="1" t="n">
        <v>46139</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57690-2021</t>
        </is>
      </c>
      <c r="B452" s="1" t="n">
        <v>44484</v>
      </c>
      <c r="C452" s="1" t="n">
        <v>46139</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56007-2025</t>
        </is>
      </c>
      <c r="B453" s="1" t="n">
        <v>45973</v>
      </c>
      <c r="C453" s="1" t="n">
        <v>46139</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33493-2025</t>
        </is>
      </c>
      <c r="B454" s="1" t="n">
        <v>45841.50858796296</v>
      </c>
      <c r="C454" s="1" t="n">
        <v>46139</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56003-2025</t>
        </is>
      </c>
      <c r="B455" s="1" t="n">
        <v>45973</v>
      </c>
      <c r="C455" s="1" t="n">
        <v>46139</v>
      </c>
      <c r="D455" t="inlineStr">
        <is>
          <t>ÖSTERGÖTLANDS LÄN</t>
        </is>
      </c>
      <c r="E455" t="inlineStr">
        <is>
          <t>KINDA</t>
        </is>
      </c>
      <c r="G455" t="n">
        <v>1.4</v>
      </c>
      <c r="H455" t="n">
        <v>0</v>
      </c>
      <c r="I455" t="n">
        <v>0</v>
      </c>
      <c r="J455" t="n">
        <v>0</v>
      </c>
      <c r="K455" t="n">
        <v>0</v>
      </c>
      <c r="L455" t="n">
        <v>0</v>
      </c>
      <c r="M455" t="n">
        <v>0</v>
      </c>
      <c r="N455" t="n">
        <v>0</v>
      </c>
      <c r="O455" t="n">
        <v>0</v>
      </c>
      <c r="P455" t="n">
        <v>0</v>
      </c>
      <c r="Q455" t="n">
        <v>0</v>
      </c>
      <c r="R455" s="2" t="inlineStr"/>
    </row>
    <row r="456" ht="15" customHeight="1">
      <c r="A456" t="inlineStr">
        <is>
          <t>A 56006-2025</t>
        </is>
      </c>
      <c r="B456" s="1" t="n">
        <v>45973</v>
      </c>
      <c r="C456" s="1" t="n">
        <v>46139</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55800-2025</t>
        </is>
      </c>
      <c r="B457" s="1" t="n">
        <v>45972</v>
      </c>
      <c r="C457" s="1" t="n">
        <v>46139</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42084-2024</t>
        </is>
      </c>
      <c r="B458" s="1" t="n">
        <v>45562.3316087963</v>
      </c>
      <c r="C458" s="1" t="n">
        <v>46139</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33482-2025</t>
        </is>
      </c>
      <c r="B459" s="1" t="n">
        <v>45841.49861111111</v>
      </c>
      <c r="C459" s="1" t="n">
        <v>46139</v>
      </c>
      <c r="D459" t="inlineStr">
        <is>
          <t>ÖSTERGÖTLANDS LÄN</t>
        </is>
      </c>
      <c r="E459" t="inlineStr">
        <is>
          <t>KINDA</t>
        </is>
      </c>
      <c r="G459" t="n">
        <v>1.1</v>
      </c>
      <c r="H459" t="n">
        <v>0</v>
      </c>
      <c r="I459" t="n">
        <v>0</v>
      </c>
      <c r="J459" t="n">
        <v>0</v>
      </c>
      <c r="K459" t="n">
        <v>0</v>
      </c>
      <c r="L459" t="n">
        <v>0</v>
      </c>
      <c r="M459" t="n">
        <v>0</v>
      </c>
      <c r="N459" t="n">
        <v>0</v>
      </c>
      <c r="O459" t="n">
        <v>0</v>
      </c>
      <c r="P459" t="n">
        <v>0</v>
      </c>
      <c r="Q459" t="n">
        <v>0</v>
      </c>
      <c r="R459" s="2" t="inlineStr"/>
    </row>
    <row r="460" ht="15" customHeight="1">
      <c r="A460" t="inlineStr">
        <is>
          <t>A 34262-2025</t>
        </is>
      </c>
      <c r="B460" s="1" t="n">
        <v>45845</v>
      </c>
      <c r="C460" s="1" t="n">
        <v>46139</v>
      </c>
      <c r="D460" t="inlineStr">
        <is>
          <t>ÖSTERGÖTLANDS LÄN</t>
        </is>
      </c>
      <c r="E460" t="inlineStr">
        <is>
          <t>KINDA</t>
        </is>
      </c>
      <c r="G460" t="n">
        <v>1.3</v>
      </c>
      <c r="H460" t="n">
        <v>0</v>
      </c>
      <c r="I460" t="n">
        <v>0</v>
      </c>
      <c r="J460" t="n">
        <v>0</v>
      </c>
      <c r="K460" t="n">
        <v>0</v>
      </c>
      <c r="L460" t="n">
        <v>0</v>
      </c>
      <c r="M460" t="n">
        <v>0</v>
      </c>
      <c r="N460" t="n">
        <v>0</v>
      </c>
      <c r="O460" t="n">
        <v>0</v>
      </c>
      <c r="P460" t="n">
        <v>0</v>
      </c>
      <c r="Q460" t="n">
        <v>0</v>
      </c>
      <c r="R460" s="2" t="inlineStr"/>
    </row>
    <row r="461" ht="15" customHeight="1">
      <c r="A461" t="inlineStr">
        <is>
          <t>A 56041-2024</t>
        </is>
      </c>
      <c r="B461" s="1" t="n">
        <v>45624.33611111111</v>
      </c>
      <c r="C461" s="1" t="n">
        <v>46139</v>
      </c>
      <c r="D461" t="inlineStr">
        <is>
          <t>ÖSTERGÖTLANDS LÄN</t>
        </is>
      </c>
      <c r="E461" t="inlineStr">
        <is>
          <t>KINDA</t>
        </is>
      </c>
      <c r="F461" t="inlineStr">
        <is>
          <t>Sveaskog</t>
        </is>
      </c>
      <c r="G461" t="n">
        <v>4.5</v>
      </c>
      <c r="H461" t="n">
        <v>0</v>
      </c>
      <c r="I461" t="n">
        <v>0</v>
      </c>
      <c r="J461" t="n">
        <v>0</v>
      </c>
      <c r="K461" t="n">
        <v>0</v>
      </c>
      <c r="L461" t="n">
        <v>0</v>
      </c>
      <c r="M461" t="n">
        <v>0</v>
      </c>
      <c r="N461" t="n">
        <v>0</v>
      </c>
      <c r="O461" t="n">
        <v>0</v>
      </c>
      <c r="P461" t="n">
        <v>0</v>
      </c>
      <c r="Q461" t="n">
        <v>0</v>
      </c>
      <c r="R461" s="2" t="inlineStr"/>
    </row>
    <row r="462" ht="15" customHeight="1">
      <c r="A462" t="inlineStr">
        <is>
          <t>A 34123-2025</t>
        </is>
      </c>
      <c r="B462" s="1" t="n">
        <v>45845.52050925926</v>
      </c>
      <c r="C462" s="1" t="n">
        <v>46139</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33744-2025</t>
        </is>
      </c>
      <c r="B463" s="1" t="n">
        <v>45842.35203703704</v>
      </c>
      <c r="C463" s="1" t="n">
        <v>46139</v>
      </c>
      <c r="D463" t="inlineStr">
        <is>
          <t>ÖSTERGÖTLANDS LÄN</t>
        </is>
      </c>
      <c r="E463" t="inlineStr">
        <is>
          <t>KINDA</t>
        </is>
      </c>
      <c r="G463" t="n">
        <v>3.5</v>
      </c>
      <c r="H463" t="n">
        <v>0</v>
      </c>
      <c r="I463" t="n">
        <v>0</v>
      </c>
      <c r="J463" t="n">
        <v>0</v>
      </c>
      <c r="K463" t="n">
        <v>0</v>
      </c>
      <c r="L463" t="n">
        <v>0</v>
      </c>
      <c r="M463" t="n">
        <v>0</v>
      </c>
      <c r="N463" t="n">
        <v>0</v>
      </c>
      <c r="O463" t="n">
        <v>0</v>
      </c>
      <c r="P463" t="n">
        <v>0</v>
      </c>
      <c r="Q463" t="n">
        <v>0</v>
      </c>
      <c r="R463" s="2" t="inlineStr"/>
    </row>
    <row r="464" ht="15" customHeight="1">
      <c r="A464" t="inlineStr">
        <is>
          <t>A 12856-2025</t>
        </is>
      </c>
      <c r="B464" s="1" t="n">
        <v>45733.66236111111</v>
      </c>
      <c r="C464" s="1" t="n">
        <v>46139</v>
      </c>
      <c r="D464" t="inlineStr">
        <is>
          <t>ÖSTERGÖTLANDS LÄN</t>
        </is>
      </c>
      <c r="E464" t="inlineStr">
        <is>
          <t>KINDA</t>
        </is>
      </c>
      <c r="G464" t="n">
        <v>2.5</v>
      </c>
      <c r="H464" t="n">
        <v>0</v>
      </c>
      <c r="I464" t="n">
        <v>0</v>
      </c>
      <c r="J464" t="n">
        <v>0</v>
      </c>
      <c r="K464" t="n">
        <v>0</v>
      </c>
      <c r="L464" t="n">
        <v>0</v>
      </c>
      <c r="M464" t="n">
        <v>0</v>
      </c>
      <c r="N464" t="n">
        <v>0</v>
      </c>
      <c r="O464" t="n">
        <v>0</v>
      </c>
      <c r="P464" t="n">
        <v>0</v>
      </c>
      <c r="Q464" t="n">
        <v>0</v>
      </c>
      <c r="R464" s="2" t="inlineStr"/>
    </row>
    <row r="465" ht="15" customHeight="1">
      <c r="A465" t="inlineStr">
        <is>
          <t>A 56710-2025</t>
        </is>
      </c>
      <c r="B465" s="1" t="n">
        <v>45977.81061342593</v>
      </c>
      <c r="C465" s="1" t="n">
        <v>46139</v>
      </c>
      <c r="D465" t="inlineStr">
        <is>
          <t>ÖSTERGÖTLANDS LÄN</t>
        </is>
      </c>
      <c r="E465" t="inlineStr">
        <is>
          <t>KINDA</t>
        </is>
      </c>
      <c r="G465" t="n">
        <v>4.8</v>
      </c>
      <c r="H465" t="n">
        <v>0</v>
      </c>
      <c r="I465" t="n">
        <v>0</v>
      </c>
      <c r="J465" t="n">
        <v>0</v>
      </c>
      <c r="K465" t="n">
        <v>0</v>
      </c>
      <c r="L465" t="n">
        <v>0</v>
      </c>
      <c r="M465" t="n">
        <v>0</v>
      </c>
      <c r="N465" t="n">
        <v>0</v>
      </c>
      <c r="O465" t="n">
        <v>0</v>
      </c>
      <c r="P465" t="n">
        <v>0</v>
      </c>
      <c r="Q465" t="n">
        <v>0</v>
      </c>
      <c r="R465" s="2" t="inlineStr"/>
    </row>
    <row r="466" ht="15" customHeight="1">
      <c r="A466" t="inlineStr">
        <is>
          <t>A 29782-2025</t>
        </is>
      </c>
      <c r="B466" s="1" t="n">
        <v>45825.6502662037</v>
      </c>
      <c r="C466" s="1" t="n">
        <v>46139</v>
      </c>
      <c r="D466" t="inlineStr">
        <is>
          <t>ÖSTERGÖTLANDS LÄN</t>
        </is>
      </c>
      <c r="E466" t="inlineStr">
        <is>
          <t>KINDA</t>
        </is>
      </c>
      <c r="G466" t="n">
        <v>2.6</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46139</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46139</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5707-2024</t>
        </is>
      </c>
      <c r="B469" s="1" t="n">
        <v>45334</v>
      </c>
      <c r="C469" s="1" t="n">
        <v>46139</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46139</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46139</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46139</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46139</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59100-2025</t>
        </is>
      </c>
      <c r="B474" s="1" t="n">
        <v>45988.45670138889</v>
      </c>
      <c r="C474" s="1" t="n">
        <v>46139</v>
      </c>
      <c r="D474" t="inlineStr">
        <is>
          <t>ÖSTERGÖTLANDS LÄN</t>
        </is>
      </c>
      <c r="E474" t="inlineStr">
        <is>
          <t>KINDA</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35975-2025</t>
        </is>
      </c>
      <c r="B475" s="1" t="n">
        <v>45863.43395833333</v>
      </c>
      <c r="C475" s="1" t="n">
        <v>46139</v>
      </c>
      <c r="D475" t="inlineStr">
        <is>
          <t>ÖSTERGÖTLANDS LÄN</t>
        </is>
      </c>
      <c r="E475" t="inlineStr">
        <is>
          <t>KINDA</t>
        </is>
      </c>
      <c r="G475" t="n">
        <v>4.9</v>
      </c>
      <c r="H475" t="n">
        <v>0</v>
      </c>
      <c r="I475" t="n">
        <v>0</v>
      </c>
      <c r="J475" t="n">
        <v>0</v>
      </c>
      <c r="K475" t="n">
        <v>0</v>
      </c>
      <c r="L475" t="n">
        <v>0</v>
      </c>
      <c r="M475" t="n">
        <v>0</v>
      </c>
      <c r="N475" t="n">
        <v>0</v>
      </c>
      <c r="O475" t="n">
        <v>0</v>
      </c>
      <c r="P475" t="n">
        <v>0</v>
      </c>
      <c r="Q475" t="n">
        <v>0</v>
      </c>
      <c r="R475" s="2" t="inlineStr"/>
    </row>
    <row r="476" ht="15" customHeight="1">
      <c r="A476" t="inlineStr">
        <is>
          <t>A 36000-2025</t>
        </is>
      </c>
      <c r="B476" s="1" t="n">
        <v>45863.51805555556</v>
      </c>
      <c r="C476" s="1" t="n">
        <v>46139</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13976-2022</t>
        </is>
      </c>
      <c r="B477" s="1" t="n">
        <v>44650.56546296296</v>
      </c>
      <c r="C477" s="1" t="n">
        <v>46139</v>
      </c>
      <c r="D477" t="inlineStr">
        <is>
          <t>ÖSTERGÖTLANDS LÄN</t>
        </is>
      </c>
      <c r="E477" t="inlineStr">
        <is>
          <t>KINDA</t>
        </is>
      </c>
      <c r="F477" t="inlineStr">
        <is>
          <t>Övriga Aktiebolag</t>
        </is>
      </c>
      <c r="G477" t="n">
        <v>7.4</v>
      </c>
      <c r="H477" t="n">
        <v>0</v>
      </c>
      <c r="I477" t="n">
        <v>0</v>
      </c>
      <c r="J477" t="n">
        <v>0</v>
      </c>
      <c r="K477" t="n">
        <v>0</v>
      </c>
      <c r="L477" t="n">
        <v>0</v>
      </c>
      <c r="M477" t="n">
        <v>0</v>
      </c>
      <c r="N477" t="n">
        <v>0</v>
      </c>
      <c r="O477" t="n">
        <v>0</v>
      </c>
      <c r="P477" t="n">
        <v>0</v>
      </c>
      <c r="Q477" t="n">
        <v>0</v>
      </c>
      <c r="R477" s="2" t="inlineStr"/>
    </row>
    <row r="478" ht="15" customHeight="1">
      <c r="A478" t="inlineStr">
        <is>
          <t>A 35982-2025</t>
        </is>
      </c>
      <c r="B478" s="1" t="n">
        <v>45863.44907407407</v>
      </c>
      <c r="C478" s="1" t="n">
        <v>46139</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35986-2025</t>
        </is>
      </c>
      <c r="B479" s="1" t="n">
        <v>45863</v>
      </c>
      <c r="C479" s="1" t="n">
        <v>46139</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59040-2025</t>
        </is>
      </c>
      <c r="B480" s="1" t="n">
        <v>45988.36878472222</v>
      </c>
      <c r="C480" s="1" t="n">
        <v>46139</v>
      </c>
      <c r="D480" t="inlineStr">
        <is>
          <t>ÖSTERGÖTLANDS LÄN</t>
        </is>
      </c>
      <c r="E480" t="inlineStr">
        <is>
          <t>KINDA</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59103-2025</t>
        </is>
      </c>
      <c r="B481" s="1" t="n">
        <v>45988.46053240741</v>
      </c>
      <c r="C481" s="1" t="n">
        <v>46139</v>
      </c>
      <c r="D481" t="inlineStr">
        <is>
          <t>ÖSTERGÖTLANDS LÄN</t>
        </is>
      </c>
      <c r="E481" t="inlineStr">
        <is>
          <t>KINDA</t>
        </is>
      </c>
      <c r="F481" t="inlineStr">
        <is>
          <t>Sveaskog</t>
        </is>
      </c>
      <c r="G481" t="n">
        <v>5.5</v>
      </c>
      <c r="H481" t="n">
        <v>0</v>
      </c>
      <c r="I481" t="n">
        <v>0</v>
      </c>
      <c r="J481" t="n">
        <v>0</v>
      </c>
      <c r="K481" t="n">
        <v>0</v>
      </c>
      <c r="L481" t="n">
        <v>0</v>
      </c>
      <c r="M481" t="n">
        <v>0</v>
      </c>
      <c r="N481" t="n">
        <v>0</v>
      </c>
      <c r="O481" t="n">
        <v>0</v>
      </c>
      <c r="P481" t="n">
        <v>0</v>
      </c>
      <c r="Q481" t="n">
        <v>0</v>
      </c>
      <c r="R481" s="2" t="inlineStr"/>
    </row>
    <row r="482" ht="15" customHeight="1">
      <c r="A482" t="inlineStr">
        <is>
          <t>A 59079-2025</t>
        </is>
      </c>
      <c r="B482" s="1" t="n">
        <v>45988.43372685185</v>
      </c>
      <c r="C482" s="1" t="n">
        <v>46139</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48811-2024</t>
        </is>
      </c>
      <c r="B483" s="1" t="n">
        <v>45593.66861111111</v>
      </c>
      <c r="C483" s="1" t="n">
        <v>46139</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46139</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22002-2025</t>
        </is>
      </c>
      <c r="B485" s="1" t="n">
        <v>45784.70443287037</v>
      </c>
      <c r="C485" s="1" t="n">
        <v>46139</v>
      </c>
      <c r="D485" t="inlineStr">
        <is>
          <t>ÖSTERGÖTLANDS LÄN</t>
        </is>
      </c>
      <c r="E485" t="inlineStr">
        <is>
          <t>KINDA</t>
        </is>
      </c>
      <c r="G485" t="n">
        <v>3.7</v>
      </c>
      <c r="H485" t="n">
        <v>0</v>
      </c>
      <c r="I485" t="n">
        <v>0</v>
      </c>
      <c r="J485" t="n">
        <v>0</v>
      </c>
      <c r="K485" t="n">
        <v>0</v>
      </c>
      <c r="L485" t="n">
        <v>0</v>
      </c>
      <c r="M485" t="n">
        <v>0</v>
      </c>
      <c r="N485" t="n">
        <v>0</v>
      </c>
      <c r="O485" t="n">
        <v>0</v>
      </c>
      <c r="P485" t="n">
        <v>0</v>
      </c>
      <c r="Q485" t="n">
        <v>0</v>
      </c>
      <c r="R485" s="2" t="inlineStr"/>
    </row>
    <row r="486" ht="15" customHeight="1">
      <c r="A486" t="inlineStr">
        <is>
          <t>A 59101-2025</t>
        </is>
      </c>
      <c r="B486" s="1" t="n">
        <v>45988.45870370371</v>
      </c>
      <c r="C486" s="1" t="n">
        <v>46139</v>
      </c>
      <c r="D486" t="inlineStr">
        <is>
          <t>ÖSTERGÖTLANDS LÄN</t>
        </is>
      </c>
      <c r="E486" t="inlineStr">
        <is>
          <t>KINDA</t>
        </is>
      </c>
      <c r="F486" t="inlineStr">
        <is>
          <t>Sveaskog</t>
        </is>
      </c>
      <c r="G486" t="n">
        <v>5.6</v>
      </c>
      <c r="H486" t="n">
        <v>0</v>
      </c>
      <c r="I486" t="n">
        <v>0</v>
      </c>
      <c r="J486" t="n">
        <v>0</v>
      </c>
      <c r="K486" t="n">
        <v>0</v>
      </c>
      <c r="L486" t="n">
        <v>0</v>
      </c>
      <c r="M486" t="n">
        <v>0</v>
      </c>
      <c r="N486" t="n">
        <v>0</v>
      </c>
      <c r="O486" t="n">
        <v>0</v>
      </c>
      <c r="P486" t="n">
        <v>0</v>
      </c>
      <c r="Q486" t="n">
        <v>0</v>
      </c>
      <c r="R486" s="2" t="inlineStr"/>
    </row>
    <row r="487" ht="15" customHeight="1">
      <c r="A487" t="inlineStr">
        <is>
          <t>A 22443-2025</t>
        </is>
      </c>
      <c r="B487" s="1" t="n">
        <v>45786</v>
      </c>
      <c r="C487" s="1" t="n">
        <v>46139</v>
      </c>
      <c r="D487" t="inlineStr">
        <is>
          <t>ÖSTERGÖTLANDS LÄN</t>
        </is>
      </c>
      <c r="E487" t="inlineStr">
        <is>
          <t>KINDA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36172-2025</t>
        </is>
      </c>
      <c r="B488" s="1" t="n">
        <v>45866</v>
      </c>
      <c r="C488" s="1" t="n">
        <v>46139</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36173-2025</t>
        </is>
      </c>
      <c r="B489" s="1" t="n">
        <v>45866</v>
      </c>
      <c r="C489" s="1" t="n">
        <v>46139</v>
      </c>
      <c r="D489" t="inlineStr">
        <is>
          <t>ÖSTERGÖTLANDS LÄN</t>
        </is>
      </c>
      <c r="E489" t="inlineStr">
        <is>
          <t>KINDA</t>
        </is>
      </c>
      <c r="G489" t="n">
        <v>4.4</v>
      </c>
      <c r="H489" t="n">
        <v>0</v>
      </c>
      <c r="I489" t="n">
        <v>0</v>
      </c>
      <c r="J489" t="n">
        <v>0</v>
      </c>
      <c r="K489" t="n">
        <v>0</v>
      </c>
      <c r="L489" t="n">
        <v>0</v>
      </c>
      <c r="M489" t="n">
        <v>0</v>
      </c>
      <c r="N489" t="n">
        <v>0</v>
      </c>
      <c r="O489" t="n">
        <v>0</v>
      </c>
      <c r="P489" t="n">
        <v>0</v>
      </c>
      <c r="Q489" t="n">
        <v>0</v>
      </c>
      <c r="R489" s="2" t="inlineStr"/>
    </row>
    <row r="490" ht="15" customHeight="1">
      <c r="A490" t="inlineStr">
        <is>
          <t>A 62254-2023</t>
        </is>
      </c>
      <c r="B490" s="1" t="n">
        <v>45267.61618055555</v>
      </c>
      <c r="C490" s="1" t="n">
        <v>46139</v>
      </c>
      <c r="D490" t="inlineStr">
        <is>
          <t>ÖSTERGÖTLANDS LÄN</t>
        </is>
      </c>
      <c r="E490" t="inlineStr">
        <is>
          <t>KINDA</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60314-2025</t>
        </is>
      </c>
      <c r="B491" s="1" t="n">
        <v>45994.70809027777</v>
      </c>
      <c r="C491" s="1" t="n">
        <v>46139</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37014-2025</t>
        </is>
      </c>
      <c r="B492" s="1" t="n">
        <v>45874</v>
      </c>
      <c r="C492" s="1" t="n">
        <v>46139</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9203-2023</t>
        </is>
      </c>
      <c r="B493" s="1" t="n">
        <v>44977</v>
      </c>
      <c r="C493" s="1" t="n">
        <v>46139</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37069-2025</t>
        </is>
      </c>
      <c r="B494" s="1" t="n">
        <v>45875</v>
      </c>
      <c r="C494" s="1" t="n">
        <v>46139</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32610-2023</t>
        </is>
      </c>
      <c r="B495" s="1" t="n">
        <v>45111</v>
      </c>
      <c r="C495" s="1" t="n">
        <v>46139</v>
      </c>
      <c r="D495" t="inlineStr">
        <is>
          <t>ÖSTERGÖTLANDS LÄN</t>
        </is>
      </c>
      <c r="E495" t="inlineStr">
        <is>
          <t>KINDA</t>
        </is>
      </c>
      <c r="G495" t="n">
        <v>8.9</v>
      </c>
      <c r="H495" t="n">
        <v>0</v>
      </c>
      <c r="I495" t="n">
        <v>0</v>
      </c>
      <c r="J495" t="n">
        <v>0</v>
      </c>
      <c r="K495" t="n">
        <v>0</v>
      </c>
      <c r="L495" t="n">
        <v>0</v>
      </c>
      <c r="M495" t="n">
        <v>0</v>
      </c>
      <c r="N495" t="n">
        <v>0</v>
      </c>
      <c r="O495" t="n">
        <v>0</v>
      </c>
      <c r="P495" t="n">
        <v>0</v>
      </c>
      <c r="Q495" t="n">
        <v>0</v>
      </c>
      <c r="R495" s="2" t="inlineStr"/>
    </row>
    <row r="496" ht="15" customHeight="1">
      <c r="A496" t="inlineStr">
        <is>
          <t>A 21246-2023</t>
        </is>
      </c>
      <c r="B496" s="1" t="n">
        <v>45062.57262731482</v>
      </c>
      <c r="C496" s="1" t="n">
        <v>46139</v>
      </c>
      <c r="D496" t="inlineStr">
        <is>
          <t>ÖSTERGÖTLANDS LÄN</t>
        </is>
      </c>
      <c r="E496" t="inlineStr">
        <is>
          <t>KINDA</t>
        </is>
      </c>
      <c r="G496" t="n">
        <v>5.5</v>
      </c>
      <c r="H496" t="n">
        <v>0</v>
      </c>
      <c r="I496" t="n">
        <v>0</v>
      </c>
      <c r="J496" t="n">
        <v>0</v>
      </c>
      <c r="K496" t="n">
        <v>0</v>
      </c>
      <c r="L496" t="n">
        <v>0</v>
      </c>
      <c r="M496" t="n">
        <v>0</v>
      </c>
      <c r="N496" t="n">
        <v>0</v>
      </c>
      <c r="O496" t="n">
        <v>0</v>
      </c>
      <c r="P496" t="n">
        <v>0</v>
      </c>
      <c r="Q496" t="n">
        <v>0</v>
      </c>
      <c r="R496" s="2" t="inlineStr"/>
    </row>
    <row r="497" ht="15" customHeight="1">
      <c r="A497" t="inlineStr">
        <is>
          <t>A 59462-2025</t>
        </is>
      </c>
      <c r="B497" s="1" t="n">
        <v>45989</v>
      </c>
      <c r="C497" s="1" t="n">
        <v>46139</v>
      </c>
      <c r="D497" t="inlineStr">
        <is>
          <t>ÖSTERGÖTLANDS LÄN</t>
        </is>
      </c>
      <c r="E497" t="inlineStr">
        <is>
          <t>KINDA</t>
        </is>
      </c>
      <c r="G497" t="n">
        <v>1.2</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46139</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46139</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46139</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37670-2025</t>
        </is>
      </c>
      <c r="B501" s="1" t="n">
        <v>45880</v>
      </c>
      <c r="C501" s="1" t="n">
        <v>46139</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61776-2025</t>
        </is>
      </c>
      <c r="B502" s="1" t="n">
        <v>46002.6596875</v>
      </c>
      <c r="C502" s="1" t="n">
        <v>46139</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61908-2025</t>
        </is>
      </c>
      <c r="B503" s="1" t="n">
        <v>46003.47145833333</v>
      </c>
      <c r="C503" s="1" t="n">
        <v>46139</v>
      </c>
      <c r="D503" t="inlineStr">
        <is>
          <t>ÖSTERGÖTLANDS LÄN</t>
        </is>
      </c>
      <c r="E503" t="inlineStr">
        <is>
          <t>KINDA</t>
        </is>
      </c>
      <c r="G503" t="n">
        <v>6.7</v>
      </c>
      <c r="H503" t="n">
        <v>0</v>
      </c>
      <c r="I503" t="n">
        <v>0</v>
      </c>
      <c r="J503" t="n">
        <v>0</v>
      </c>
      <c r="K503" t="n">
        <v>0</v>
      </c>
      <c r="L503" t="n">
        <v>0</v>
      </c>
      <c r="M503" t="n">
        <v>0</v>
      </c>
      <c r="N503" t="n">
        <v>0</v>
      </c>
      <c r="O503" t="n">
        <v>0</v>
      </c>
      <c r="P503" t="n">
        <v>0</v>
      </c>
      <c r="Q503" t="n">
        <v>0</v>
      </c>
      <c r="R503" s="2" t="inlineStr"/>
    </row>
    <row r="504" ht="15" customHeight="1">
      <c r="A504" t="inlineStr">
        <is>
          <t>A 38138-2025</t>
        </is>
      </c>
      <c r="B504" s="1" t="n">
        <v>45882.57047453704</v>
      </c>
      <c r="C504" s="1" t="n">
        <v>46139</v>
      </c>
      <c r="D504" t="inlineStr">
        <is>
          <t>ÖSTERGÖTLANDS LÄN</t>
        </is>
      </c>
      <c r="E504" t="inlineStr">
        <is>
          <t>KINDA</t>
        </is>
      </c>
      <c r="G504" t="n">
        <v>2.2</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46139</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61742-2025</t>
        </is>
      </c>
      <c r="B506" s="1" t="n">
        <v>46002.60186342592</v>
      </c>
      <c r="C506" s="1" t="n">
        <v>46139</v>
      </c>
      <c r="D506" t="inlineStr">
        <is>
          <t>ÖSTERGÖTLANDS LÄN</t>
        </is>
      </c>
      <c r="E506" t="inlineStr">
        <is>
          <t>KINDA</t>
        </is>
      </c>
      <c r="G506" t="n">
        <v>2.3</v>
      </c>
      <c r="H506" t="n">
        <v>0</v>
      </c>
      <c r="I506" t="n">
        <v>0</v>
      </c>
      <c r="J506" t="n">
        <v>0</v>
      </c>
      <c r="K506" t="n">
        <v>0</v>
      </c>
      <c r="L506" t="n">
        <v>0</v>
      </c>
      <c r="M506" t="n">
        <v>0</v>
      </c>
      <c r="N506" t="n">
        <v>0</v>
      </c>
      <c r="O506" t="n">
        <v>0</v>
      </c>
      <c r="P506" t="n">
        <v>0</v>
      </c>
      <c r="Q506" t="n">
        <v>0</v>
      </c>
      <c r="R506" s="2" t="inlineStr"/>
    </row>
    <row r="507" ht="15" customHeight="1">
      <c r="A507" t="inlineStr">
        <is>
          <t>A 61705-2025</t>
        </is>
      </c>
      <c r="B507" s="1" t="n">
        <v>46002.55034722222</v>
      </c>
      <c r="C507" s="1" t="n">
        <v>46139</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24075-2025</t>
        </is>
      </c>
      <c r="B508" s="1" t="n">
        <v>45796.54888888889</v>
      </c>
      <c r="C508" s="1" t="n">
        <v>46139</v>
      </c>
      <c r="D508" t="inlineStr">
        <is>
          <t>ÖSTERGÖTLANDS LÄN</t>
        </is>
      </c>
      <c r="E508" t="inlineStr">
        <is>
          <t>KINDA</t>
        </is>
      </c>
      <c r="G508" t="n">
        <v>1.7</v>
      </c>
      <c r="H508" t="n">
        <v>0</v>
      </c>
      <c r="I508" t="n">
        <v>0</v>
      </c>
      <c r="J508" t="n">
        <v>0</v>
      </c>
      <c r="K508" t="n">
        <v>0</v>
      </c>
      <c r="L508" t="n">
        <v>0</v>
      </c>
      <c r="M508" t="n">
        <v>0</v>
      </c>
      <c r="N508" t="n">
        <v>0</v>
      </c>
      <c r="O508" t="n">
        <v>0</v>
      </c>
      <c r="P508" t="n">
        <v>0</v>
      </c>
      <c r="Q508" t="n">
        <v>0</v>
      </c>
      <c r="R508" s="2" t="inlineStr"/>
    </row>
    <row r="509" ht="15" customHeight="1">
      <c r="A509" t="inlineStr">
        <is>
          <t>A 62008-2025</t>
        </is>
      </c>
      <c r="B509" s="1" t="n">
        <v>46003.66984953704</v>
      </c>
      <c r="C509" s="1" t="n">
        <v>46139</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61901-2025</t>
        </is>
      </c>
      <c r="B510" s="1" t="n">
        <v>46003.46927083333</v>
      </c>
      <c r="C510" s="1" t="n">
        <v>46139</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38142-2025</t>
        </is>
      </c>
      <c r="B511" s="1" t="n">
        <v>45882.58010416666</v>
      </c>
      <c r="C511" s="1" t="n">
        <v>46139</v>
      </c>
      <c r="D511" t="inlineStr">
        <is>
          <t>ÖSTERGÖTLANDS LÄN</t>
        </is>
      </c>
      <c r="E511" t="inlineStr">
        <is>
          <t>KINDA</t>
        </is>
      </c>
      <c r="G511" t="n">
        <v>4.2</v>
      </c>
      <c r="H511" t="n">
        <v>0</v>
      </c>
      <c r="I511" t="n">
        <v>0</v>
      </c>
      <c r="J511" t="n">
        <v>0</v>
      </c>
      <c r="K511" t="n">
        <v>0</v>
      </c>
      <c r="L511" t="n">
        <v>0</v>
      </c>
      <c r="M511" t="n">
        <v>0</v>
      </c>
      <c r="N511" t="n">
        <v>0</v>
      </c>
      <c r="O511" t="n">
        <v>0</v>
      </c>
      <c r="P511" t="n">
        <v>0</v>
      </c>
      <c r="Q511" t="n">
        <v>0</v>
      </c>
      <c r="R511" s="2" t="inlineStr"/>
    </row>
    <row r="512" ht="15" customHeight="1">
      <c r="A512" t="inlineStr">
        <is>
          <t>A 61779-2025</t>
        </is>
      </c>
      <c r="B512" s="1" t="n">
        <v>46002.66668981482</v>
      </c>
      <c r="C512" s="1" t="n">
        <v>46139</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27099-2023</t>
        </is>
      </c>
      <c r="B513" s="1" t="n">
        <v>45096</v>
      </c>
      <c r="C513" s="1" t="n">
        <v>46139</v>
      </c>
      <c r="D513" t="inlineStr">
        <is>
          <t>ÖSTERGÖTLANDS LÄN</t>
        </is>
      </c>
      <c r="E513" t="inlineStr">
        <is>
          <t>KINDA</t>
        </is>
      </c>
      <c r="G513" t="n">
        <v>4.2</v>
      </c>
      <c r="H513" t="n">
        <v>0</v>
      </c>
      <c r="I513" t="n">
        <v>0</v>
      </c>
      <c r="J513" t="n">
        <v>0</v>
      </c>
      <c r="K513" t="n">
        <v>0</v>
      </c>
      <c r="L513" t="n">
        <v>0</v>
      </c>
      <c r="M513" t="n">
        <v>0</v>
      </c>
      <c r="N513" t="n">
        <v>0</v>
      </c>
      <c r="O513" t="n">
        <v>0</v>
      </c>
      <c r="P513" t="n">
        <v>0</v>
      </c>
      <c r="Q513" t="n">
        <v>0</v>
      </c>
      <c r="R513" s="2" t="inlineStr"/>
    </row>
    <row r="514" ht="15" customHeight="1">
      <c r="A514" t="inlineStr">
        <is>
          <t>A 38136-2025</t>
        </is>
      </c>
      <c r="B514" s="1" t="n">
        <v>45882.56710648148</v>
      </c>
      <c r="C514" s="1" t="n">
        <v>46139</v>
      </c>
      <c r="D514" t="inlineStr">
        <is>
          <t>ÖSTERGÖTLANDS LÄN</t>
        </is>
      </c>
      <c r="E514" t="inlineStr">
        <is>
          <t>KINDA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38250-2025</t>
        </is>
      </c>
      <c r="B515" s="1" t="n">
        <v>45883.3749537037</v>
      </c>
      <c r="C515" s="1" t="n">
        <v>46139</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62415-2025</t>
        </is>
      </c>
      <c r="B516" s="1" t="n">
        <v>46007.44498842592</v>
      </c>
      <c r="C516" s="1" t="n">
        <v>46139</v>
      </c>
      <c r="D516" t="inlineStr">
        <is>
          <t>ÖSTERGÖTLANDS LÄN</t>
        </is>
      </c>
      <c r="E516" t="inlineStr">
        <is>
          <t>KINDA</t>
        </is>
      </c>
      <c r="G516" t="n">
        <v>0.4</v>
      </c>
      <c r="H516" t="n">
        <v>0</v>
      </c>
      <c r="I516" t="n">
        <v>0</v>
      </c>
      <c r="J516" t="n">
        <v>0</v>
      </c>
      <c r="K516" t="n">
        <v>0</v>
      </c>
      <c r="L516" t="n">
        <v>0</v>
      </c>
      <c r="M516" t="n">
        <v>0</v>
      </c>
      <c r="N516" t="n">
        <v>0</v>
      </c>
      <c r="O516" t="n">
        <v>0</v>
      </c>
      <c r="P516" t="n">
        <v>0</v>
      </c>
      <c r="Q516" t="n">
        <v>0</v>
      </c>
      <c r="R516" s="2" t="inlineStr"/>
    </row>
    <row r="517" ht="15" customHeight="1">
      <c r="A517" t="inlineStr">
        <is>
          <t>A 38134-2025</t>
        </is>
      </c>
      <c r="B517" s="1" t="n">
        <v>45882.56501157407</v>
      </c>
      <c r="C517" s="1" t="n">
        <v>46139</v>
      </c>
      <c r="D517" t="inlineStr">
        <is>
          <t>ÖSTERGÖTLANDS LÄN</t>
        </is>
      </c>
      <c r="E517" t="inlineStr">
        <is>
          <t>KINDA</t>
        </is>
      </c>
      <c r="G517" t="n">
        <v>2</v>
      </c>
      <c r="H517" t="n">
        <v>0</v>
      </c>
      <c r="I517" t="n">
        <v>0</v>
      </c>
      <c r="J517" t="n">
        <v>0</v>
      </c>
      <c r="K517" t="n">
        <v>0</v>
      </c>
      <c r="L517" t="n">
        <v>0</v>
      </c>
      <c r="M517" t="n">
        <v>0</v>
      </c>
      <c r="N517" t="n">
        <v>0</v>
      </c>
      <c r="O517" t="n">
        <v>0</v>
      </c>
      <c r="P517" t="n">
        <v>0</v>
      </c>
      <c r="Q517" t="n">
        <v>0</v>
      </c>
      <c r="R517" s="2" t="inlineStr"/>
    </row>
    <row r="518" ht="15" customHeight="1">
      <c r="A518" t="inlineStr">
        <is>
          <t>A 38128-2025</t>
        </is>
      </c>
      <c r="B518" s="1" t="n">
        <v>45882.55935185185</v>
      </c>
      <c r="C518" s="1" t="n">
        <v>46139</v>
      </c>
      <c r="D518" t="inlineStr">
        <is>
          <t>ÖSTERGÖTLANDS LÄN</t>
        </is>
      </c>
      <c r="E518" t="inlineStr">
        <is>
          <t>KINDA</t>
        </is>
      </c>
      <c r="G518" t="n">
        <v>9.1</v>
      </c>
      <c r="H518" t="n">
        <v>0</v>
      </c>
      <c r="I518" t="n">
        <v>0</v>
      </c>
      <c r="J518" t="n">
        <v>0</v>
      </c>
      <c r="K518" t="n">
        <v>0</v>
      </c>
      <c r="L518" t="n">
        <v>0</v>
      </c>
      <c r="M518" t="n">
        <v>0</v>
      </c>
      <c r="N518" t="n">
        <v>0</v>
      </c>
      <c r="O518" t="n">
        <v>0</v>
      </c>
      <c r="P518" t="n">
        <v>0</v>
      </c>
      <c r="Q518" t="n">
        <v>0</v>
      </c>
      <c r="R518" s="2" t="inlineStr"/>
    </row>
    <row r="519" ht="15" customHeight="1">
      <c r="A519" t="inlineStr">
        <is>
          <t>A 38131-2025</t>
        </is>
      </c>
      <c r="B519" s="1" t="n">
        <v>45882.56136574074</v>
      </c>
      <c r="C519" s="1" t="n">
        <v>46139</v>
      </c>
      <c r="D519" t="inlineStr">
        <is>
          <t>ÖSTERGÖTLANDS LÄN</t>
        </is>
      </c>
      <c r="E519" t="inlineStr">
        <is>
          <t>KINDA</t>
        </is>
      </c>
      <c r="G519" t="n">
        <v>3.9</v>
      </c>
      <c r="H519" t="n">
        <v>0</v>
      </c>
      <c r="I519" t="n">
        <v>0</v>
      </c>
      <c r="J519" t="n">
        <v>0</v>
      </c>
      <c r="K519" t="n">
        <v>0</v>
      </c>
      <c r="L519" t="n">
        <v>0</v>
      </c>
      <c r="M519" t="n">
        <v>0</v>
      </c>
      <c r="N519" t="n">
        <v>0</v>
      </c>
      <c r="O519" t="n">
        <v>0</v>
      </c>
      <c r="P519" t="n">
        <v>0</v>
      </c>
      <c r="Q519" t="n">
        <v>0</v>
      </c>
      <c r="R519" s="2" t="inlineStr"/>
    </row>
    <row r="520" ht="15" customHeight="1">
      <c r="A520" t="inlineStr">
        <is>
          <t>A 62443-2025</t>
        </is>
      </c>
      <c r="B520" s="1" t="n">
        <v>46007.48135416667</v>
      </c>
      <c r="C520" s="1" t="n">
        <v>46139</v>
      </c>
      <c r="D520" t="inlineStr">
        <is>
          <t>ÖSTERGÖTLANDS LÄN</t>
        </is>
      </c>
      <c r="E520" t="inlineStr">
        <is>
          <t>KINDA</t>
        </is>
      </c>
      <c r="G520" t="n">
        <v>1.9</v>
      </c>
      <c r="H520" t="n">
        <v>0</v>
      </c>
      <c r="I520" t="n">
        <v>0</v>
      </c>
      <c r="J520" t="n">
        <v>0</v>
      </c>
      <c r="K520" t="n">
        <v>0</v>
      </c>
      <c r="L520" t="n">
        <v>0</v>
      </c>
      <c r="M520" t="n">
        <v>0</v>
      </c>
      <c r="N520" t="n">
        <v>0</v>
      </c>
      <c r="O520" t="n">
        <v>0</v>
      </c>
      <c r="P520" t="n">
        <v>0</v>
      </c>
      <c r="Q520" t="n">
        <v>0</v>
      </c>
      <c r="R520" s="2" t="inlineStr"/>
    </row>
    <row r="521" ht="15" customHeight="1">
      <c r="A521" t="inlineStr">
        <is>
          <t>A 38258-2025</t>
        </is>
      </c>
      <c r="B521" s="1" t="n">
        <v>45883.38797453704</v>
      </c>
      <c r="C521" s="1" t="n">
        <v>46139</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38261-2025</t>
        </is>
      </c>
      <c r="B522" s="1" t="n">
        <v>45883.39684027778</v>
      </c>
      <c r="C522" s="1" t="n">
        <v>46139</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62444-2025</t>
        </is>
      </c>
      <c r="B523" s="1" t="n">
        <v>46007.48309027778</v>
      </c>
      <c r="C523" s="1" t="n">
        <v>46139</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62703-2025</t>
        </is>
      </c>
      <c r="B524" s="1" t="n">
        <v>46008.49290509259</v>
      </c>
      <c r="C524" s="1" t="n">
        <v>46139</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62707-2025</t>
        </is>
      </c>
      <c r="B525" s="1" t="n">
        <v>46008.50423611111</v>
      </c>
      <c r="C525" s="1" t="n">
        <v>46139</v>
      </c>
      <c r="D525" t="inlineStr">
        <is>
          <t>ÖSTERGÖTLANDS LÄN</t>
        </is>
      </c>
      <c r="E525" t="inlineStr">
        <is>
          <t>KINDA</t>
        </is>
      </c>
      <c r="F525" t="inlineStr">
        <is>
          <t>Kommuner</t>
        </is>
      </c>
      <c r="G525" t="n">
        <v>0.9</v>
      </c>
      <c r="H525" t="n">
        <v>0</v>
      </c>
      <c r="I525" t="n">
        <v>0</v>
      </c>
      <c r="J525" t="n">
        <v>0</v>
      </c>
      <c r="K525" t="n">
        <v>0</v>
      </c>
      <c r="L525" t="n">
        <v>0</v>
      </c>
      <c r="M525" t="n">
        <v>0</v>
      </c>
      <c r="N525" t="n">
        <v>0</v>
      </c>
      <c r="O525" t="n">
        <v>0</v>
      </c>
      <c r="P525" t="n">
        <v>0</v>
      </c>
      <c r="Q525" t="n">
        <v>0</v>
      </c>
      <c r="R525" s="2" t="inlineStr"/>
    </row>
    <row r="526" ht="15" customHeight="1">
      <c r="A526" t="inlineStr">
        <is>
          <t>A 62694-2025</t>
        </is>
      </c>
      <c r="B526" s="1" t="n">
        <v>46008.4852662037</v>
      </c>
      <c r="C526" s="1" t="n">
        <v>46139</v>
      </c>
      <c r="D526" t="inlineStr">
        <is>
          <t>ÖSTERGÖTLANDS LÄN</t>
        </is>
      </c>
      <c r="E526" t="inlineStr">
        <is>
          <t>KINDA</t>
        </is>
      </c>
      <c r="G526" t="n">
        <v>5</v>
      </c>
      <c r="H526" t="n">
        <v>0</v>
      </c>
      <c r="I526" t="n">
        <v>0</v>
      </c>
      <c r="J526" t="n">
        <v>0</v>
      </c>
      <c r="K526" t="n">
        <v>0</v>
      </c>
      <c r="L526" t="n">
        <v>0</v>
      </c>
      <c r="M526" t="n">
        <v>0</v>
      </c>
      <c r="N526" t="n">
        <v>0</v>
      </c>
      <c r="O526" t="n">
        <v>0</v>
      </c>
      <c r="P526" t="n">
        <v>0</v>
      </c>
      <c r="Q526" t="n">
        <v>0</v>
      </c>
      <c r="R526" s="2" t="inlineStr"/>
    </row>
    <row r="527" ht="15" customHeight="1">
      <c r="A527" t="inlineStr">
        <is>
          <t>A 62697-2025</t>
        </is>
      </c>
      <c r="B527" s="1" t="n">
        <v>46008.48805555556</v>
      </c>
      <c r="C527" s="1" t="n">
        <v>46139</v>
      </c>
      <c r="D527" t="inlineStr">
        <is>
          <t>ÖSTERGÖTLANDS LÄN</t>
        </is>
      </c>
      <c r="E527" t="inlineStr">
        <is>
          <t>KINDA</t>
        </is>
      </c>
      <c r="G527" t="n">
        <v>2.9</v>
      </c>
      <c r="H527" t="n">
        <v>0</v>
      </c>
      <c r="I527" t="n">
        <v>0</v>
      </c>
      <c r="J527" t="n">
        <v>0</v>
      </c>
      <c r="K527" t="n">
        <v>0</v>
      </c>
      <c r="L527" t="n">
        <v>0</v>
      </c>
      <c r="M527" t="n">
        <v>0</v>
      </c>
      <c r="N527" t="n">
        <v>0</v>
      </c>
      <c r="O527" t="n">
        <v>0</v>
      </c>
      <c r="P527" t="n">
        <v>0</v>
      </c>
      <c r="Q527" t="n">
        <v>0</v>
      </c>
      <c r="R527" s="2" t="inlineStr"/>
    </row>
    <row r="528" ht="15" customHeight="1">
      <c r="A528" t="inlineStr">
        <is>
          <t>A 31839-2023</t>
        </is>
      </c>
      <c r="B528" s="1" t="n">
        <v>45118.57342592593</v>
      </c>
      <c r="C528" s="1" t="n">
        <v>46139</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44139-2024</t>
        </is>
      </c>
      <c r="B529" s="1" t="n">
        <v>45572.6625</v>
      </c>
      <c r="C529" s="1" t="n">
        <v>46139</v>
      </c>
      <c r="D529" t="inlineStr">
        <is>
          <t>ÖSTERGÖTLANDS LÄN</t>
        </is>
      </c>
      <c r="E529" t="inlineStr">
        <is>
          <t>KINDA</t>
        </is>
      </c>
      <c r="G529" t="n">
        <v>3.6</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46139</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61954-2022</t>
        </is>
      </c>
      <c r="B531" s="1" t="n">
        <v>44918.33840277778</v>
      </c>
      <c r="C531" s="1" t="n">
        <v>46139</v>
      </c>
      <c r="D531" t="inlineStr">
        <is>
          <t>ÖSTERGÖTLANDS LÄN</t>
        </is>
      </c>
      <c r="E531" t="inlineStr">
        <is>
          <t>KINDA</t>
        </is>
      </c>
      <c r="G531" t="n">
        <v>6.2</v>
      </c>
      <c r="H531" t="n">
        <v>0</v>
      </c>
      <c r="I531" t="n">
        <v>0</v>
      </c>
      <c r="J531" t="n">
        <v>0</v>
      </c>
      <c r="K531" t="n">
        <v>0</v>
      </c>
      <c r="L531" t="n">
        <v>0</v>
      </c>
      <c r="M531" t="n">
        <v>0</v>
      </c>
      <c r="N531" t="n">
        <v>0</v>
      </c>
      <c r="O531" t="n">
        <v>0</v>
      </c>
      <c r="P531" t="n">
        <v>0</v>
      </c>
      <c r="Q531" t="n">
        <v>0</v>
      </c>
      <c r="R531" s="2" t="inlineStr"/>
    </row>
    <row r="532" ht="15" customHeight="1">
      <c r="A532" t="inlineStr">
        <is>
          <t>A 57194-2023</t>
        </is>
      </c>
      <c r="B532" s="1" t="n">
        <v>45245.47634259259</v>
      </c>
      <c r="C532" s="1" t="n">
        <v>46139</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63139-2025</t>
        </is>
      </c>
      <c r="B533" s="1" t="n">
        <v>46010.34168981481</v>
      </c>
      <c r="C533" s="1" t="n">
        <v>46139</v>
      </c>
      <c r="D533" t="inlineStr">
        <is>
          <t>ÖSTERGÖTLANDS LÄN</t>
        </is>
      </c>
      <c r="E533" t="inlineStr">
        <is>
          <t>KINDA</t>
        </is>
      </c>
      <c r="F533" t="inlineStr">
        <is>
          <t>Kommuner</t>
        </is>
      </c>
      <c r="G533" t="n">
        <v>2.2</v>
      </c>
      <c r="H533" t="n">
        <v>0</v>
      </c>
      <c r="I533" t="n">
        <v>0</v>
      </c>
      <c r="J533" t="n">
        <v>0</v>
      </c>
      <c r="K533" t="n">
        <v>0</v>
      </c>
      <c r="L533" t="n">
        <v>0</v>
      </c>
      <c r="M533" t="n">
        <v>0</v>
      </c>
      <c r="N533" t="n">
        <v>0</v>
      </c>
      <c r="O533" t="n">
        <v>0</v>
      </c>
      <c r="P533" t="n">
        <v>0</v>
      </c>
      <c r="Q533" t="n">
        <v>0</v>
      </c>
      <c r="R533" s="2" t="inlineStr"/>
    </row>
    <row r="534" ht="15" customHeight="1">
      <c r="A534" t="inlineStr">
        <is>
          <t>A 6409-2025</t>
        </is>
      </c>
      <c r="B534" s="1" t="n">
        <v>45699.45700231481</v>
      </c>
      <c r="C534" s="1" t="n">
        <v>46139</v>
      </c>
      <c r="D534" t="inlineStr">
        <is>
          <t>ÖSTERGÖTLANDS LÄN</t>
        </is>
      </c>
      <c r="E534" t="inlineStr">
        <is>
          <t>KINDA</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3911-2023</t>
        </is>
      </c>
      <c r="B535" s="1" t="n">
        <v>44952</v>
      </c>
      <c r="C535" s="1" t="n">
        <v>46139</v>
      </c>
      <c r="D535" t="inlineStr">
        <is>
          <t>ÖSTERGÖTLANDS LÄN</t>
        </is>
      </c>
      <c r="E535" t="inlineStr">
        <is>
          <t>KINDA</t>
        </is>
      </c>
      <c r="G535" t="n">
        <v>1.4</v>
      </c>
      <c r="H535" t="n">
        <v>0</v>
      </c>
      <c r="I535" t="n">
        <v>0</v>
      </c>
      <c r="J535" t="n">
        <v>0</v>
      </c>
      <c r="K535" t="n">
        <v>0</v>
      </c>
      <c r="L535" t="n">
        <v>0</v>
      </c>
      <c r="M535" t="n">
        <v>0</v>
      </c>
      <c r="N535" t="n">
        <v>0</v>
      </c>
      <c r="O535" t="n">
        <v>0</v>
      </c>
      <c r="P535" t="n">
        <v>0</v>
      </c>
      <c r="Q535" t="n">
        <v>0</v>
      </c>
      <c r="R535" s="2" t="inlineStr"/>
    </row>
    <row r="536" ht="15" customHeight="1">
      <c r="A536" t="inlineStr">
        <is>
          <t>A 2969-2024</t>
        </is>
      </c>
      <c r="B536" s="1" t="n">
        <v>45315.66914351852</v>
      </c>
      <c r="C536" s="1" t="n">
        <v>46139</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40850-2025</t>
        </is>
      </c>
      <c r="B537" s="1" t="n">
        <v>45897.55149305556</v>
      </c>
      <c r="C537" s="1" t="n">
        <v>46139</v>
      </c>
      <c r="D537" t="inlineStr">
        <is>
          <t>ÖSTERGÖTLANDS LÄN</t>
        </is>
      </c>
      <c r="E537" t="inlineStr">
        <is>
          <t>KINDA</t>
        </is>
      </c>
      <c r="G537" t="n">
        <v>3</v>
      </c>
      <c r="H537" t="n">
        <v>0</v>
      </c>
      <c r="I537" t="n">
        <v>0</v>
      </c>
      <c r="J537" t="n">
        <v>0</v>
      </c>
      <c r="K537" t="n">
        <v>0</v>
      </c>
      <c r="L537" t="n">
        <v>0</v>
      </c>
      <c r="M537" t="n">
        <v>0</v>
      </c>
      <c r="N537" t="n">
        <v>0</v>
      </c>
      <c r="O537" t="n">
        <v>0</v>
      </c>
      <c r="P537" t="n">
        <v>0</v>
      </c>
      <c r="Q537" t="n">
        <v>0</v>
      </c>
      <c r="R537" s="2" t="inlineStr"/>
    </row>
    <row r="538" ht="15" customHeight="1">
      <c r="A538" t="inlineStr">
        <is>
          <t>A 57987-2024</t>
        </is>
      </c>
      <c r="B538" s="1" t="n">
        <v>45631.62002314815</v>
      </c>
      <c r="C538" s="1" t="n">
        <v>46139</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37489-2024</t>
        </is>
      </c>
      <c r="B539" s="1" t="n">
        <v>45541.34607638889</v>
      </c>
      <c r="C539" s="1" t="n">
        <v>46139</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4731-2025</t>
        </is>
      </c>
      <c r="B540" s="1" t="n">
        <v>45688.43620370371</v>
      </c>
      <c r="C540" s="1" t="n">
        <v>46139</v>
      </c>
      <c r="D540" t="inlineStr">
        <is>
          <t>ÖSTERGÖTLANDS LÄN</t>
        </is>
      </c>
      <c r="E540" t="inlineStr">
        <is>
          <t>KINDA</t>
        </is>
      </c>
      <c r="F540" t="inlineStr">
        <is>
          <t>Övriga Aktiebolag</t>
        </is>
      </c>
      <c r="G540" t="n">
        <v>6.3</v>
      </c>
      <c r="H540" t="n">
        <v>0</v>
      </c>
      <c r="I540" t="n">
        <v>0</v>
      </c>
      <c r="J540" t="n">
        <v>0</v>
      </c>
      <c r="K540" t="n">
        <v>0</v>
      </c>
      <c r="L540" t="n">
        <v>0</v>
      </c>
      <c r="M540" t="n">
        <v>0</v>
      </c>
      <c r="N540" t="n">
        <v>0</v>
      </c>
      <c r="O540" t="n">
        <v>0</v>
      </c>
      <c r="P540" t="n">
        <v>0</v>
      </c>
      <c r="Q540" t="n">
        <v>0</v>
      </c>
      <c r="R540" s="2" t="inlineStr"/>
    </row>
    <row r="541" ht="15" customHeight="1">
      <c r="A541" t="inlineStr">
        <is>
          <t>A 654-2026</t>
        </is>
      </c>
      <c r="B541" s="1" t="n">
        <v>46029.57982638889</v>
      </c>
      <c r="C541" s="1" t="n">
        <v>46139</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656-2026</t>
        </is>
      </c>
      <c r="B542" s="1" t="n">
        <v>46029.58138888889</v>
      </c>
      <c r="C542" s="1" t="n">
        <v>46139</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5508-2025</t>
        </is>
      </c>
      <c r="B543" s="1" t="n">
        <v>45693.39354166666</v>
      </c>
      <c r="C543" s="1" t="n">
        <v>46139</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37831-2023</t>
        </is>
      </c>
      <c r="B544" s="1" t="n">
        <v>45160.3425</v>
      </c>
      <c r="C544" s="1" t="n">
        <v>46139</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48520-2024</t>
        </is>
      </c>
      <c r="B545" s="1" t="n">
        <v>45593.32488425926</v>
      </c>
      <c r="C545" s="1" t="n">
        <v>46139</v>
      </c>
      <c r="D545" t="inlineStr">
        <is>
          <t>ÖSTERGÖTLANDS LÄN</t>
        </is>
      </c>
      <c r="E545" t="inlineStr">
        <is>
          <t>KINDA</t>
        </is>
      </c>
      <c r="G545" t="n">
        <v>4.6</v>
      </c>
      <c r="H545" t="n">
        <v>0</v>
      </c>
      <c r="I545" t="n">
        <v>0</v>
      </c>
      <c r="J545" t="n">
        <v>0</v>
      </c>
      <c r="K545" t="n">
        <v>0</v>
      </c>
      <c r="L545" t="n">
        <v>0</v>
      </c>
      <c r="M545" t="n">
        <v>0</v>
      </c>
      <c r="N545" t="n">
        <v>0</v>
      </c>
      <c r="O545" t="n">
        <v>0</v>
      </c>
      <c r="P545" t="n">
        <v>0</v>
      </c>
      <c r="Q545" t="n">
        <v>0</v>
      </c>
      <c r="R545" s="2" t="inlineStr"/>
    </row>
    <row r="546" ht="15" customHeight="1">
      <c r="A546" t="inlineStr">
        <is>
          <t>A 26625-2022</t>
        </is>
      </c>
      <c r="B546" s="1" t="n">
        <v>44739.5850462963</v>
      </c>
      <c r="C546" s="1" t="n">
        <v>46139</v>
      </c>
      <c r="D546" t="inlineStr">
        <is>
          <t>ÖSTERGÖTLANDS LÄN</t>
        </is>
      </c>
      <c r="E546" t="inlineStr">
        <is>
          <t>KINDA</t>
        </is>
      </c>
      <c r="G546" t="n">
        <v>3.2</v>
      </c>
      <c r="H546" t="n">
        <v>0</v>
      </c>
      <c r="I546" t="n">
        <v>0</v>
      </c>
      <c r="J546" t="n">
        <v>0</v>
      </c>
      <c r="K546" t="n">
        <v>0</v>
      </c>
      <c r="L546" t="n">
        <v>0</v>
      </c>
      <c r="M546" t="n">
        <v>0</v>
      </c>
      <c r="N546" t="n">
        <v>0</v>
      </c>
      <c r="O546" t="n">
        <v>0</v>
      </c>
      <c r="P546" t="n">
        <v>0</v>
      </c>
      <c r="Q546" t="n">
        <v>0</v>
      </c>
      <c r="R546" s="2" t="inlineStr"/>
    </row>
    <row r="547" ht="15" customHeight="1">
      <c r="A547" t="inlineStr">
        <is>
          <t>A 23883-2023</t>
        </is>
      </c>
      <c r="B547" s="1" t="n">
        <v>45078.51806712963</v>
      </c>
      <c r="C547" s="1" t="n">
        <v>46139</v>
      </c>
      <c r="D547" t="inlineStr">
        <is>
          <t>ÖSTERGÖTLANDS LÄN</t>
        </is>
      </c>
      <c r="E547" t="inlineStr">
        <is>
          <t>KINDA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5184-2023</t>
        </is>
      </c>
      <c r="B548" s="1" t="n">
        <v>44959.3233912037</v>
      </c>
      <c r="C548" s="1" t="n">
        <v>46139</v>
      </c>
      <c r="D548" t="inlineStr">
        <is>
          <t>ÖSTERGÖTLANDS LÄN</t>
        </is>
      </c>
      <c r="E548" t="inlineStr">
        <is>
          <t>KINDA</t>
        </is>
      </c>
      <c r="G548" t="n">
        <v>3.4</v>
      </c>
      <c r="H548" t="n">
        <v>0</v>
      </c>
      <c r="I548" t="n">
        <v>0</v>
      </c>
      <c r="J548" t="n">
        <v>0</v>
      </c>
      <c r="K548" t="n">
        <v>0</v>
      </c>
      <c r="L548" t="n">
        <v>0</v>
      </c>
      <c r="M548" t="n">
        <v>0</v>
      </c>
      <c r="N548" t="n">
        <v>0</v>
      </c>
      <c r="O548" t="n">
        <v>0</v>
      </c>
      <c r="P548" t="n">
        <v>0</v>
      </c>
      <c r="Q548" t="n">
        <v>0</v>
      </c>
      <c r="R548" s="2" t="inlineStr"/>
    </row>
    <row r="549" ht="15" customHeight="1">
      <c r="A549" t="inlineStr">
        <is>
          <t>A 31849-2023</t>
        </is>
      </c>
      <c r="B549" s="1" t="n">
        <v>45118.58756944445</v>
      </c>
      <c r="C549" s="1" t="n">
        <v>46139</v>
      </c>
      <c r="D549" t="inlineStr">
        <is>
          <t>ÖSTERGÖTLANDS LÄN</t>
        </is>
      </c>
      <c r="E549" t="inlineStr">
        <is>
          <t>KINDA</t>
        </is>
      </c>
      <c r="G549" t="n">
        <v>3</v>
      </c>
      <c r="H549" t="n">
        <v>0</v>
      </c>
      <c r="I549" t="n">
        <v>0</v>
      </c>
      <c r="J549" t="n">
        <v>0</v>
      </c>
      <c r="K549" t="n">
        <v>0</v>
      </c>
      <c r="L549" t="n">
        <v>0</v>
      </c>
      <c r="M549" t="n">
        <v>0</v>
      </c>
      <c r="N549" t="n">
        <v>0</v>
      </c>
      <c r="O549" t="n">
        <v>0</v>
      </c>
      <c r="P549" t="n">
        <v>0</v>
      </c>
      <c r="Q549" t="n">
        <v>0</v>
      </c>
      <c r="R549" s="2" t="inlineStr"/>
    </row>
    <row r="550" ht="15" customHeight="1">
      <c r="A550" t="inlineStr">
        <is>
          <t>A 1491-2026</t>
        </is>
      </c>
      <c r="B550" s="1" t="n">
        <v>46034.30648148148</v>
      </c>
      <c r="C550" s="1" t="n">
        <v>46139</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4659-2023</t>
        </is>
      </c>
      <c r="B551" s="1" t="n">
        <v>44952</v>
      </c>
      <c r="C551" s="1" t="n">
        <v>46139</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7792-2022</t>
        </is>
      </c>
      <c r="B552" s="1" t="n">
        <v>44608.48450231482</v>
      </c>
      <c r="C552" s="1" t="n">
        <v>46139</v>
      </c>
      <c r="D552" t="inlineStr">
        <is>
          <t>ÖSTERGÖTLANDS LÄN</t>
        </is>
      </c>
      <c r="E552" t="inlineStr">
        <is>
          <t>KINDA</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1818-2026</t>
        </is>
      </c>
      <c r="B553" s="1" t="n">
        <v>46035.35317129629</v>
      </c>
      <c r="C553" s="1" t="n">
        <v>46139</v>
      </c>
      <c r="D553" t="inlineStr">
        <is>
          <t>ÖSTERGÖTLANDS LÄN</t>
        </is>
      </c>
      <c r="E553" t="inlineStr">
        <is>
          <t>KINDA</t>
        </is>
      </c>
      <c r="G553" t="n">
        <v>5.3</v>
      </c>
      <c r="H553" t="n">
        <v>0</v>
      </c>
      <c r="I553" t="n">
        <v>0</v>
      </c>
      <c r="J553" t="n">
        <v>0</v>
      </c>
      <c r="K553" t="n">
        <v>0</v>
      </c>
      <c r="L553" t="n">
        <v>0</v>
      </c>
      <c r="M553" t="n">
        <v>0</v>
      </c>
      <c r="N553" t="n">
        <v>0</v>
      </c>
      <c r="O553" t="n">
        <v>0</v>
      </c>
      <c r="P553" t="n">
        <v>0</v>
      </c>
      <c r="Q553" t="n">
        <v>0</v>
      </c>
      <c r="R553" s="2" t="inlineStr"/>
    </row>
    <row r="554" ht="15" customHeight="1">
      <c r="A554" t="inlineStr">
        <is>
          <t>A 1704-2026</t>
        </is>
      </c>
      <c r="B554" s="1" t="n">
        <v>46034.59744212963</v>
      </c>
      <c r="C554" s="1" t="n">
        <v>46139</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2168-2026</t>
        </is>
      </c>
      <c r="B555" s="1" t="n">
        <v>46036.44412037037</v>
      </c>
      <c r="C555" s="1" t="n">
        <v>46139</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3953-2025</t>
        </is>
      </c>
      <c r="B556" s="1" t="n">
        <v>45684.49472222223</v>
      </c>
      <c r="C556" s="1" t="n">
        <v>46139</v>
      </c>
      <c r="D556" t="inlineStr">
        <is>
          <t>ÖSTERGÖTLANDS LÄN</t>
        </is>
      </c>
      <c r="E556" t="inlineStr">
        <is>
          <t>KINDA</t>
        </is>
      </c>
      <c r="G556" t="n">
        <v>4</v>
      </c>
      <c r="H556" t="n">
        <v>0</v>
      </c>
      <c r="I556" t="n">
        <v>0</v>
      </c>
      <c r="J556" t="n">
        <v>0</v>
      </c>
      <c r="K556" t="n">
        <v>0</v>
      </c>
      <c r="L556" t="n">
        <v>0</v>
      </c>
      <c r="M556" t="n">
        <v>0</v>
      </c>
      <c r="N556" t="n">
        <v>0</v>
      </c>
      <c r="O556" t="n">
        <v>0</v>
      </c>
      <c r="P556" t="n">
        <v>0</v>
      </c>
      <c r="Q556" t="n">
        <v>0</v>
      </c>
      <c r="R556" s="2" t="inlineStr"/>
    </row>
    <row r="557" ht="15" customHeight="1">
      <c r="A557" t="inlineStr">
        <is>
          <t>A 3217-2026</t>
        </is>
      </c>
      <c r="B557" s="1" t="n">
        <v>46041.50924768519</v>
      </c>
      <c r="C557" s="1" t="n">
        <v>46139</v>
      </c>
      <c r="D557" t="inlineStr">
        <is>
          <t>ÖSTERGÖTLANDS LÄN</t>
        </is>
      </c>
      <c r="E557" t="inlineStr">
        <is>
          <t>KINDA</t>
        </is>
      </c>
      <c r="G557" t="n">
        <v>7.9</v>
      </c>
      <c r="H557" t="n">
        <v>0</v>
      </c>
      <c r="I557" t="n">
        <v>0</v>
      </c>
      <c r="J557" t="n">
        <v>0</v>
      </c>
      <c r="K557" t="n">
        <v>0</v>
      </c>
      <c r="L557" t="n">
        <v>0</v>
      </c>
      <c r="M557" t="n">
        <v>0</v>
      </c>
      <c r="N557" t="n">
        <v>0</v>
      </c>
      <c r="O557" t="n">
        <v>0</v>
      </c>
      <c r="P557" t="n">
        <v>0</v>
      </c>
      <c r="Q557" t="n">
        <v>0</v>
      </c>
      <c r="R557" s="2" t="inlineStr"/>
    </row>
    <row r="558" ht="15" customHeight="1">
      <c r="A558" t="inlineStr">
        <is>
          <t>A 3907-2023</t>
        </is>
      </c>
      <c r="B558" s="1" t="n">
        <v>44952.00760416667</v>
      </c>
      <c r="C558" s="1" t="n">
        <v>46139</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57457-2021</t>
        </is>
      </c>
      <c r="B559" s="1" t="n">
        <v>44483.65719907408</v>
      </c>
      <c r="C559" s="1" t="n">
        <v>46139</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53239-2024</t>
        </is>
      </c>
      <c r="B560" s="1" t="n">
        <v>45613.8235300926</v>
      </c>
      <c r="C560" s="1" t="n">
        <v>46139</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3752-2026</t>
        </is>
      </c>
      <c r="B561" s="1" t="n">
        <v>46043.54976851852</v>
      </c>
      <c r="C561" s="1" t="n">
        <v>46139</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3849-2026</t>
        </is>
      </c>
      <c r="B562" s="1" t="n">
        <v>46043.6057175926</v>
      </c>
      <c r="C562" s="1" t="n">
        <v>46139</v>
      </c>
      <c r="D562" t="inlineStr">
        <is>
          <t>ÖSTERGÖTLANDS LÄN</t>
        </is>
      </c>
      <c r="E562" t="inlineStr">
        <is>
          <t>KINDA</t>
        </is>
      </c>
      <c r="F562" t="inlineStr">
        <is>
          <t>Kommuner</t>
        </is>
      </c>
      <c r="G562" t="n">
        <v>0.8</v>
      </c>
      <c r="H562" t="n">
        <v>0</v>
      </c>
      <c r="I562" t="n">
        <v>0</v>
      </c>
      <c r="J562" t="n">
        <v>0</v>
      </c>
      <c r="K562" t="n">
        <v>0</v>
      </c>
      <c r="L562" t="n">
        <v>0</v>
      </c>
      <c r="M562" t="n">
        <v>0</v>
      </c>
      <c r="N562" t="n">
        <v>0</v>
      </c>
      <c r="O562" t="n">
        <v>0</v>
      </c>
      <c r="P562" t="n">
        <v>0</v>
      </c>
      <c r="Q562" t="n">
        <v>0</v>
      </c>
      <c r="R562" s="2" t="inlineStr"/>
    </row>
    <row r="563" ht="15" customHeight="1">
      <c r="A563" t="inlineStr">
        <is>
          <t>A 20914-2021</t>
        </is>
      </c>
      <c r="B563" s="1" t="n">
        <v>44319</v>
      </c>
      <c r="C563" s="1" t="n">
        <v>46139</v>
      </c>
      <c r="D563" t="inlineStr">
        <is>
          <t>ÖSTERGÖTLANDS LÄN</t>
        </is>
      </c>
      <c r="E563" t="inlineStr">
        <is>
          <t>KINDA</t>
        </is>
      </c>
      <c r="G563" t="n">
        <v>2.2</v>
      </c>
      <c r="H563" t="n">
        <v>0</v>
      </c>
      <c r="I563" t="n">
        <v>0</v>
      </c>
      <c r="J563" t="n">
        <v>0</v>
      </c>
      <c r="K563" t="n">
        <v>0</v>
      </c>
      <c r="L563" t="n">
        <v>0</v>
      </c>
      <c r="M563" t="n">
        <v>0</v>
      </c>
      <c r="N563" t="n">
        <v>0</v>
      </c>
      <c r="O563" t="n">
        <v>0</v>
      </c>
      <c r="P563" t="n">
        <v>0</v>
      </c>
      <c r="Q563" t="n">
        <v>0</v>
      </c>
      <c r="R563" s="2" t="inlineStr"/>
    </row>
    <row r="564" ht="15" customHeight="1">
      <c r="A564" t="inlineStr">
        <is>
          <t>A 41718-2023</t>
        </is>
      </c>
      <c r="B564" s="1" t="n">
        <v>45176.39657407408</v>
      </c>
      <c r="C564" s="1" t="n">
        <v>46139</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31831-2023</t>
        </is>
      </c>
      <c r="B565" s="1" t="n">
        <v>45118.5630787037</v>
      </c>
      <c r="C565" s="1" t="n">
        <v>46139</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38130-2023</t>
        </is>
      </c>
      <c r="B566" s="1" t="n">
        <v>45161</v>
      </c>
      <c r="C566" s="1" t="n">
        <v>46139</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38132-2023</t>
        </is>
      </c>
      <c r="B567" s="1" t="n">
        <v>45161.36759259259</v>
      </c>
      <c r="C567" s="1" t="n">
        <v>46139</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38133-2023</t>
        </is>
      </c>
      <c r="B568" s="1" t="n">
        <v>45161.36928240741</v>
      </c>
      <c r="C568" s="1" t="n">
        <v>46139</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20829-2022</t>
        </is>
      </c>
      <c r="B569" s="1" t="n">
        <v>44701</v>
      </c>
      <c r="C569" s="1" t="n">
        <v>46139</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13064-2024</t>
        </is>
      </c>
      <c r="B570" s="1" t="n">
        <v>45385</v>
      </c>
      <c r="C570" s="1" t="n">
        <v>46139</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9465-2022</t>
        </is>
      </c>
      <c r="B571" s="1" t="n">
        <v>44616.78555555556</v>
      </c>
      <c r="C571" s="1" t="n">
        <v>46139</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4331-2026</t>
        </is>
      </c>
      <c r="B572" s="1" t="n">
        <v>46045.48028935185</v>
      </c>
      <c r="C572" s="1" t="n">
        <v>46139</v>
      </c>
      <c r="D572" t="inlineStr">
        <is>
          <t>ÖSTERGÖTLANDS LÄN</t>
        </is>
      </c>
      <c r="E572" t="inlineStr">
        <is>
          <t>KINDA</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34627-2023</t>
        </is>
      </c>
      <c r="B573" s="1" t="n">
        <v>45139</v>
      </c>
      <c r="C573" s="1" t="n">
        <v>46139</v>
      </c>
      <c r="D573" t="inlineStr">
        <is>
          <t>ÖSTERGÖTLANDS LÄN</t>
        </is>
      </c>
      <c r="E573" t="inlineStr">
        <is>
          <t>KINDA</t>
        </is>
      </c>
      <c r="G573" t="n">
        <v>1.7</v>
      </c>
      <c r="H573" t="n">
        <v>0</v>
      </c>
      <c r="I573" t="n">
        <v>0</v>
      </c>
      <c r="J573" t="n">
        <v>0</v>
      </c>
      <c r="K573" t="n">
        <v>0</v>
      </c>
      <c r="L573" t="n">
        <v>0</v>
      </c>
      <c r="M573" t="n">
        <v>0</v>
      </c>
      <c r="N573" t="n">
        <v>0</v>
      </c>
      <c r="O573" t="n">
        <v>0</v>
      </c>
      <c r="P573" t="n">
        <v>0</v>
      </c>
      <c r="Q573" t="n">
        <v>0</v>
      </c>
      <c r="R573" s="2" t="inlineStr"/>
    </row>
    <row r="574" ht="15" customHeight="1">
      <c r="A574" t="inlineStr">
        <is>
          <t>A 54671-2023</t>
        </is>
      </c>
      <c r="B574" s="1" t="n">
        <v>45235</v>
      </c>
      <c r="C574" s="1" t="n">
        <v>46139</v>
      </c>
      <c r="D574" t="inlineStr">
        <is>
          <t>ÖSTERGÖTLANDS LÄN</t>
        </is>
      </c>
      <c r="E574" t="inlineStr">
        <is>
          <t>KINDA</t>
        </is>
      </c>
      <c r="G574" t="n">
        <v>10.8</v>
      </c>
      <c r="H574" t="n">
        <v>0</v>
      </c>
      <c r="I574" t="n">
        <v>0</v>
      </c>
      <c r="J574" t="n">
        <v>0</v>
      </c>
      <c r="K574" t="n">
        <v>0</v>
      </c>
      <c r="L574" t="n">
        <v>0</v>
      </c>
      <c r="M574" t="n">
        <v>0</v>
      </c>
      <c r="N574" t="n">
        <v>0</v>
      </c>
      <c r="O574" t="n">
        <v>0</v>
      </c>
      <c r="P574" t="n">
        <v>0</v>
      </c>
      <c r="Q574" t="n">
        <v>0</v>
      </c>
      <c r="R574" s="2" t="inlineStr"/>
    </row>
    <row r="575" ht="15" customHeight="1">
      <c r="A575" t="inlineStr">
        <is>
          <t>A 3908-2023</t>
        </is>
      </c>
      <c r="B575" s="1" t="n">
        <v>44952</v>
      </c>
      <c r="C575" s="1" t="n">
        <v>46139</v>
      </c>
      <c r="D575" t="inlineStr">
        <is>
          <t>ÖSTERGÖTLANDS LÄN</t>
        </is>
      </c>
      <c r="E575" t="inlineStr">
        <is>
          <t>KINDA</t>
        </is>
      </c>
      <c r="G575" t="n">
        <v>2.3</v>
      </c>
      <c r="H575" t="n">
        <v>0</v>
      </c>
      <c r="I575" t="n">
        <v>0</v>
      </c>
      <c r="J575" t="n">
        <v>0</v>
      </c>
      <c r="K575" t="n">
        <v>0</v>
      </c>
      <c r="L575" t="n">
        <v>0</v>
      </c>
      <c r="M575" t="n">
        <v>0</v>
      </c>
      <c r="N575" t="n">
        <v>0</v>
      </c>
      <c r="O575" t="n">
        <v>0</v>
      </c>
      <c r="P575" t="n">
        <v>0</v>
      </c>
      <c r="Q575" t="n">
        <v>0</v>
      </c>
      <c r="R575" s="2" t="inlineStr"/>
    </row>
    <row r="576" ht="15" customHeight="1">
      <c r="A576" t="inlineStr">
        <is>
          <t>A 937-2024</t>
        </is>
      </c>
      <c r="B576" s="1" t="n">
        <v>45301</v>
      </c>
      <c r="C576" s="1" t="n">
        <v>46139</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8228-2025</t>
        </is>
      </c>
      <c r="B577" s="1" t="n">
        <v>45708.46913194445</v>
      </c>
      <c r="C577" s="1" t="n">
        <v>46139</v>
      </c>
      <c r="D577" t="inlineStr">
        <is>
          <t>ÖSTERGÖTLANDS LÄN</t>
        </is>
      </c>
      <c r="E577" t="inlineStr">
        <is>
          <t>KINDA</t>
        </is>
      </c>
      <c r="G577" t="n">
        <v>4.8</v>
      </c>
      <c r="H577" t="n">
        <v>0</v>
      </c>
      <c r="I577" t="n">
        <v>0</v>
      </c>
      <c r="J577" t="n">
        <v>0</v>
      </c>
      <c r="K577" t="n">
        <v>0</v>
      </c>
      <c r="L577" t="n">
        <v>0</v>
      </c>
      <c r="M577" t="n">
        <v>0</v>
      </c>
      <c r="N577" t="n">
        <v>0</v>
      </c>
      <c r="O577" t="n">
        <v>0</v>
      </c>
      <c r="P577" t="n">
        <v>0</v>
      </c>
      <c r="Q577" t="n">
        <v>0</v>
      </c>
      <c r="R577" s="2" t="inlineStr"/>
    </row>
    <row r="578" ht="15" customHeight="1">
      <c r="A578" t="inlineStr">
        <is>
          <t>A 8229-2025</t>
        </is>
      </c>
      <c r="B578" s="1" t="n">
        <v>45708.46960648148</v>
      </c>
      <c r="C578" s="1" t="n">
        <v>46139</v>
      </c>
      <c r="D578" t="inlineStr">
        <is>
          <t>ÖSTERGÖTLANDS LÄN</t>
        </is>
      </c>
      <c r="E578" t="inlineStr">
        <is>
          <t>KINDA</t>
        </is>
      </c>
      <c r="G578" t="n">
        <v>2.8</v>
      </c>
      <c r="H578" t="n">
        <v>0</v>
      </c>
      <c r="I578" t="n">
        <v>0</v>
      </c>
      <c r="J578" t="n">
        <v>0</v>
      </c>
      <c r="K578" t="n">
        <v>0</v>
      </c>
      <c r="L578" t="n">
        <v>0</v>
      </c>
      <c r="M578" t="n">
        <v>0</v>
      </c>
      <c r="N578" t="n">
        <v>0</v>
      </c>
      <c r="O578" t="n">
        <v>0</v>
      </c>
      <c r="P578" t="n">
        <v>0</v>
      </c>
      <c r="Q578" t="n">
        <v>0</v>
      </c>
      <c r="R578" s="2" t="inlineStr"/>
    </row>
    <row r="579" ht="15" customHeight="1">
      <c r="A579" t="inlineStr">
        <is>
          <t>A 58738-2024</t>
        </is>
      </c>
      <c r="B579" s="1" t="n">
        <v>45635.6921875</v>
      </c>
      <c r="C579" s="1" t="n">
        <v>46139</v>
      </c>
      <c r="D579" t="inlineStr">
        <is>
          <t>ÖSTERGÖTLANDS LÄN</t>
        </is>
      </c>
      <c r="E579" t="inlineStr">
        <is>
          <t>KINDA</t>
        </is>
      </c>
      <c r="G579" t="n">
        <v>0.7</v>
      </c>
      <c r="H579" t="n">
        <v>0</v>
      </c>
      <c r="I579" t="n">
        <v>0</v>
      </c>
      <c r="J579" t="n">
        <v>0</v>
      </c>
      <c r="K579" t="n">
        <v>0</v>
      </c>
      <c r="L579" t="n">
        <v>0</v>
      </c>
      <c r="M579" t="n">
        <v>0</v>
      </c>
      <c r="N579" t="n">
        <v>0</v>
      </c>
      <c r="O579" t="n">
        <v>0</v>
      </c>
      <c r="P579" t="n">
        <v>0</v>
      </c>
      <c r="Q579" t="n">
        <v>0</v>
      </c>
      <c r="R579" s="2" t="inlineStr"/>
      <c r="U579">
        <f>HYPERLINK("https://klasma.github.io/Logging_0513/knärot/A 58738-2024 karta knärot.png", "A 58738-2024")</f>
        <v/>
      </c>
      <c r="V579">
        <f>HYPERLINK("https://klasma.github.io/Logging_0513/klagomål/A 58738-2024 FSC-klagomål.docx", "A 58738-2024")</f>
        <v/>
      </c>
      <c r="W579">
        <f>HYPERLINK("https://klasma.github.io/Logging_0513/klagomålsmail/A 58738-2024 FSC-klagomål mail.docx", "A 58738-2024")</f>
        <v/>
      </c>
      <c r="X579">
        <f>HYPERLINK("https://klasma.github.io/Logging_0513/tillsyn/A 58738-2024 tillsynsbegäran.docx", "A 58738-2024")</f>
        <v/>
      </c>
      <c r="Y579">
        <f>HYPERLINK("https://klasma.github.io/Logging_0513/tillsynsmail/A 58738-2024 tillsynsbegäran mail.docx", "A 58738-2024")</f>
        <v/>
      </c>
    </row>
    <row r="580" ht="15" customHeight="1">
      <c r="A580" t="inlineStr">
        <is>
          <t>A 57449-2021</t>
        </is>
      </c>
      <c r="B580" s="1" t="n">
        <v>44483</v>
      </c>
      <c r="C580" s="1" t="n">
        <v>46139</v>
      </c>
      <c r="D580" t="inlineStr">
        <is>
          <t>ÖSTERGÖTLANDS LÄN</t>
        </is>
      </c>
      <c r="E580" t="inlineStr">
        <is>
          <t>KINDA</t>
        </is>
      </c>
      <c r="G580" t="n">
        <v>5.3</v>
      </c>
      <c r="H580" t="n">
        <v>0</v>
      </c>
      <c r="I580" t="n">
        <v>0</v>
      </c>
      <c r="J580" t="n">
        <v>0</v>
      </c>
      <c r="K580" t="n">
        <v>0</v>
      </c>
      <c r="L580" t="n">
        <v>0</v>
      </c>
      <c r="M580" t="n">
        <v>0</v>
      </c>
      <c r="N580" t="n">
        <v>0</v>
      </c>
      <c r="O580" t="n">
        <v>0</v>
      </c>
      <c r="P580" t="n">
        <v>0</v>
      </c>
      <c r="Q580" t="n">
        <v>0</v>
      </c>
      <c r="R580" s="2" t="inlineStr"/>
    </row>
    <row r="581" ht="15" customHeight="1">
      <c r="A581" t="inlineStr">
        <is>
          <t>A 5943-2026</t>
        </is>
      </c>
      <c r="B581" s="1" t="n">
        <v>46052.48008101852</v>
      </c>
      <c r="C581" s="1" t="n">
        <v>46139</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6411-2025</t>
        </is>
      </c>
      <c r="B582" s="1" t="n">
        <v>45699.45978009259</v>
      </c>
      <c r="C582" s="1" t="n">
        <v>46139</v>
      </c>
      <c r="D582" t="inlineStr">
        <is>
          <t>ÖSTERGÖTLANDS LÄN</t>
        </is>
      </c>
      <c r="E582" t="inlineStr">
        <is>
          <t>KINDA</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42956-2023</t>
        </is>
      </c>
      <c r="B583" s="1" t="n">
        <v>45182</v>
      </c>
      <c r="C583" s="1" t="n">
        <v>46139</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5935-2026</t>
        </is>
      </c>
      <c r="B584" s="1" t="n">
        <v>46052.47105324074</v>
      </c>
      <c r="C584" s="1" t="n">
        <v>46139</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5899-2026</t>
        </is>
      </c>
      <c r="B585" s="1" t="n">
        <v>46052.42929398148</v>
      </c>
      <c r="C585" s="1" t="n">
        <v>46139</v>
      </c>
      <c r="D585" t="inlineStr">
        <is>
          <t>ÖSTERGÖTLANDS LÄN</t>
        </is>
      </c>
      <c r="E585" t="inlineStr">
        <is>
          <t>KINDA</t>
        </is>
      </c>
      <c r="G585" t="n">
        <v>3.8</v>
      </c>
      <c r="H585" t="n">
        <v>0</v>
      </c>
      <c r="I585" t="n">
        <v>0</v>
      </c>
      <c r="J585" t="n">
        <v>0</v>
      </c>
      <c r="K585" t="n">
        <v>0</v>
      </c>
      <c r="L585" t="n">
        <v>0</v>
      </c>
      <c r="M585" t="n">
        <v>0</v>
      </c>
      <c r="N585" t="n">
        <v>0</v>
      </c>
      <c r="O585" t="n">
        <v>0</v>
      </c>
      <c r="P585" t="n">
        <v>0</v>
      </c>
      <c r="Q585" t="n">
        <v>0</v>
      </c>
      <c r="R585" s="2" t="inlineStr"/>
    </row>
    <row r="586" ht="15" customHeight="1">
      <c r="A586" t="inlineStr">
        <is>
          <t>A 38015-2023</t>
        </is>
      </c>
      <c r="B586" s="1" t="n">
        <v>45160</v>
      </c>
      <c r="C586" s="1" t="n">
        <v>46139</v>
      </c>
      <c r="D586" t="inlineStr">
        <is>
          <t>ÖSTERGÖTLANDS LÄN</t>
        </is>
      </c>
      <c r="E586" t="inlineStr">
        <is>
          <t>KINDA</t>
        </is>
      </c>
      <c r="F586" t="inlineStr">
        <is>
          <t>Allmännings- och besparingsskogar</t>
        </is>
      </c>
      <c r="G586" t="n">
        <v>11.5</v>
      </c>
      <c r="H586" t="n">
        <v>0</v>
      </c>
      <c r="I586" t="n">
        <v>0</v>
      </c>
      <c r="J586" t="n">
        <v>0</v>
      </c>
      <c r="K586" t="n">
        <v>0</v>
      </c>
      <c r="L586" t="n">
        <v>0</v>
      </c>
      <c r="M586" t="n">
        <v>0</v>
      </c>
      <c r="N586" t="n">
        <v>0</v>
      </c>
      <c r="O586" t="n">
        <v>0</v>
      </c>
      <c r="P586" t="n">
        <v>0</v>
      </c>
      <c r="Q586" t="n">
        <v>0</v>
      </c>
      <c r="R586" s="2" t="inlineStr"/>
    </row>
    <row r="587" ht="15" customHeight="1">
      <c r="A587" t="inlineStr">
        <is>
          <t>A 20350-2025</t>
        </is>
      </c>
      <c r="B587" s="1" t="n">
        <v>45775</v>
      </c>
      <c r="C587" s="1" t="n">
        <v>46139</v>
      </c>
      <c r="D587" t="inlineStr">
        <is>
          <t>ÖSTERGÖTLANDS LÄN</t>
        </is>
      </c>
      <c r="E587" t="inlineStr">
        <is>
          <t>KINDA</t>
        </is>
      </c>
      <c r="G587" t="n">
        <v>2</v>
      </c>
      <c r="H587" t="n">
        <v>0</v>
      </c>
      <c r="I587" t="n">
        <v>0</v>
      </c>
      <c r="J587" t="n">
        <v>0</v>
      </c>
      <c r="K587" t="n">
        <v>0</v>
      </c>
      <c r="L587" t="n">
        <v>0</v>
      </c>
      <c r="M587" t="n">
        <v>0</v>
      </c>
      <c r="N587" t="n">
        <v>0</v>
      </c>
      <c r="O587" t="n">
        <v>0</v>
      </c>
      <c r="P587" t="n">
        <v>0</v>
      </c>
      <c r="Q587" t="n">
        <v>0</v>
      </c>
      <c r="R587" s="2" t="inlineStr"/>
    </row>
    <row r="588" ht="15" customHeight="1">
      <c r="A588" t="inlineStr">
        <is>
          <t>A 2966-2024</t>
        </is>
      </c>
      <c r="B588" s="1" t="n">
        <v>45315.66575231482</v>
      </c>
      <c r="C588" s="1" t="n">
        <v>46139</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56140-2024</t>
        </is>
      </c>
      <c r="B589" s="1" t="n">
        <v>45624</v>
      </c>
      <c r="C589" s="1" t="n">
        <v>46139</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6534-2026</t>
        </is>
      </c>
      <c r="B590" s="1" t="n">
        <v>46056.41675925926</v>
      </c>
      <c r="C590" s="1" t="n">
        <v>46139</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17071-2025</t>
        </is>
      </c>
      <c r="B591" s="1" t="n">
        <v>45755.61784722222</v>
      </c>
      <c r="C591" s="1" t="n">
        <v>46139</v>
      </c>
      <c r="D591" t="inlineStr">
        <is>
          <t>ÖSTERGÖTLANDS LÄN</t>
        </is>
      </c>
      <c r="E591" t="inlineStr">
        <is>
          <t>KINDA</t>
        </is>
      </c>
      <c r="G591" t="n">
        <v>1.2</v>
      </c>
      <c r="H591" t="n">
        <v>0</v>
      </c>
      <c r="I591" t="n">
        <v>0</v>
      </c>
      <c r="J591" t="n">
        <v>0</v>
      </c>
      <c r="K591" t="n">
        <v>0</v>
      </c>
      <c r="L591" t="n">
        <v>0</v>
      </c>
      <c r="M591" t="n">
        <v>0</v>
      </c>
      <c r="N591" t="n">
        <v>0</v>
      </c>
      <c r="O591" t="n">
        <v>0</v>
      </c>
      <c r="P591" t="n">
        <v>0</v>
      </c>
      <c r="Q591" t="n">
        <v>0</v>
      </c>
      <c r="R591" s="2" t="inlineStr"/>
    </row>
    <row r="592" ht="15" customHeight="1">
      <c r="A592" t="inlineStr">
        <is>
          <t>A 35218-2023</t>
        </is>
      </c>
      <c r="B592" s="1" t="n">
        <v>45145.64796296296</v>
      </c>
      <c r="C592" s="1" t="n">
        <v>46139</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8409-2025</t>
        </is>
      </c>
      <c r="B593" s="1" t="n">
        <v>45709.38978009259</v>
      </c>
      <c r="C593" s="1" t="n">
        <v>46139</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c r="U593">
        <f>HYPERLINK("https://klasma.github.io/Logging_0513/knärot/A 8409-2025 karta knärot.png", "A 8409-2025")</f>
        <v/>
      </c>
      <c r="V593">
        <f>HYPERLINK("https://klasma.github.io/Logging_0513/klagomål/A 8409-2025 FSC-klagomål.docx", "A 8409-2025")</f>
        <v/>
      </c>
      <c r="W593">
        <f>HYPERLINK("https://klasma.github.io/Logging_0513/klagomålsmail/A 8409-2025 FSC-klagomål mail.docx", "A 8409-2025")</f>
        <v/>
      </c>
      <c r="X593">
        <f>HYPERLINK("https://klasma.github.io/Logging_0513/tillsyn/A 8409-2025 tillsynsbegäran.docx", "A 8409-2025")</f>
        <v/>
      </c>
      <c r="Y593">
        <f>HYPERLINK("https://klasma.github.io/Logging_0513/tillsynsmail/A 8409-2025 tillsynsbegäran mail.docx", "A 8409-2025")</f>
        <v/>
      </c>
    </row>
    <row r="594" ht="15" customHeight="1">
      <c r="A594" t="inlineStr">
        <is>
          <t>A 19645-2025</t>
        </is>
      </c>
      <c r="B594" s="1" t="n">
        <v>45770.65983796296</v>
      </c>
      <c r="C594" s="1" t="n">
        <v>46139</v>
      </c>
      <c r="D594" t="inlineStr">
        <is>
          <t>ÖSTERGÖTLANDS LÄN</t>
        </is>
      </c>
      <c r="E594" t="inlineStr">
        <is>
          <t>KINDA</t>
        </is>
      </c>
      <c r="F594" t="inlineStr">
        <is>
          <t>Allmännings- och besparingsskogar</t>
        </is>
      </c>
      <c r="G594" t="n">
        <v>2.4</v>
      </c>
      <c r="H594" t="n">
        <v>0</v>
      </c>
      <c r="I594" t="n">
        <v>0</v>
      </c>
      <c r="J594" t="n">
        <v>0</v>
      </c>
      <c r="K594" t="n">
        <v>0</v>
      </c>
      <c r="L594" t="n">
        <v>0</v>
      </c>
      <c r="M594" t="n">
        <v>0</v>
      </c>
      <c r="N594" t="n">
        <v>0</v>
      </c>
      <c r="O594" t="n">
        <v>0</v>
      </c>
      <c r="P594" t="n">
        <v>0</v>
      </c>
      <c r="Q594" t="n">
        <v>0</v>
      </c>
      <c r="R594" s="2" t="inlineStr"/>
    </row>
    <row r="595" ht="15" customHeight="1">
      <c r="A595" t="inlineStr">
        <is>
          <t>A 2952-2024</t>
        </is>
      </c>
      <c r="B595" s="1" t="n">
        <v>45315</v>
      </c>
      <c r="C595" s="1" t="n">
        <v>46139</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24454-2023</t>
        </is>
      </c>
      <c r="B596" s="1" t="n">
        <v>45082.55885416667</v>
      </c>
      <c r="C596" s="1" t="n">
        <v>46139</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14950-2026</t>
        </is>
      </c>
      <c r="B597" s="1" t="n">
        <v>46104.54637731481</v>
      </c>
      <c r="C597" s="1" t="n">
        <v>46139</v>
      </c>
      <c r="D597" t="inlineStr">
        <is>
          <t>ÖSTERGÖTLANDS LÄN</t>
        </is>
      </c>
      <c r="E597" t="inlineStr">
        <is>
          <t>KINDA</t>
        </is>
      </c>
      <c r="G597" t="n">
        <v>5.7</v>
      </c>
      <c r="H597" t="n">
        <v>0</v>
      </c>
      <c r="I597" t="n">
        <v>0</v>
      </c>
      <c r="J597" t="n">
        <v>0</v>
      </c>
      <c r="K597" t="n">
        <v>0</v>
      </c>
      <c r="L597" t="n">
        <v>0</v>
      </c>
      <c r="M597" t="n">
        <v>0</v>
      </c>
      <c r="N597" t="n">
        <v>0</v>
      </c>
      <c r="O597" t="n">
        <v>0</v>
      </c>
      <c r="P597" t="n">
        <v>0</v>
      </c>
      <c r="Q597" t="n">
        <v>0</v>
      </c>
      <c r="R597" s="2" t="inlineStr"/>
    </row>
    <row r="598" ht="15" customHeight="1">
      <c r="A598" t="inlineStr">
        <is>
          <t>A 4433-2024</t>
        </is>
      </c>
      <c r="B598" s="1" t="n">
        <v>45327.4684375</v>
      </c>
      <c r="C598" s="1" t="n">
        <v>46139</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14941-2026</t>
        </is>
      </c>
      <c r="B599" s="1" t="n">
        <v>46104.52445601852</v>
      </c>
      <c r="C599" s="1" t="n">
        <v>46139</v>
      </c>
      <c r="D599" t="inlineStr">
        <is>
          <t>ÖSTERGÖTLANDS LÄN</t>
        </is>
      </c>
      <c r="E599" t="inlineStr">
        <is>
          <t>KINDA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20325-2025</t>
        </is>
      </c>
      <c r="B600" s="1" t="n">
        <v>45775</v>
      </c>
      <c r="C600" s="1" t="n">
        <v>46139</v>
      </c>
      <c r="D600" t="inlineStr">
        <is>
          <t>ÖSTERGÖTLANDS LÄN</t>
        </is>
      </c>
      <c r="E600" t="inlineStr">
        <is>
          <t>KINDA</t>
        </is>
      </c>
      <c r="G600" t="n">
        <v>3.6</v>
      </c>
      <c r="H600" t="n">
        <v>0</v>
      </c>
      <c r="I600" t="n">
        <v>0</v>
      </c>
      <c r="J600" t="n">
        <v>0</v>
      </c>
      <c r="K600" t="n">
        <v>0</v>
      </c>
      <c r="L600" t="n">
        <v>0</v>
      </c>
      <c r="M600" t="n">
        <v>0</v>
      </c>
      <c r="N600" t="n">
        <v>0</v>
      </c>
      <c r="O600" t="n">
        <v>0</v>
      </c>
      <c r="P600" t="n">
        <v>0</v>
      </c>
      <c r="Q600" t="n">
        <v>0</v>
      </c>
      <c r="R600" s="2" t="inlineStr"/>
    </row>
    <row r="601" ht="15" customHeight="1">
      <c r="A601" t="inlineStr">
        <is>
          <t>A 36824-2022</t>
        </is>
      </c>
      <c r="B601" s="1" t="n">
        <v>44805.55975694444</v>
      </c>
      <c r="C601" s="1" t="n">
        <v>46139</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15281-2026</t>
        </is>
      </c>
      <c r="B602" s="1" t="n">
        <v>46105.61167824074</v>
      </c>
      <c r="C602" s="1" t="n">
        <v>46139</v>
      </c>
      <c r="D602" t="inlineStr">
        <is>
          <t>ÖSTERGÖTLANDS LÄN</t>
        </is>
      </c>
      <c r="E602" t="inlineStr">
        <is>
          <t>KINDA</t>
        </is>
      </c>
      <c r="G602" t="n">
        <v>3.3</v>
      </c>
      <c r="H602" t="n">
        <v>0</v>
      </c>
      <c r="I602" t="n">
        <v>0</v>
      </c>
      <c r="J602" t="n">
        <v>0</v>
      </c>
      <c r="K602" t="n">
        <v>0</v>
      </c>
      <c r="L602" t="n">
        <v>0</v>
      </c>
      <c r="M602" t="n">
        <v>0</v>
      </c>
      <c r="N602" t="n">
        <v>0</v>
      </c>
      <c r="O602" t="n">
        <v>0</v>
      </c>
      <c r="P602" t="n">
        <v>0</v>
      </c>
      <c r="Q602" t="n">
        <v>0</v>
      </c>
      <c r="R602" s="2" t="inlineStr"/>
    </row>
    <row r="603" ht="15" customHeight="1">
      <c r="A603" t="inlineStr">
        <is>
          <t>A 6301-2025</t>
        </is>
      </c>
      <c r="B603" s="1" t="n">
        <v>45698.67719907407</v>
      </c>
      <c r="C603" s="1" t="n">
        <v>46139</v>
      </c>
      <c r="D603" t="inlineStr">
        <is>
          <t>ÖSTERGÖTLANDS LÄN</t>
        </is>
      </c>
      <c r="E603" t="inlineStr">
        <is>
          <t>KINDA</t>
        </is>
      </c>
      <c r="G603" t="n">
        <v>4.9</v>
      </c>
      <c r="H603" t="n">
        <v>0</v>
      </c>
      <c r="I603" t="n">
        <v>0</v>
      </c>
      <c r="J603" t="n">
        <v>0</v>
      </c>
      <c r="K603" t="n">
        <v>0</v>
      </c>
      <c r="L603" t="n">
        <v>0</v>
      </c>
      <c r="M603" t="n">
        <v>0</v>
      </c>
      <c r="N603" t="n">
        <v>0</v>
      </c>
      <c r="O603" t="n">
        <v>0</v>
      </c>
      <c r="P603" t="n">
        <v>0</v>
      </c>
      <c r="Q603" t="n">
        <v>0</v>
      </c>
      <c r="R603" s="2" t="inlineStr"/>
    </row>
    <row r="604" ht="15" customHeight="1">
      <c r="A604" t="inlineStr">
        <is>
          <t>A 8387-2026</t>
        </is>
      </c>
      <c r="B604" s="1" t="n">
        <v>46064.90125</v>
      </c>
      <c r="C604" s="1" t="n">
        <v>46139</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51294-2022</t>
        </is>
      </c>
      <c r="B605" s="1" t="n">
        <v>44868</v>
      </c>
      <c r="C605" s="1" t="n">
        <v>46139</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1881-2025</t>
        </is>
      </c>
      <c r="B606" s="1" t="n">
        <v>45671.62480324074</v>
      </c>
      <c r="C606" s="1" t="n">
        <v>46139</v>
      </c>
      <c r="D606" t="inlineStr">
        <is>
          <t>ÖSTERGÖTLANDS LÄN</t>
        </is>
      </c>
      <c r="E606" t="inlineStr">
        <is>
          <t>KINDA</t>
        </is>
      </c>
      <c r="G606" t="n">
        <v>2.4</v>
      </c>
      <c r="H606" t="n">
        <v>0</v>
      </c>
      <c r="I606" t="n">
        <v>0</v>
      </c>
      <c r="J606" t="n">
        <v>0</v>
      </c>
      <c r="K606" t="n">
        <v>0</v>
      </c>
      <c r="L606" t="n">
        <v>0</v>
      </c>
      <c r="M606" t="n">
        <v>0</v>
      </c>
      <c r="N606" t="n">
        <v>0</v>
      </c>
      <c r="O606" t="n">
        <v>0</v>
      </c>
      <c r="P606" t="n">
        <v>0</v>
      </c>
      <c r="Q606" t="n">
        <v>0</v>
      </c>
      <c r="R606" s="2" t="inlineStr"/>
    </row>
    <row r="607" ht="15" customHeight="1">
      <c r="A607" t="inlineStr">
        <is>
          <t>A 47187-2023</t>
        </is>
      </c>
      <c r="B607" s="1" t="n">
        <v>45202.26611111111</v>
      </c>
      <c r="C607" s="1" t="n">
        <v>46139</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13769-2023</t>
        </is>
      </c>
      <c r="B608" s="1" t="n">
        <v>45007.45686342593</v>
      </c>
      <c r="C608" s="1" t="n">
        <v>46139</v>
      </c>
      <c r="D608" t="inlineStr">
        <is>
          <t>ÖSTERGÖTLANDS LÄN</t>
        </is>
      </c>
      <c r="E608" t="inlineStr">
        <is>
          <t>KINDA</t>
        </is>
      </c>
      <c r="G608" t="n">
        <v>3.8</v>
      </c>
      <c r="H608" t="n">
        <v>0</v>
      </c>
      <c r="I608" t="n">
        <v>0</v>
      </c>
      <c r="J608" t="n">
        <v>0</v>
      </c>
      <c r="K608" t="n">
        <v>0</v>
      </c>
      <c r="L608" t="n">
        <v>0</v>
      </c>
      <c r="M608" t="n">
        <v>0</v>
      </c>
      <c r="N608" t="n">
        <v>0</v>
      </c>
      <c r="O608" t="n">
        <v>0</v>
      </c>
      <c r="P608" t="n">
        <v>0</v>
      </c>
      <c r="Q608" t="n">
        <v>0</v>
      </c>
      <c r="R608" s="2" t="inlineStr"/>
    </row>
    <row r="609" ht="15" customHeight="1">
      <c r="A609" t="inlineStr">
        <is>
          <t>A 51836-2021</t>
        </is>
      </c>
      <c r="B609" s="1" t="n">
        <v>44462</v>
      </c>
      <c r="C609" s="1" t="n">
        <v>46139</v>
      </c>
      <c r="D609" t="inlineStr">
        <is>
          <t>ÖSTERGÖTLANDS LÄN</t>
        </is>
      </c>
      <c r="E609" t="inlineStr">
        <is>
          <t>KINDA</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6404-2025</t>
        </is>
      </c>
      <c r="B610" s="1" t="n">
        <v>45699.45336805555</v>
      </c>
      <c r="C610" s="1" t="n">
        <v>46139</v>
      </c>
      <c r="D610" t="inlineStr">
        <is>
          <t>ÖSTERGÖTLANDS LÄN</t>
        </is>
      </c>
      <c r="E610" t="inlineStr">
        <is>
          <t>KINDA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6406-2025</t>
        </is>
      </c>
      <c r="B611" s="1" t="n">
        <v>45699.45508101852</v>
      </c>
      <c r="C611" s="1" t="n">
        <v>46139</v>
      </c>
      <c r="D611" t="inlineStr">
        <is>
          <t>ÖSTERGÖTLANDS LÄN</t>
        </is>
      </c>
      <c r="E611" t="inlineStr">
        <is>
          <t>KINDA</t>
        </is>
      </c>
      <c r="F611" t="inlineStr">
        <is>
          <t>Sveaskog</t>
        </is>
      </c>
      <c r="G611" t="n">
        <v>4.4</v>
      </c>
      <c r="H611" t="n">
        <v>0</v>
      </c>
      <c r="I611" t="n">
        <v>0</v>
      </c>
      <c r="J611" t="n">
        <v>0</v>
      </c>
      <c r="K611" t="n">
        <v>0</v>
      </c>
      <c r="L611" t="n">
        <v>0</v>
      </c>
      <c r="M611" t="n">
        <v>0</v>
      </c>
      <c r="N611" t="n">
        <v>0</v>
      </c>
      <c r="O611" t="n">
        <v>0</v>
      </c>
      <c r="P611" t="n">
        <v>0</v>
      </c>
      <c r="Q611" t="n">
        <v>0</v>
      </c>
      <c r="R611" s="2" t="inlineStr"/>
    </row>
    <row r="612" ht="15" customHeight="1">
      <c r="A612" t="inlineStr">
        <is>
          <t>A 41657-2024</t>
        </is>
      </c>
      <c r="B612" s="1" t="n">
        <v>45560.64243055556</v>
      </c>
      <c r="C612" s="1" t="n">
        <v>46139</v>
      </c>
      <c r="D612" t="inlineStr">
        <is>
          <t>ÖSTERGÖTLANDS LÄN</t>
        </is>
      </c>
      <c r="E612" t="inlineStr">
        <is>
          <t>KINDA</t>
        </is>
      </c>
      <c r="G612" t="n">
        <v>0.4</v>
      </c>
      <c r="H612" t="n">
        <v>0</v>
      </c>
      <c r="I612" t="n">
        <v>0</v>
      </c>
      <c r="J612" t="n">
        <v>0</v>
      </c>
      <c r="K612" t="n">
        <v>0</v>
      </c>
      <c r="L612" t="n">
        <v>0</v>
      </c>
      <c r="M612" t="n">
        <v>0</v>
      </c>
      <c r="N612" t="n">
        <v>0</v>
      </c>
      <c r="O612" t="n">
        <v>0</v>
      </c>
      <c r="P612" t="n">
        <v>0</v>
      </c>
      <c r="Q612" t="n">
        <v>0</v>
      </c>
      <c r="R612" s="2" t="inlineStr"/>
    </row>
    <row r="613" ht="15" customHeight="1">
      <c r="A613" t="inlineStr">
        <is>
          <t>A 14244-2024</t>
        </is>
      </c>
      <c r="B613" s="1" t="n">
        <v>45393</v>
      </c>
      <c r="C613" s="1" t="n">
        <v>46139</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47724-2024</t>
        </is>
      </c>
      <c r="B614" s="1" t="n">
        <v>45588.49065972222</v>
      </c>
      <c r="C614" s="1" t="n">
        <v>46139</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25268-2023</t>
        </is>
      </c>
      <c r="B615" s="1" t="n">
        <v>45086.66693287037</v>
      </c>
      <c r="C615" s="1" t="n">
        <v>46139</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16507-2026</t>
        </is>
      </c>
      <c r="B616" s="1" t="n">
        <v>46112.44665509259</v>
      </c>
      <c r="C616" s="1" t="n">
        <v>46139</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22048-2021</t>
        </is>
      </c>
      <c r="B617" s="1" t="n">
        <v>44323</v>
      </c>
      <c r="C617" s="1" t="n">
        <v>46139</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5649-2023</t>
        </is>
      </c>
      <c r="B618" s="1" t="n">
        <v>44960</v>
      </c>
      <c r="C618" s="1" t="n">
        <v>46139</v>
      </c>
      <c r="D618" t="inlineStr">
        <is>
          <t>ÖSTERGÖTLANDS LÄN</t>
        </is>
      </c>
      <c r="E618" t="inlineStr">
        <is>
          <t>KINDA</t>
        </is>
      </c>
      <c r="G618" t="n">
        <v>2.5</v>
      </c>
      <c r="H618" t="n">
        <v>0</v>
      </c>
      <c r="I618" t="n">
        <v>0</v>
      </c>
      <c r="J618" t="n">
        <v>0</v>
      </c>
      <c r="K618" t="n">
        <v>0</v>
      </c>
      <c r="L618" t="n">
        <v>0</v>
      </c>
      <c r="M618" t="n">
        <v>0</v>
      </c>
      <c r="N618" t="n">
        <v>0</v>
      </c>
      <c r="O618" t="n">
        <v>0</v>
      </c>
      <c r="P618" t="n">
        <v>0</v>
      </c>
      <c r="Q618" t="n">
        <v>0</v>
      </c>
      <c r="R618" s="2" t="inlineStr"/>
    </row>
    <row r="619" ht="15" customHeight="1">
      <c r="A619" t="inlineStr">
        <is>
          <t>A 60597-2023</t>
        </is>
      </c>
      <c r="B619" s="1" t="n">
        <v>45260</v>
      </c>
      <c r="C619" s="1" t="n">
        <v>46139</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46139</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52861-2023</t>
        </is>
      </c>
      <c r="B621" s="1" t="n">
        <v>45219</v>
      </c>
      <c r="C621" s="1" t="n">
        <v>46139</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10095-2026</t>
        </is>
      </c>
      <c r="B622" s="1" t="n">
        <v>46073.72185185185</v>
      </c>
      <c r="C622" s="1" t="n">
        <v>46139</v>
      </c>
      <c r="D622" t="inlineStr">
        <is>
          <t>ÖSTERGÖTLANDS LÄN</t>
        </is>
      </c>
      <c r="E622" t="inlineStr">
        <is>
          <t>KINDA</t>
        </is>
      </c>
      <c r="G622" t="n">
        <v>4.1</v>
      </c>
      <c r="H622" t="n">
        <v>0</v>
      </c>
      <c r="I622" t="n">
        <v>0</v>
      </c>
      <c r="J622" t="n">
        <v>0</v>
      </c>
      <c r="K622" t="n">
        <v>0</v>
      </c>
      <c r="L622" t="n">
        <v>0</v>
      </c>
      <c r="M622" t="n">
        <v>0</v>
      </c>
      <c r="N622" t="n">
        <v>0</v>
      </c>
      <c r="O622" t="n">
        <v>0</v>
      </c>
      <c r="P622" t="n">
        <v>0</v>
      </c>
      <c r="Q622" t="n">
        <v>0</v>
      </c>
      <c r="R622" s="2" t="inlineStr"/>
    </row>
    <row r="623" ht="15" customHeight="1">
      <c r="A623" t="inlineStr">
        <is>
          <t>A 7645-2024</t>
        </is>
      </c>
      <c r="B623" s="1" t="n">
        <v>45348.65997685185</v>
      </c>
      <c r="C623" s="1" t="n">
        <v>46139</v>
      </c>
      <c r="D623" t="inlineStr">
        <is>
          <t>ÖSTERGÖTLANDS LÄN</t>
        </is>
      </c>
      <c r="E623" t="inlineStr">
        <is>
          <t>KINDA</t>
        </is>
      </c>
      <c r="G623" t="n">
        <v>6.3</v>
      </c>
      <c r="H623" t="n">
        <v>0</v>
      </c>
      <c r="I623" t="n">
        <v>0</v>
      </c>
      <c r="J623" t="n">
        <v>0</v>
      </c>
      <c r="K623" t="n">
        <v>0</v>
      </c>
      <c r="L623" t="n">
        <v>0</v>
      </c>
      <c r="M623" t="n">
        <v>0</v>
      </c>
      <c r="N623" t="n">
        <v>0</v>
      </c>
      <c r="O623" t="n">
        <v>0</v>
      </c>
      <c r="P623" t="n">
        <v>0</v>
      </c>
      <c r="Q623" t="n">
        <v>0</v>
      </c>
      <c r="R623" s="2" t="inlineStr"/>
    </row>
    <row r="624" ht="15" customHeight="1">
      <c r="A624" t="inlineStr">
        <is>
          <t>A 54507-2022</t>
        </is>
      </c>
      <c r="B624" s="1" t="n">
        <v>44882</v>
      </c>
      <c r="C624" s="1" t="n">
        <v>46139</v>
      </c>
      <c r="D624" t="inlineStr">
        <is>
          <t>ÖSTERGÖTLANDS LÄN</t>
        </is>
      </c>
      <c r="E624" t="inlineStr">
        <is>
          <t>KINDA</t>
        </is>
      </c>
      <c r="G624" t="n">
        <v>0.1</v>
      </c>
      <c r="H624" t="n">
        <v>0</v>
      </c>
      <c r="I624" t="n">
        <v>0</v>
      </c>
      <c r="J624" t="n">
        <v>0</v>
      </c>
      <c r="K624" t="n">
        <v>0</v>
      </c>
      <c r="L624" t="n">
        <v>0</v>
      </c>
      <c r="M624" t="n">
        <v>0</v>
      </c>
      <c r="N624" t="n">
        <v>0</v>
      </c>
      <c r="O624" t="n">
        <v>0</v>
      </c>
      <c r="P624" t="n">
        <v>0</v>
      </c>
      <c r="Q624" t="n">
        <v>0</v>
      </c>
      <c r="R624" s="2" t="inlineStr"/>
    </row>
    <row r="625" ht="15" customHeight="1">
      <c r="A625" t="inlineStr">
        <is>
          <t>A 15110-2022</t>
        </is>
      </c>
      <c r="B625" s="1" t="n">
        <v>44657</v>
      </c>
      <c r="C625" s="1" t="n">
        <v>46139</v>
      </c>
      <c r="D625" t="inlineStr">
        <is>
          <t>ÖSTERGÖTLANDS LÄN</t>
        </is>
      </c>
      <c r="E625" t="inlineStr">
        <is>
          <t>KINDA</t>
        </is>
      </c>
      <c r="G625" t="n">
        <v>1.1</v>
      </c>
      <c r="H625" t="n">
        <v>0</v>
      </c>
      <c r="I625" t="n">
        <v>0</v>
      </c>
      <c r="J625" t="n">
        <v>0</v>
      </c>
      <c r="K625" t="n">
        <v>0</v>
      </c>
      <c r="L625" t="n">
        <v>0</v>
      </c>
      <c r="M625" t="n">
        <v>0</v>
      </c>
      <c r="N625" t="n">
        <v>0</v>
      </c>
      <c r="O625" t="n">
        <v>0</v>
      </c>
      <c r="P625" t="n">
        <v>0</v>
      </c>
      <c r="Q625" t="n">
        <v>0</v>
      </c>
      <c r="R625" s="2" t="inlineStr"/>
    </row>
    <row r="626" ht="15" customHeight="1">
      <c r="A626" t="inlineStr">
        <is>
          <t>A 6104-2022</t>
        </is>
      </c>
      <c r="B626" s="1" t="n">
        <v>44599</v>
      </c>
      <c r="C626" s="1" t="n">
        <v>46139</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2638-2024</t>
        </is>
      </c>
      <c r="B627" s="1" t="n">
        <v>45314.33872685185</v>
      </c>
      <c r="C627" s="1" t="n">
        <v>46139</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45457-2024</t>
        </is>
      </c>
      <c r="B628" s="1" t="n">
        <v>45576.67208333333</v>
      </c>
      <c r="C628" s="1" t="n">
        <v>46139</v>
      </c>
      <c r="D628" t="inlineStr">
        <is>
          <t>ÖSTERGÖTLANDS LÄN</t>
        </is>
      </c>
      <c r="E628" t="inlineStr">
        <is>
          <t>KINDA</t>
        </is>
      </c>
      <c r="G628" t="n">
        <v>0.7</v>
      </c>
      <c r="H628" t="n">
        <v>0</v>
      </c>
      <c r="I628" t="n">
        <v>0</v>
      </c>
      <c r="J628" t="n">
        <v>0</v>
      </c>
      <c r="K628" t="n">
        <v>0</v>
      </c>
      <c r="L628" t="n">
        <v>0</v>
      </c>
      <c r="M628" t="n">
        <v>0</v>
      </c>
      <c r="N628" t="n">
        <v>0</v>
      </c>
      <c r="O628" t="n">
        <v>0</v>
      </c>
      <c r="P628" t="n">
        <v>0</v>
      </c>
      <c r="Q628" t="n">
        <v>0</v>
      </c>
      <c r="R628" s="2" t="inlineStr"/>
    </row>
    <row r="629" ht="15" customHeight="1">
      <c r="A629" t="inlineStr">
        <is>
          <t>A 10517-2026</t>
        </is>
      </c>
      <c r="B629" s="1" t="n">
        <v>46077.57380787037</v>
      </c>
      <c r="C629" s="1" t="n">
        <v>46139</v>
      </c>
      <c r="D629" t="inlineStr">
        <is>
          <t>ÖSTERGÖTLANDS LÄN</t>
        </is>
      </c>
      <c r="E629" t="inlineStr">
        <is>
          <t>KINDA</t>
        </is>
      </c>
      <c r="G629" t="n">
        <v>3.3</v>
      </c>
      <c r="H629" t="n">
        <v>0</v>
      </c>
      <c r="I629" t="n">
        <v>0</v>
      </c>
      <c r="J629" t="n">
        <v>0</v>
      </c>
      <c r="K629" t="n">
        <v>0</v>
      </c>
      <c r="L629" t="n">
        <v>0</v>
      </c>
      <c r="M629" t="n">
        <v>0</v>
      </c>
      <c r="N629" t="n">
        <v>0</v>
      </c>
      <c r="O629" t="n">
        <v>0</v>
      </c>
      <c r="P629" t="n">
        <v>0</v>
      </c>
      <c r="Q629" t="n">
        <v>0</v>
      </c>
      <c r="R629" s="2" t="inlineStr"/>
    </row>
    <row r="630" ht="15" customHeight="1">
      <c r="A630" t="inlineStr">
        <is>
          <t>A 7749-2024</t>
        </is>
      </c>
      <c r="B630" s="1" t="n">
        <v>45349.48241898148</v>
      </c>
      <c r="C630" s="1" t="n">
        <v>46139</v>
      </c>
      <c r="D630" t="inlineStr">
        <is>
          <t>ÖSTERGÖTLANDS LÄN</t>
        </is>
      </c>
      <c r="E630" t="inlineStr">
        <is>
          <t>KINDA</t>
        </is>
      </c>
      <c r="F630" t="inlineStr">
        <is>
          <t>Övriga Aktiebolag</t>
        </is>
      </c>
      <c r="G630" t="n">
        <v>3.9</v>
      </c>
      <c r="H630" t="n">
        <v>0</v>
      </c>
      <c r="I630" t="n">
        <v>0</v>
      </c>
      <c r="J630" t="n">
        <v>0</v>
      </c>
      <c r="K630" t="n">
        <v>0</v>
      </c>
      <c r="L630" t="n">
        <v>0</v>
      </c>
      <c r="M630" t="n">
        <v>0</v>
      </c>
      <c r="N630" t="n">
        <v>0</v>
      </c>
      <c r="O630" t="n">
        <v>0</v>
      </c>
      <c r="P630" t="n">
        <v>0</v>
      </c>
      <c r="Q630" t="n">
        <v>0</v>
      </c>
      <c r="R630" s="2" t="inlineStr"/>
    </row>
    <row r="631" ht="15" customHeight="1">
      <c r="A631" t="inlineStr">
        <is>
          <t>A 17554-2026</t>
        </is>
      </c>
      <c r="B631" s="1" t="n">
        <v>46120.868125</v>
      </c>
      <c r="C631" s="1" t="n">
        <v>46139</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56129-2024</t>
        </is>
      </c>
      <c r="B632" s="1" t="n">
        <v>45624</v>
      </c>
      <c r="C632" s="1" t="n">
        <v>46139</v>
      </c>
      <c r="D632" t="inlineStr">
        <is>
          <t>ÖSTERGÖTLANDS LÄN</t>
        </is>
      </c>
      <c r="E632" t="inlineStr">
        <is>
          <t>KINDA</t>
        </is>
      </c>
      <c r="G632" t="n">
        <v>0.9</v>
      </c>
      <c r="H632" t="n">
        <v>0</v>
      </c>
      <c r="I632" t="n">
        <v>0</v>
      </c>
      <c r="J632" t="n">
        <v>0</v>
      </c>
      <c r="K632" t="n">
        <v>0</v>
      </c>
      <c r="L632" t="n">
        <v>0</v>
      </c>
      <c r="M632" t="n">
        <v>0</v>
      </c>
      <c r="N632" t="n">
        <v>0</v>
      </c>
      <c r="O632" t="n">
        <v>0</v>
      </c>
      <c r="P632" t="n">
        <v>0</v>
      </c>
      <c r="Q632" t="n">
        <v>0</v>
      </c>
      <c r="R632" s="2" t="inlineStr"/>
    </row>
    <row r="633" ht="15" customHeight="1">
      <c r="A633" t="inlineStr">
        <is>
          <t>A 23613-2022</t>
        </is>
      </c>
      <c r="B633" s="1" t="n">
        <v>44721.61611111111</v>
      </c>
      <c r="C633" s="1" t="n">
        <v>46139</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11183-2026</t>
        </is>
      </c>
      <c r="B634" s="1" t="n">
        <v>46080.39516203704</v>
      </c>
      <c r="C634" s="1" t="n">
        <v>46139</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11184-2026</t>
        </is>
      </c>
      <c r="B635" s="1" t="n">
        <v>46080</v>
      </c>
      <c r="C635" s="1" t="n">
        <v>46139</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4288-2023</t>
        </is>
      </c>
      <c r="B636" s="1" t="n">
        <v>44953</v>
      </c>
      <c r="C636" s="1" t="n">
        <v>46139</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45450-2024</t>
        </is>
      </c>
      <c r="B637" s="1" t="n">
        <v>45576.65969907407</v>
      </c>
      <c r="C637" s="1" t="n">
        <v>46139</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7631-2024</t>
        </is>
      </c>
      <c r="B638" s="1" t="n">
        <v>45348.6147337963</v>
      </c>
      <c r="C638" s="1" t="n">
        <v>46139</v>
      </c>
      <c r="D638" t="inlineStr">
        <is>
          <t>ÖSTERGÖTLANDS LÄN</t>
        </is>
      </c>
      <c r="E638" t="inlineStr">
        <is>
          <t>KINDA</t>
        </is>
      </c>
      <c r="G638" t="n">
        <v>3.2</v>
      </c>
      <c r="H638" t="n">
        <v>0</v>
      </c>
      <c r="I638" t="n">
        <v>0</v>
      </c>
      <c r="J638" t="n">
        <v>0</v>
      </c>
      <c r="K638" t="n">
        <v>0</v>
      </c>
      <c r="L638" t="n">
        <v>0</v>
      </c>
      <c r="M638" t="n">
        <v>0</v>
      </c>
      <c r="N638" t="n">
        <v>0</v>
      </c>
      <c r="O638" t="n">
        <v>0</v>
      </c>
      <c r="P638" t="n">
        <v>0</v>
      </c>
      <c r="Q638" t="n">
        <v>0</v>
      </c>
      <c r="R638" s="2" t="inlineStr"/>
    </row>
    <row r="639" ht="15" customHeight="1">
      <c r="A639" t="inlineStr">
        <is>
          <t>A 17938-2026</t>
        </is>
      </c>
      <c r="B639" s="1" t="n">
        <v>46122.63659722222</v>
      </c>
      <c r="C639" s="1" t="n">
        <v>46139</v>
      </c>
      <c r="D639" t="inlineStr">
        <is>
          <t>ÖSTERGÖTLANDS LÄN</t>
        </is>
      </c>
      <c r="E639" t="inlineStr">
        <is>
          <t>KINDA</t>
        </is>
      </c>
      <c r="G639" t="n">
        <v>0.5</v>
      </c>
      <c r="H639" t="n">
        <v>0</v>
      </c>
      <c r="I639" t="n">
        <v>0</v>
      </c>
      <c r="J639" t="n">
        <v>0</v>
      </c>
      <c r="K639" t="n">
        <v>0</v>
      </c>
      <c r="L639" t="n">
        <v>0</v>
      </c>
      <c r="M639" t="n">
        <v>0</v>
      </c>
      <c r="N639" t="n">
        <v>0</v>
      </c>
      <c r="O639" t="n">
        <v>0</v>
      </c>
      <c r="P639" t="n">
        <v>0</v>
      </c>
      <c r="Q639" t="n">
        <v>0</v>
      </c>
      <c r="R639" s="2" t="inlineStr"/>
    </row>
    <row r="640" ht="15" customHeight="1">
      <c r="A640" t="inlineStr">
        <is>
          <t>A 11231-2026</t>
        </is>
      </c>
      <c r="B640" s="1" t="n">
        <v>46080.49003472222</v>
      </c>
      <c r="C640" s="1" t="n">
        <v>46139</v>
      </c>
      <c r="D640" t="inlineStr">
        <is>
          <t>ÖSTERGÖTLANDS LÄN</t>
        </is>
      </c>
      <c r="E640" t="inlineStr">
        <is>
          <t>KINDA</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8092-2024</t>
        </is>
      </c>
      <c r="B641" s="1" t="n">
        <v>45351.4491550926</v>
      </c>
      <c r="C641" s="1" t="n">
        <v>46139</v>
      </c>
      <c r="D641" t="inlineStr">
        <is>
          <t>ÖSTERGÖTLANDS LÄN</t>
        </is>
      </c>
      <c r="E641" t="inlineStr">
        <is>
          <t>KINDA</t>
        </is>
      </c>
      <c r="G641" t="n">
        <v>0</v>
      </c>
      <c r="H641" t="n">
        <v>0</v>
      </c>
      <c r="I641" t="n">
        <v>0</v>
      </c>
      <c r="J641" t="n">
        <v>0</v>
      </c>
      <c r="K641" t="n">
        <v>0</v>
      </c>
      <c r="L641" t="n">
        <v>0</v>
      </c>
      <c r="M641" t="n">
        <v>0</v>
      </c>
      <c r="N641" t="n">
        <v>0</v>
      </c>
      <c r="O641" t="n">
        <v>0</v>
      </c>
      <c r="P641" t="n">
        <v>0</v>
      </c>
      <c r="Q641" t="n">
        <v>0</v>
      </c>
      <c r="R641" s="2" t="inlineStr"/>
    </row>
    <row r="642" ht="15" customHeight="1">
      <c r="A642" t="inlineStr">
        <is>
          <t>A 1885-2022</t>
        </is>
      </c>
      <c r="B642" s="1" t="n">
        <v>44575</v>
      </c>
      <c r="C642" s="1" t="n">
        <v>46139</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44329-2023</t>
        </is>
      </c>
      <c r="B643" s="1" t="n">
        <v>45188.66209490741</v>
      </c>
      <c r="C643" s="1" t="n">
        <v>46139</v>
      </c>
      <c r="D643" t="inlineStr">
        <is>
          <t>ÖSTERGÖTLANDS LÄN</t>
        </is>
      </c>
      <c r="E643" t="inlineStr">
        <is>
          <t>KINDA</t>
        </is>
      </c>
      <c r="G643" t="n">
        <v>2.2</v>
      </c>
      <c r="H643" t="n">
        <v>0</v>
      </c>
      <c r="I643" t="n">
        <v>0</v>
      </c>
      <c r="J643" t="n">
        <v>0</v>
      </c>
      <c r="K643" t="n">
        <v>0</v>
      </c>
      <c r="L643" t="n">
        <v>0</v>
      </c>
      <c r="M643" t="n">
        <v>0</v>
      </c>
      <c r="N643" t="n">
        <v>0</v>
      </c>
      <c r="O643" t="n">
        <v>0</v>
      </c>
      <c r="P643" t="n">
        <v>0</v>
      </c>
      <c r="Q643" t="n">
        <v>0</v>
      </c>
      <c r="R643" s="2" t="inlineStr"/>
    </row>
    <row r="644" ht="15" customHeight="1">
      <c r="A644" t="inlineStr">
        <is>
          <t>A 1896-2024</t>
        </is>
      </c>
      <c r="B644" s="1" t="n">
        <v>45308.33431712963</v>
      </c>
      <c r="C644" s="1" t="n">
        <v>46139</v>
      </c>
      <c r="D644" t="inlineStr">
        <is>
          <t>ÖSTERGÖTLANDS LÄN</t>
        </is>
      </c>
      <c r="E644" t="inlineStr">
        <is>
          <t>KINDA</t>
        </is>
      </c>
      <c r="G644" t="n">
        <v>2.9</v>
      </c>
      <c r="H644" t="n">
        <v>0</v>
      </c>
      <c r="I644" t="n">
        <v>0</v>
      </c>
      <c r="J644" t="n">
        <v>0</v>
      </c>
      <c r="K644" t="n">
        <v>0</v>
      </c>
      <c r="L644" t="n">
        <v>0</v>
      </c>
      <c r="M644" t="n">
        <v>0</v>
      </c>
      <c r="N644" t="n">
        <v>0</v>
      </c>
      <c r="O644" t="n">
        <v>0</v>
      </c>
      <c r="P644" t="n">
        <v>0</v>
      </c>
      <c r="Q644" t="n">
        <v>0</v>
      </c>
      <c r="R644" s="2" t="inlineStr"/>
    </row>
    <row r="645" ht="15" customHeight="1">
      <c r="A645" t="inlineStr">
        <is>
          <t>A 32285-2023</t>
        </is>
      </c>
      <c r="B645" s="1" t="n">
        <v>45120</v>
      </c>
      <c r="C645" s="1" t="n">
        <v>46139</v>
      </c>
      <c r="D645" t="inlineStr">
        <is>
          <t>ÖSTERGÖTLANDS LÄN</t>
        </is>
      </c>
      <c r="E645" t="inlineStr">
        <is>
          <t>KINDA</t>
        </is>
      </c>
      <c r="G645" t="n">
        <v>0.2</v>
      </c>
      <c r="H645" t="n">
        <v>0</v>
      </c>
      <c r="I645" t="n">
        <v>0</v>
      </c>
      <c r="J645" t="n">
        <v>0</v>
      </c>
      <c r="K645" t="n">
        <v>0</v>
      </c>
      <c r="L645" t="n">
        <v>0</v>
      </c>
      <c r="M645" t="n">
        <v>0</v>
      </c>
      <c r="N645" t="n">
        <v>0</v>
      </c>
      <c r="O645" t="n">
        <v>0</v>
      </c>
      <c r="P645" t="n">
        <v>0</v>
      </c>
      <c r="Q645" t="n">
        <v>0</v>
      </c>
      <c r="R645" s="2" t="inlineStr"/>
    </row>
    <row r="646" ht="15" customHeight="1">
      <c r="A646" t="inlineStr">
        <is>
          <t>A 22813-2024</t>
        </is>
      </c>
      <c r="B646" s="1" t="n">
        <v>45448.52539351852</v>
      </c>
      <c r="C646" s="1" t="n">
        <v>46139</v>
      </c>
      <c r="D646" t="inlineStr">
        <is>
          <t>ÖSTERGÖTLANDS LÄN</t>
        </is>
      </c>
      <c r="E646" t="inlineStr">
        <is>
          <t>KINDA</t>
        </is>
      </c>
      <c r="F646" t="inlineStr">
        <is>
          <t>Allmännings- och besparingsskogar</t>
        </is>
      </c>
      <c r="G646" t="n">
        <v>6.8</v>
      </c>
      <c r="H646" t="n">
        <v>0</v>
      </c>
      <c r="I646" t="n">
        <v>0</v>
      </c>
      <c r="J646" t="n">
        <v>0</v>
      </c>
      <c r="K646" t="n">
        <v>0</v>
      </c>
      <c r="L646" t="n">
        <v>0</v>
      </c>
      <c r="M646" t="n">
        <v>0</v>
      </c>
      <c r="N646" t="n">
        <v>0</v>
      </c>
      <c r="O646" t="n">
        <v>0</v>
      </c>
      <c r="P646" t="n">
        <v>0</v>
      </c>
      <c r="Q646" t="n">
        <v>0</v>
      </c>
      <c r="R646" s="2" t="inlineStr"/>
    </row>
    <row r="647" ht="15" customHeight="1">
      <c r="A647" t="inlineStr">
        <is>
          <t>A 62491-2023</t>
        </is>
      </c>
      <c r="B647" s="1" t="n">
        <v>45267</v>
      </c>
      <c r="C647" s="1" t="n">
        <v>46139</v>
      </c>
      <c r="D647" t="inlineStr">
        <is>
          <t>ÖSTERGÖTLANDS LÄN</t>
        </is>
      </c>
      <c r="E647" t="inlineStr">
        <is>
          <t>KINDA</t>
        </is>
      </c>
      <c r="G647" t="n">
        <v>1</v>
      </c>
      <c r="H647" t="n">
        <v>0</v>
      </c>
      <c r="I647" t="n">
        <v>0</v>
      </c>
      <c r="J647" t="n">
        <v>0</v>
      </c>
      <c r="K647" t="n">
        <v>0</v>
      </c>
      <c r="L647" t="n">
        <v>0</v>
      </c>
      <c r="M647" t="n">
        <v>0</v>
      </c>
      <c r="N647" t="n">
        <v>0</v>
      </c>
      <c r="O647" t="n">
        <v>0</v>
      </c>
      <c r="P647" t="n">
        <v>0</v>
      </c>
      <c r="Q647" t="n">
        <v>0</v>
      </c>
      <c r="R647" s="2" t="inlineStr"/>
    </row>
    <row r="648" ht="15" customHeight="1">
      <c r="A648" t="inlineStr">
        <is>
          <t>A 11922-2026</t>
        </is>
      </c>
      <c r="B648" s="1" t="n">
        <v>46085.571875</v>
      </c>
      <c r="C648" s="1" t="n">
        <v>46139</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9573-2024</t>
        </is>
      </c>
      <c r="B649" s="1" t="n">
        <v>45360.40449074074</v>
      </c>
      <c r="C649" s="1" t="n">
        <v>46139</v>
      </c>
      <c r="D649" t="inlineStr">
        <is>
          <t>ÖSTERGÖTLANDS LÄN</t>
        </is>
      </c>
      <c r="E649" t="inlineStr">
        <is>
          <t>KINDA</t>
        </is>
      </c>
      <c r="G649" t="n">
        <v>0.3</v>
      </c>
      <c r="H649" t="n">
        <v>0</v>
      </c>
      <c r="I649" t="n">
        <v>0</v>
      </c>
      <c r="J649" t="n">
        <v>0</v>
      </c>
      <c r="K649" t="n">
        <v>0</v>
      </c>
      <c r="L649" t="n">
        <v>0</v>
      </c>
      <c r="M649" t="n">
        <v>0</v>
      </c>
      <c r="N649" t="n">
        <v>0</v>
      </c>
      <c r="O649" t="n">
        <v>0</v>
      </c>
      <c r="P649" t="n">
        <v>0</v>
      </c>
      <c r="Q649" t="n">
        <v>0</v>
      </c>
      <c r="R649" s="2" t="inlineStr"/>
    </row>
    <row r="650" ht="15" customHeight="1">
      <c r="A650" t="inlineStr">
        <is>
          <t>A 9578-2024</t>
        </is>
      </c>
      <c r="B650" s="1" t="n">
        <v>45360.41894675926</v>
      </c>
      <c r="C650" s="1" t="n">
        <v>46139</v>
      </c>
      <c r="D650" t="inlineStr">
        <is>
          <t>ÖSTERGÖTLANDS LÄN</t>
        </is>
      </c>
      <c r="E650" t="inlineStr">
        <is>
          <t>KINDA</t>
        </is>
      </c>
      <c r="G650" t="n">
        <v>0.9</v>
      </c>
      <c r="H650" t="n">
        <v>0</v>
      </c>
      <c r="I650" t="n">
        <v>0</v>
      </c>
      <c r="J650" t="n">
        <v>0</v>
      </c>
      <c r="K650" t="n">
        <v>0</v>
      </c>
      <c r="L650" t="n">
        <v>0</v>
      </c>
      <c r="M650" t="n">
        <v>0</v>
      </c>
      <c r="N650" t="n">
        <v>0</v>
      </c>
      <c r="O650" t="n">
        <v>0</v>
      </c>
      <c r="P650" t="n">
        <v>0</v>
      </c>
      <c r="Q650" t="n">
        <v>0</v>
      </c>
      <c r="R650" s="2" t="inlineStr"/>
    </row>
    <row r="651" ht="15" customHeight="1">
      <c r="A651" t="inlineStr">
        <is>
          <t>A 24711-2023</t>
        </is>
      </c>
      <c r="B651" s="1" t="n">
        <v>45078</v>
      </c>
      <c r="C651" s="1" t="n">
        <v>46139</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37196-2024</t>
        </is>
      </c>
      <c r="B652" s="1" t="n">
        <v>45539.66679398148</v>
      </c>
      <c r="C652" s="1" t="n">
        <v>46139</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8813-2023</t>
        </is>
      </c>
      <c r="B653" s="1" t="n">
        <v>44978.63537037037</v>
      </c>
      <c r="C653" s="1" t="n">
        <v>46139</v>
      </c>
      <c r="D653" t="inlineStr">
        <is>
          <t>ÖSTERGÖTLANDS LÄN</t>
        </is>
      </c>
      <c r="E653" t="inlineStr">
        <is>
          <t>KINDA</t>
        </is>
      </c>
      <c r="G653" t="n">
        <v>1.5</v>
      </c>
      <c r="H653" t="n">
        <v>0</v>
      </c>
      <c r="I653" t="n">
        <v>0</v>
      </c>
      <c r="J653" t="n">
        <v>0</v>
      </c>
      <c r="K653" t="n">
        <v>0</v>
      </c>
      <c r="L653" t="n">
        <v>0</v>
      </c>
      <c r="M653" t="n">
        <v>0</v>
      </c>
      <c r="N653" t="n">
        <v>0</v>
      </c>
      <c r="O653" t="n">
        <v>0</v>
      </c>
      <c r="P653" t="n">
        <v>0</v>
      </c>
      <c r="Q653" t="n">
        <v>0</v>
      </c>
      <c r="R653" s="2" t="inlineStr"/>
    </row>
    <row r="654" ht="15" customHeight="1">
      <c r="A654" t="inlineStr">
        <is>
          <t>A 12605-2026</t>
        </is>
      </c>
      <c r="B654" s="1" t="n">
        <v>46090</v>
      </c>
      <c r="C654" s="1" t="n">
        <v>46139</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4368-2025</t>
        </is>
      </c>
      <c r="B655" s="1" t="n">
        <v>45686.34563657407</v>
      </c>
      <c r="C655" s="1" t="n">
        <v>46139</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18198-2025</t>
        </is>
      </c>
      <c r="B656" s="1" t="n">
        <v>45761.68063657408</v>
      </c>
      <c r="C656" s="1" t="n">
        <v>46139</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15303-2024</t>
        </is>
      </c>
      <c r="B657" s="1" t="n">
        <v>45400</v>
      </c>
      <c r="C657" s="1" t="n">
        <v>46139</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11479-2025</t>
        </is>
      </c>
      <c r="B658" s="1" t="n">
        <v>45726.6749537037</v>
      </c>
      <c r="C658" s="1" t="n">
        <v>46139</v>
      </c>
      <c r="D658" t="inlineStr">
        <is>
          <t>ÖSTERGÖTLANDS LÄN</t>
        </is>
      </c>
      <c r="E658" t="inlineStr">
        <is>
          <t>KINDA</t>
        </is>
      </c>
      <c r="G658" t="n">
        <v>4</v>
      </c>
      <c r="H658" t="n">
        <v>0</v>
      </c>
      <c r="I658" t="n">
        <v>0</v>
      </c>
      <c r="J658" t="n">
        <v>0</v>
      </c>
      <c r="K658" t="n">
        <v>0</v>
      </c>
      <c r="L658" t="n">
        <v>0</v>
      </c>
      <c r="M658" t="n">
        <v>0</v>
      </c>
      <c r="N658" t="n">
        <v>0</v>
      </c>
      <c r="O658" t="n">
        <v>0</v>
      </c>
      <c r="P658" t="n">
        <v>0</v>
      </c>
      <c r="Q658" t="n">
        <v>0</v>
      </c>
      <c r="R658" s="2" t="inlineStr"/>
    </row>
    <row r="659" ht="15" customHeight="1">
      <c r="A659" t="inlineStr">
        <is>
          <t>A 36942-2023</t>
        </is>
      </c>
      <c r="B659" s="1" t="n">
        <v>45154.72465277778</v>
      </c>
      <c r="C659" s="1" t="n">
        <v>46139</v>
      </c>
      <c r="D659" t="inlineStr">
        <is>
          <t>ÖSTERGÖTLANDS LÄN</t>
        </is>
      </c>
      <c r="E659" t="inlineStr">
        <is>
          <t>KINDA</t>
        </is>
      </c>
      <c r="F659" t="inlineStr">
        <is>
          <t>Allmännings- och besparingsskogar</t>
        </is>
      </c>
      <c r="G659" t="n">
        <v>14.8</v>
      </c>
      <c r="H659" t="n">
        <v>0</v>
      </c>
      <c r="I659" t="n">
        <v>0</v>
      </c>
      <c r="J659" t="n">
        <v>0</v>
      </c>
      <c r="K659" t="n">
        <v>0</v>
      </c>
      <c r="L659" t="n">
        <v>0</v>
      </c>
      <c r="M659" t="n">
        <v>0</v>
      </c>
      <c r="N659" t="n">
        <v>0</v>
      </c>
      <c r="O659" t="n">
        <v>0</v>
      </c>
      <c r="P659" t="n">
        <v>0</v>
      </c>
      <c r="Q659" t="n">
        <v>0</v>
      </c>
      <c r="R659" s="2" t="inlineStr"/>
    </row>
    <row r="660" ht="15" customHeight="1">
      <c r="A660" t="inlineStr">
        <is>
          <t>A 47000-2021</t>
        </is>
      </c>
      <c r="B660" s="1" t="n">
        <v>44446</v>
      </c>
      <c r="C660" s="1" t="n">
        <v>46139</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12506-2026</t>
        </is>
      </c>
      <c r="B661" s="1" t="n">
        <v>46090.57879629629</v>
      </c>
      <c r="C661" s="1" t="n">
        <v>46139</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19654-2025</t>
        </is>
      </c>
      <c r="B662" s="1" t="n">
        <v>45770.67305555556</v>
      </c>
      <c r="C662" s="1" t="n">
        <v>46139</v>
      </c>
      <c r="D662" t="inlineStr">
        <is>
          <t>ÖSTERGÖTLANDS LÄN</t>
        </is>
      </c>
      <c r="E662" t="inlineStr">
        <is>
          <t>KINDA</t>
        </is>
      </c>
      <c r="F662" t="inlineStr">
        <is>
          <t>Allmännings- och besparingsskogar</t>
        </is>
      </c>
      <c r="G662" t="n">
        <v>10.7</v>
      </c>
      <c r="H662" t="n">
        <v>0</v>
      </c>
      <c r="I662" t="n">
        <v>0</v>
      </c>
      <c r="J662" t="n">
        <v>0</v>
      </c>
      <c r="K662" t="n">
        <v>0</v>
      </c>
      <c r="L662" t="n">
        <v>0</v>
      </c>
      <c r="M662" t="n">
        <v>0</v>
      </c>
      <c r="N662" t="n">
        <v>0</v>
      </c>
      <c r="O662" t="n">
        <v>0</v>
      </c>
      <c r="P662" t="n">
        <v>0</v>
      </c>
      <c r="Q662" t="n">
        <v>0</v>
      </c>
      <c r="R662" s="2" t="inlineStr"/>
    </row>
    <row r="663" ht="15" customHeight="1">
      <c r="A663" t="inlineStr">
        <is>
          <t>A 35572-2024</t>
        </is>
      </c>
      <c r="B663" s="1" t="n">
        <v>45531.64358796296</v>
      </c>
      <c r="C663" s="1" t="n">
        <v>46139</v>
      </c>
      <c r="D663" t="inlineStr">
        <is>
          <t>ÖSTERGÖTLANDS LÄN</t>
        </is>
      </c>
      <c r="E663" t="inlineStr">
        <is>
          <t>KINDA</t>
        </is>
      </c>
      <c r="G663" t="n">
        <v>2.1</v>
      </c>
      <c r="H663" t="n">
        <v>0</v>
      </c>
      <c r="I663" t="n">
        <v>0</v>
      </c>
      <c r="J663" t="n">
        <v>0</v>
      </c>
      <c r="K663" t="n">
        <v>0</v>
      </c>
      <c r="L663" t="n">
        <v>0</v>
      </c>
      <c r="M663" t="n">
        <v>0</v>
      </c>
      <c r="N663" t="n">
        <v>0</v>
      </c>
      <c r="O663" t="n">
        <v>0</v>
      </c>
      <c r="P663" t="n">
        <v>0</v>
      </c>
      <c r="Q663" t="n">
        <v>0</v>
      </c>
      <c r="R663" s="2" t="inlineStr"/>
    </row>
    <row r="664" ht="15" customHeight="1">
      <c r="A664" t="inlineStr">
        <is>
          <t>A 7216-2023</t>
        </is>
      </c>
      <c r="B664" s="1" t="n">
        <v>44970.57682870371</v>
      </c>
      <c r="C664" s="1" t="n">
        <v>46139</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71098-2021</t>
        </is>
      </c>
      <c r="B665" s="1" t="n">
        <v>44539.34103009259</v>
      </c>
      <c r="C665" s="1" t="n">
        <v>46139</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66100-2021</t>
        </is>
      </c>
      <c r="B666" s="1" t="n">
        <v>44517</v>
      </c>
      <c r="C666" s="1" t="n">
        <v>46139</v>
      </c>
      <c r="D666" t="inlineStr">
        <is>
          <t>ÖSTERGÖTLANDS LÄN</t>
        </is>
      </c>
      <c r="E666" t="inlineStr">
        <is>
          <t>KINDA</t>
        </is>
      </c>
      <c r="G666" t="n">
        <v>2.5</v>
      </c>
      <c r="H666" t="n">
        <v>0</v>
      </c>
      <c r="I666" t="n">
        <v>0</v>
      </c>
      <c r="J666" t="n">
        <v>0</v>
      </c>
      <c r="K666" t="n">
        <v>0</v>
      </c>
      <c r="L666" t="n">
        <v>0</v>
      </c>
      <c r="M666" t="n">
        <v>0</v>
      </c>
      <c r="N666" t="n">
        <v>0</v>
      </c>
      <c r="O666" t="n">
        <v>0</v>
      </c>
      <c r="P666" t="n">
        <v>0</v>
      </c>
      <c r="Q666" t="n">
        <v>0</v>
      </c>
      <c r="R666" s="2" t="inlineStr"/>
    </row>
    <row r="667" ht="15" customHeight="1">
      <c r="A667" t="inlineStr">
        <is>
          <t>A 62286-2022</t>
        </is>
      </c>
      <c r="B667" s="1" t="n">
        <v>44923.40631944445</v>
      </c>
      <c r="C667" s="1" t="n">
        <v>46139</v>
      </c>
      <c r="D667" t="inlineStr">
        <is>
          <t>ÖSTERGÖTLANDS LÄN</t>
        </is>
      </c>
      <c r="E667" t="inlineStr">
        <is>
          <t>KINDA</t>
        </is>
      </c>
      <c r="F667" t="inlineStr">
        <is>
          <t>Allmännings- och besparingsskogar</t>
        </is>
      </c>
      <c r="G667" t="n">
        <v>4.7</v>
      </c>
      <c r="H667" t="n">
        <v>0</v>
      </c>
      <c r="I667" t="n">
        <v>0</v>
      </c>
      <c r="J667" t="n">
        <v>0</v>
      </c>
      <c r="K667" t="n">
        <v>0</v>
      </c>
      <c r="L667" t="n">
        <v>0</v>
      </c>
      <c r="M667" t="n">
        <v>0</v>
      </c>
      <c r="N667" t="n">
        <v>0</v>
      </c>
      <c r="O667" t="n">
        <v>0</v>
      </c>
      <c r="P667" t="n">
        <v>0</v>
      </c>
      <c r="Q667" t="n">
        <v>0</v>
      </c>
      <c r="R667" s="2" t="inlineStr"/>
    </row>
    <row r="668" ht="15" customHeight="1">
      <c r="A668" t="inlineStr">
        <is>
          <t>A 45693-2023</t>
        </is>
      </c>
      <c r="B668" s="1" t="n">
        <v>45195</v>
      </c>
      <c r="C668" s="1" t="n">
        <v>46139</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17172-2022</t>
        </is>
      </c>
      <c r="B669" s="1" t="n">
        <v>44677</v>
      </c>
      <c r="C669" s="1" t="n">
        <v>46139</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35662-2022</t>
        </is>
      </c>
      <c r="B670" s="1" t="n">
        <v>44799.58758101852</v>
      </c>
      <c r="C670" s="1" t="n">
        <v>46139</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9577-2024</t>
        </is>
      </c>
      <c r="B671" s="1" t="n">
        <v>45360.4172337963</v>
      </c>
      <c r="C671" s="1" t="n">
        <v>46139</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29794-2024</t>
        </is>
      </c>
      <c r="B672" s="1" t="n">
        <v>45485.4796875</v>
      </c>
      <c r="C672" s="1" t="n">
        <v>46139</v>
      </c>
      <c r="D672" t="inlineStr">
        <is>
          <t>ÖSTERGÖTLANDS LÄN</t>
        </is>
      </c>
      <c r="E672" t="inlineStr">
        <is>
          <t>KINDA</t>
        </is>
      </c>
      <c r="G672" t="n">
        <v>2.1</v>
      </c>
      <c r="H672" t="n">
        <v>0</v>
      </c>
      <c r="I672" t="n">
        <v>0</v>
      </c>
      <c r="J672" t="n">
        <v>0</v>
      </c>
      <c r="K672" t="n">
        <v>0</v>
      </c>
      <c r="L672" t="n">
        <v>0</v>
      </c>
      <c r="M672" t="n">
        <v>0</v>
      </c>
      <c r="N672" t="n">
        <v>0</v>
      </c>
      <c r="O672" t="n">
        <v>0</v>
      </c>
      <c r="P672" t="n">
        <v>0</v>
      </c>
      <c r="Q672" t="n">
        <v>0</v>
      </c>
      <c r="R672" s="2" t="inlineStr"/>
    </row>
    <row r="673" ht="15" customHeight="1">
      <c r="A673" t="inlineStr">
        <is>
          <t>A 46639-2023</t>
        </is>
      </c>
      <c r="B673" s="1" t="n">
        <v>45198.43638888889</v>
      </c>
      <c r="C673" s="1" t="n">
        <v>46139</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13297-2026</t>
        </is>
      </c>
      <c r="B674" s="1" t="n">
        <v>46094.31621527778</v>
      </c>
      <c r="C674" s="1" t="n">
        <v>46139</v>
      </c>
      <c r="D674" t="inlineStr">
        <is>
          <t>ÖSTERGÖTLANDS LÄN</t>
        </is>
      </c>
      <c r="E674" t="inlineStr">
        <is>
          <t>KINDA</t>
        </is>
      </c>
      <c r="G674" t="n">
        <v>2.1</v>
      </c>
      <c r="H674" t="n">
        <v>0</v>
      </c>
      <c r="I674" t="n">
        <v>0</v>
      </c>
      <c r="J674" t="n">
        <v>0</v>
      </c>
      <c r="K674" t="n">
        <v>0</v>
      </c>
      <c r="L674" t="n">
        <v>0</v>
      </c>
      <c r="M674" t="n">
        <v>0</v>
      </c>
      <c r="N674" t="n">
        <v>0</v>
      </c>
      <c r="O674" t="n">
        <v>0</v>
      </c>
      <c r="P674" t="n">
        <v>0</v>
      </c>
      <c r="Q674" t="n">
        <v>0</v>
      </c>
      <c r="R674" s="2" t="inlineStr"/>
    </row>
    <row r="675" ht="15" customHeight="1">
      <c r="A675" t="inlineStr">
        <is>
          <t>A 6098-2023</t>
        </is>
      </c>
      <c r="B675" s="1" t="n">
        <v>44964</v>
      </c>
      <c r="C675" s="1" t="n">
        <v>46139</v>
      </c>
      <c r="D675" t="inlineStr">
        <is>
          <t>ÖSTERGÖTLANDS LÄN</t>
        </is>
      </c>
      <c r="E675" t="inlineStr">
        <is>
          <t>KINDA</t>
        </is>
      </c>
      <c r="G675" t="n">
        <v>1.6</v>
      </c>
      <c r="H675" t="n">
        <v>0</v>
      </c>
      <c r="I675" t="n">
        <v>0</v>
      </c>
      <c r="J675" t="n">
        <v>0</v>
      </c>
      <c r="K675" t="n">
        <v>0</v>
      </c>
      <c r="L675" t="n">
        <v>0</v>
      </c>
      <c r="M675" t="n">
        <v>0</v>
      </c>
      <c r="N675" t="n">
        <v>0</v>
      </c>
      <c r="O675" t="n">
        <v>0</v>
      </c>
      <c r="P675" t="n">
        <v>0</v>
      </c>
      <c r="Q675" t="n">
        <v>0</v>
      </c>
      <c r="R675" s="2" t="inlineStr"/>
    </row>
    <row r="676" ht="15" customHeight="1">
      <c r="A676" t="inlineStr">
        <is>
          <t>A 14493-2025</t>
        </is>
      </c>
      <c r="B676" s="1" t="n">
        <v>45741.61278935185</v>
      </c>
      <c r="C676" s="1" t="n">
        <v>46139</v>
      </c>
      <c r="D676" t="inlineStr">
        <is>
          <t>ÖSTERGÖTLANDS LÄN</t>
        </is>
      </c>
      <c r="E676" t="inlineStr">
        <is>
          <t>KINDA</t>
        </is>
      </c>
      <c r="G676" t="n">
        <v>5.1</v>
      </c>
      <c r="H676" t="n">
        <v>0</v>
      </c>
      <c r="I676" t="n">
        <v>0</v>
      </c>
      <c r="J676" t="n">
        <v>0</v>
      </c>
      <c r="K676" t="n">
        <v>0</v>
      </c>
      <c r="L676" t="n">
        <v>0</v>
      </c>
      <c r="M676" t="n">
        <v>0</v>
      </c>
      <c r="N676" t="n">
        <v>0</v>
      </c>
      <c r="O676" t="n">
        <v>0</v>
      </c>
      <c r="P676" t="n">
        <v>0</v>
      </c>
      <c r="Q676" t="n">
        <v>0</v>
      </c>
      <c r="R676" s="2" t="inlineStr"/>
    </row>
    <row r="677" ht="15" customHeight="1">
      <c r="A677" t="inlineStr">
        <is>
          <t>A 13455-2026</t>
        </is>
      </c>
      <c r="B677" s="1" t="n">
        <v>46094.5216087963</v>
      </c>
      <c r="C677" s="1" t="n">
        <v>46139</v>
      </c>
      <c r="D677" t="inlineStr">
        <is>
          <t>ÖSTERGÖTLANDS LÄN</t>
        </is>
      </c>
      <c r="E677" t="inlineStr">
        <is>
          <t>KINDA</t>
        </is>
      </c>
      <c r="G677" t="n">
        <v>1.7</v>
      </c>
      <c r="H677" t="n">
        <v>0</v>
      </c>
      <c r="I677" t="n">
        <v>0</v>
      </c>
      <c r="J677" t="n">
        <v>0</v>
      </c>
      <c r="K677" t="n">
        <v>0</v>
      </c>
      <c r="L677" t="n">
        <v>0</v>
      </c>
      <c r="M677" t="n">
        <v>0</v>
      </c>
      <c r="N677" t="n">
        <v>0</v>
      </c>
      <c r="O677" t="n">
        <v>0</v>
      </c>
      <c r="P677" t="n">
        <v>0</v>
      </c>
      <c r="Q677" t="n">
        <v>0</v>
      </c>
      <c r="R677" s="2" t="inlineStr"/>
    </row>
    <row r="678" ht="15" customHeight="1">
      <c r="A678" t="inlineStr">
        <is>
          <t>A 44543-2021</t>
        </is>
      </c>
      <c r="B678" s="1" t="n">
        <v>44435</v>
      </c>
      <c r="C678" s="1" t="n">
        <v>46139</v>
      </c>
      <c r="D678" t="inlineStr">
        <is>
          <t>ÖSTERGÖTLANDS LÄN</t>
        </is>
      </c>
      <c r="E678" t="inlineStr">
        <is>
          <t>KINDA</t>
        </is>
      </c>
      <c r="G678" t="n">
        <v>10.2</v>
      </c>
      <c r="H678" t="n">
        <v>0</v>
      </c>
      <c r="I678" t="n">
        <v>0</v>
      </c>
      <c r="J678" t="n">
        <v>0</v>
      </c>
      <c r="K678" t="n">
        <v>0</v>
      </c>
      <c r="L678" t="n">
        <v>0</v>
      </c>
      <c r="M678" t="n">
        <v>0</v>
      </c>
      <c r="N678" t="n">
        <v>0</v>
      </c>
      <c r="O678" t="n">
        <v>0</v>
      </c>
      <c r="P678" t="n">
        <v>0</v>
      </c>
      <c r="Q678" t="n">
        <v>0</v>
      </c>
      <c r="R678" s="2" t="inlineStr"/>
    </row>
    <row r="679" ht="15" customHeight="1">
      <c r="A679" t="inlineStr">
        <is>
          <t>A 13291-2026</t>
        </is>
      </c>
      <c r="B679" s="1" t="n">
        <v>46094.29189814815</v>
      </c>
      <c r="C679" s="1" t="n">
        <v>46139</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8410-2025</t>
        </is>
      </c>
      <c r="B680" s="1" t="n">
        <v>45709.39152777778</v>
      </c>
      <c r="C680" s="1" t="n">
        <v>46139</v>
      </c>
      <c r="D680" t="inlineStr">
        <is>
          <t>ÖSTERGÖTLANDS LÄN</t>
        </is>
      </c>
      <c r="E680" t="inlineStr">
        <is>
          <t>KINDA</t>
        </is>
      </c>
      <c r="G680" t="n">
        <v>2.3</v>
      </c>
      <c r="H680" t="n">
        <v>0</v>
      </c>
      <c r="I680" t="n">
        <v>0</v>
      </c>
      <c r="J680" t="n">
        <v>0</v>
      </c>
      <c r="K680" t="n">
        <v>0</v>
      </c>
      <c r="L680" t="n">
        <v>0</v>
      </c>
      <c r="M680" t="n">
        <v>0</v>
      </c>
      <c r="N680" t="n">
        <v>0</v>
      </c>
      <c r="O680" t="n">
        <v>0</v>
      </c>
      <c r="P680" t="n">
        <v>0</v>
      </c>
      <c r="Q680" t="n">
        <v>0</v>
      </c>
      <c r="R680" s="2" t="inlineStr"/>
    </row>
    <row r="681" ht="15" customHeight="1">
      <c r="A681" t="inlineStr">
        <is>
          <t>A 2430-2025</t>
        </is>
      </c>
      <c r="B681" s="1" t="n">
        <v>45674.40616898148</v>
      </c>
      <c r="C681" s="1" t="n">
        <v>46139</v>
      </c>
      <c r="D681" t="inlineStr">
        <is>
          <t>ÖSTERGÖTLANDS LÄN</t>
        </is>
      </c>
      <c r="E681" t="inlineStr">
        <is>
          <t>KINDA</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27966-2023</t>
        </is>
      </c>
      <c r="B682" s="1" t="n">
        <v>45098.70277777778</v>
      </c>
      <c r="C682" s="1" t="n">
        <v>46139</v>
      </c>
      <c r="D682" t="inlineStr">
        <is>
          <t>ÖSTERGÖTLANDS LÄN</t>
        </is>
      </c>
      <c r="E682" t="inlineStr">
        <is>
          <t>KINDA</t>
        </is>
      </c>
      <c r="G682" t="n">
        <v>2.9</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46139</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12461-2024</t>
        </is>
      </c>
      <c r="B684" s="1" t="n">
        <v>45379</v>
      </c>
      <c r="C684" s="1" t="n">
        <v>46139</v>
      </c>
      <c r="D684" t="inlineStr">
        <is>
          <t>ÖSTERGÖTLANDS LÄN</t>
        </is>
      </c>
      <c r="E684" t="inlineStr">
        <is>
          <t>KINDA</t>
        </is>
      </c>
      <c r="G684" t="n">
        <v>1.9</v>
      </c>
      <c r="H684" t="n">
        <v>0</v>
      </c>
      <c r="I684" t="n">
        <v>0</v>
      </c>
      <c r="J684" t="n">
        <v>0</v>
      </c>
      <c r="K684" t="n">
        <v>0</v>
      </c>
      <c r="L684" t="n">
        <v>0</v>
      </c>
      <c r="M684" t="n">
        <v>0</v>
      </c>
      <c r="N684" t="n">
        <v>0</v>
      </c>
      <c r="O684" t="n">
        <v>0</v>
      </c>
      <c r="P684" t="n">
        <v>0</v>
      </c>
      <c r="Q684" t="n">
        <v>0</v>
      </c>
      <c r="R684" s="2" t="inlineStr"/>
    </row>
    <row r="685" ht="15" customHeight="1">
      <c r="A685" t="inlineStr">
        <is>
          <t>A 52991-2023</t>
        </is>
      </c>
      <c r="B685" s="1" t="n">
        <v>45226.62546296296</v>
      </c>
      <c r="C685" s="1" t="n">
        <v>46139</v>
      </c>
      <c r="D685" t="inlineStr">
        <is>
          <t>ÖSTERGÖTLANDS LÄN</t>
        </is>
      </c>
      <c r="E685" t="inlineStr">
        <is>
          <t>KINDA</t>
        </is>
      </c>
      <c r="G685" t="n">
        <v>3.8</v>
      </c>
      <c r="H685" t="n">
        <v>0</v>
      </c>
      <c r="I685" t="n">
        <v>0</v>
      </c>
      <c r="J685" t="n">
        <v>0</v>
      </c>
      <c r="K685" t="n">
        <v>0</v>
      </c>
      <c r="L685" t="n">
        <v>0</v>
      </c>
      <c r="M685" t="n">
        <v>0</v>
      </c>
      <c r="N685" t="n">
        <v>0</v>
      </c>
      <c r="O685" t="n">
        <v>0</v>
      </c>
      <c r="P685" t="n">
        <v>0</v>
      </c>
      <c r="Q685" t="n">
        <v>0</v>
      </c>
      <c r="R685" s="2" t="inlineStr"/>
    </row>
    <row r="686" ht="15" customHeight="1">
      <c r="A686" t="inlineStr">
        <is>
          <t>A 6404-2023</t>
        </is>
      </c>
      <c r="B686" s="1" t="n">
        <v>44965.67148148148</v>
      </c>
      <c r="C686" s="1" t="n">
        <v>46139</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46918-2022</t>
        </is>
      </c>
      <c r="B687" s="1" t="n">
        <v>44851.67681712963</v>
      </c>
      <c r="C687" s="1" t="n">
        <v>46139</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46139</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46139</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8889-2025</t>
        </is>
      </c>
      <c r="B690" s="1" t="n">
        <v>45713.39555555556</v>
      </c>
      <c r="C690" s="1" t="n">
        <v>46139</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29445-2024</t>
        </is>
      </c>
      <c r="B691" s="1" t="n">
        <v>45483.86824074074</v>
      </c>
      <c r="C691" s="1" t="n">
        <v>46139</v>
      </c>
      <c r="D691" t="inlineStr">
        <is>
          <t>ÖSTERGÖTLANDS LÄN</t>
        </is>
      </c>
      <c r="E691" t="inlineStr">
        <is>
          <t>KINDA</t>
        </is>
      </c>
      <c r="G691" t="n">
        <v>1.7</v>
      </c>
      <c r="H691" t="n">
        <v>0</v>
      </c>
      <c r="I691" t="n">
        <v>0</v>
      </c>
      <c r="J691" t="n">
        <v>0</v>
      </c>
      <c r="K691" t="n">
        <v>0</v>
      </c>
      <c r="L691" t="n">
        <v>0</v>
      </c>
      <c r="M691" t="n">
        <v>0</v>
      </c>
      <c r="N691" t="n">
        <v>0</v>
      </c>
      <c r="O691" t="n">
        <v>0</v>
      </c>
      <c r="P691" t="n">
        <v>0</v>
      </c>
      <c r="Q691" t="n">
        <v>0</v>
      </c>
      <c r="R691" s="2" t="inlineStr"/>
    </row>
    <row r="692" ht="15" customHeight="1">
      <c r="A692" t="inlineStr">
        <is>
          <t>A 49337-2024</t>
        </is>
      </c>
      <c r="B692" s="1" t="n">
        <v>45595.59052083334</v>
      </c>
      <c r="C692" s="1" t="n">
        <v>46139</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13352-2022</t>
        </is>
      </c>
      <c r="B693" s="1" t="n">
        <v>44645</v>
      </c>
      <c r="C693" s="1" t="n">
        <v>46139</v>
      </c>
      <c r="D693" t="inlineStr">
        <is>
          <t>ÖSTERGÖTLANDS LÄN</t>
        </is>
      </c>
      <c r="E693" t="inlineStr">
        <is>
          <t>KINDA</t>
        </is>
      </c>
      <c r="G693" t="n">
        <v>0.3</v>
      </c>
      <c r="H693" t="n">
        <v>0</v>
      </c>
      <c r="I693" t="n">
        <v>0</v>
      </c>
      <c r="J693" t="n">
        <v>0</v>
      </c>
      <c r="K693" t="n">
        <v>0</v>
      </c>
      <c r="L693" t="n">
        <v>0</v>
      </c>
      <c r="M693" t="n">
        <v>0</v>
      </c>
      <c r="N693" t="n">
        <v>0</v>
      </c>
      <c r="O693" t="n">
        <v>0</v>
      </c>
      <c r="P693" t="n">
        <v>0</v>
      </c>
      <c r="Q693" t="n">
        <v>0</v>
      </c>
      <c r="R693" s="2" t="inlineStr"/>
    </row>
    <row r="694" ht="15" customHeight="1">
      <c r="A694" t="inlineStr">
        <is>
          <t>A 4236-2024</t>
        </is>
      </c>
      <c r="B694" s="1" t="n">
        <v>45324.44579861111</v>
      </c>
      <c r="C694" s="1" t="n">
        <v>46139</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37830-2023</t>
        </is>
      </c>
      <c r="B695" s="1" t="n">
        <v>45160.34069444444</v>
      </c>
      <c r="C695" s="1" t="n">
        <v>46139</v>
      </c>
      <c r="D695" t="inlineStr">
        <is>
          <t>ÖSTERGÖTLANDS LÄN</t>
        </is>
      </c>
      <c r="E695" t="inlineStr">
        <is>
          <t>KINDA</t>
        </is>
      </c>
      <c r="G695" t="n">
        <v>0.9</v>
      </c>
      <c r="H695" t="n">
        <v>0</v>
      </c>
      <c r="I695" t="n">
        <v>0</v>
      </c>
      <c r="J695" t="n">
        <v>0</v>
      </c>
      <c r="K695" t="n">
        <v>0</v>
      </c>
      <c r="L695" t="n">
        <v>0</v>
      </c>
      <c r="M695" t="n">
        <v>0</v>
      </c>
      <c r="N695" t="n">
        <v>0</v>
      </c>
      <c r="O695" t="n">
        <v>0</v>
      </c>
      <c r="P695" t="n">
        <v>0</v>
      </c>
      <c r="Q695" t="n">
        <v>0</v>
      </c>
      <c r="R695" s="2" t="inlineStr"/>
    </row>
    <row r="696" ht="15" customHeight="1">
      <c r="A696" t="inlineStr">
        <is>
          <t>A 1739-2024</t>
        </is>
      </c>
      <c r="B696" s="1" t="n">
        <v>45307.44446759259</v>
      </c>
      <c r="C696" s="1" t="n">
        <v>46139</v>
      </c>
      <c r="D696" t="inlineStr">
        <is>
          <t>ÖSTERGÖTLANDS LÄN</t>
        </is>
      </c>
      <c r="E696" t="inlineStr">
        <is>
          <t>KINDA</t>
        </is>
      </c>
      <c r="G696" t="n">
        <v>0.7</v>
      </c>
      <c r="H696" t="n">
        <v>0</v>
      </c>
      <c r="I696" t="n">
        <v>0</v>
      </c>
      <c r="J696" t="n">
        <v>0</v>
      </c>
      <c r="K696" t="n">
        <v>0</v>
      </c>
      <c r="L696" t="n">
        <v>0</v>
      </c>
      <c r="M696" t="n">
        <v>0</v>
      </c>
      <c r="N696" t="n">
        <v>0</v>
      </c>
      <c r="O696" t="n">
        <v>0</v>
      </c>
      <c r="P696" t="n">
        <v>0</v>
      </c>
      <c r="Q696" t="n">
        <v>0</v>
      </c>
      <c r="R696" s="2" t="inlineStr"/>
    </row>
    <row r="697" ht="15" customHeight="1">
      <c r="A697" t="inlineStr">
        <is>
          <t>A 46757-2022</t>
        </is>
      </c>
      <c r="B697" s="1" t="n">
        <v>44851</v>
      </c>
      <c r="C697" s="1" t="n">
        <v>46139</v>
      </c>
      <c r="D697" t="inlineStr">
        <is>
          <t>ÖSTERGÖTLANDS LÄN</t>
        </is>
      </c>
      <c r="E697" t="inlineStr">
        <is>
          <t>KINDA</t>
        </is>
      </c>
      <c r="G697" t="n">
        <v>1.8</v>
      </c>
      <c r="H697" t="n">
        <v>0</v>
      </c>
      <c r="I697" t="n">
        <v>0</v>
      </c>
      <c r="J697" t="n">
        <v>0</v>
      </c>
      <c r="K697" t="n">
        <v>0</v>
      </c>
      <c r="L697" t="n">
        <v>0</v>
      </c>
      <c r="M697" t="n">
        <v>0</v>
      </c>
      <c r="N697" t="n">
        <v>0</v>
      </c>
      <c r="O697" t="n">
        <v>0</v>
      </c>
      <c r="P697" t="n">
        <v>0</v>
      </c>
      <c r="Q697" t="n">
        <v>0</v>
      </c>
      <c r="R697" s="2" t="inlineStr"/>
    </row>
    <row r="698" ht="15" customHeight="1">
      <c r="A698" t="inlineStr">
        <is>
          <t>A 35588-2024</t>
        </is>
      </c>
      <c r="B698" s="1" t="n">
        <v>45531.64934027778</v>
      </c>
      <c r="C698" s="1" t="n">
        <v>46139</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12948-2023</t>
        </is>
      </c>
      <c r="B699" s="1" t="n">
        <v>45001.72512731481</v>
      </c>
      <c r="C699" s="1" t="n">
        <v>46139</v>
      </c>
      <c r="D699" t="inlineStr">
        <is>
          <t>ÖSTERGÖTLANDS LÄN</t>
        </is>
      </c>
      <c r="E699" t="inlineStr">
        <is>
          <t>KINDA</t>
        </is>
      </c>
      <c r="G699" t="n">
        <v>0.5</v>
      </c>
      <c r="H699" t="n">
        <v>0</v>
      </c>
      <c r="I699" t="n">
        <v>0</v>
      </c>
      <c r="J699" t="n">
        <v>0</v>
      </c>
      <c r="K699" t="n">
        <v>0</v>
      </c>
      <c r="L699" t="n">
        <v>0</v>
      </c>
      <c r="M699" t="n">
        <v>0</v>
      </c>
      <c r="N699" t="n">
        <v>0</v>
      </c>
      <c r="O699" t="n">
        <v>0</v>
      </c>
      <c r="P699" t="n">
        <v>0</v>
      </c>
      <c r="Q699" t="n">
        <v>0</v>
      </c>
      <c r="R699" s="2" t="inlineStr"/>
    </row>
    <row r="700" ht="15" customHeight="1">
      <c r="A700" t="inlineStr">
        <is>
          <t>A 44203-2021</t>
        </is>
      </c>
      <c r="B700" s="1" t="n">
        <v>44434</v>
      </c>
      <c r="C700" s="1" t="n">
        <v>46139</v>
      </c>
      <c r="D700" t="inlineStr">
        <is>
          <t>ÖSTERGÖTLANDS LÄN</t>
        </is>
      </c>
      <c r="E700" t="inlineStr">
        <is>
          <t>KINDA</t>
        </is>
      </c>
      <c r="F700" t="inlineStr">
        <is>
          <t>Allmännings- och besparingsskogar</t>
        </is>
      </c>
      <c r="G700" t="n">
        <v>12.7</v>
      </c>
      <c r="H700" t="n">
        <v>0</v>
      </c>
      <c r="I700" t="n">
        <v>0</v>
      </c>
      <c r="J700" t="n">
        <v>0</v>
      </c>
      <c r="K700" t="n">
        <v>0</v>
      </c>
      <c r="L700" t="n">
        <v>0</v>
      </c>
      <c r="M700" t="n">
        <v>0</v>
      </c>
      <c r="N700" t="n">
        <v>0</v>
      </c>
      <c r="O700" t="n">
        <v>0</v>
      </c>
      <c r="P700" t="n">
        <v>0</v>
      </c>
      <c r="Q700" t="n">
        <v>0</v>
      </c>
      <c r="R700" s="2" t="inlineStr"/>
    </row>
    <row r="701" ht="15" customHeight="1">
      <c r="A701" t="inlineStr">
        <is>
          <t>A 9568-2023</t>
        </is>
      </c>
      <c r="B701" s="1" t="n">
        <v>44982.5037962963</v>
      </c>
      <c r="C701" s="1" t="n">
        <v>46139</v>
      </c>
      <c r="D701" t="inlineStr">
        <is>
          <t>ÖSTERGÖTLANDS LÄN</t>
        </is>
      </c>
      <c r="E701" t="inlineStr">
        <is>
          <t>KINDA</t>
        </is>
      </c>
      <c r="G701" t="n">
        <v>3</v>
      </c>
      <c r="H701" t="n">
        <v>0</v>
      </c>
      <c r="I701" t="n">
        <v>0</v>
      </c>
      <c r="J701" t="n">
        <v>0</v>
      </c>
      <c r="K701" t="n">
        <v>0</v>
      </c>
      <c r="L701" t="n">
        <v>0</v>
      </c>
      <c r="M701" t="n">
        <v>0</v>
      </c>
      <c r="N701" t="n">
        <v>0</v>
      </c>
      <c r="O701" t="n">
        <v>0</v>
      </c>
      <c r="P701" t="n">
        <v>0</v>
      </c>
      <c r="Q701" t="n">
        <v>0</v>
      </c>
      <c r="R701" s="2" t="inlineStr"/>
    </row>
    <row r="702" ht="15" customHeight="1">
      <c r="A702" t="inlineStr">
        <is>
          <t>A 32764-2023</t>
        </is>
      </c>
      <c r="B702" s="1" t="n">
        <v>45123.60599537037</v>
      </c>
      <c r="C702" s="1" t="n">
        <v>46139</v>
      </c>
      <c r="D702" t="inlineStr">
        <is>
          <t>ÖSTERGÖTLANDS LÄN</t>
        </is>
      </c>
      <c r="E702" t="inlineStr">
        <is>
          <t>KINDA</t>
        </is>
      </c>
      <c r="G702" t="n">
        <v>3.7</v>
      </c>
      <c r="H702" t="n">
        <v>0</v>
      </c>
      <c r="I702" t="n">
        <v>0</v>
      </c>
      <c r="J702" t="n">
        <v>0</v>
      </c>
      <c r="K702" t="n">
        <v>0</v>
      </c>
      <c r="L702" t="n">
        <v>0</v>
      </c>
      <c r="M702" t="n">
        <v>0</v>
      </c>
      <c r="N702" t="n">
        <v>0</v>
      </c>
      <c r="O702" t="n">
        <v>0</v>
      </c>
      <c r="P702" t="n">
        <v>0</v>
      </c>
      <c r="Q702" t="n">
        <v>0</v>
      </c>
      <c r="R702" s="2" t="inlineStr"/>
    </row>
    <row r="703" ht="15" customHeight="1">
      <c r="A703" t="inlineStr">
        <is>
          <t>A 14943-2024</t>
        </is>
      </c>
      <c r="B703" s="1" t="n">
        <v>45398.69101851852</v>
      </c>
      <c r="C703" s="1" t="n">
        <v>46139</v>
      </c>
      <c r="D703" t="inlineStr">
        <is>
          <t>ÖSTERGÖTLANDS LÄN</t>
        </is>
      </c>
      <c r="E703" t="inlineStr">
        <is>
          <t>KINDA</t>
        </is>
      </c>
      <c r="G703" t="n">
        <v>2.3</v>
      </c>
      <c r="H703" t="n">
        <v>0</v>
      </c>
      <c r="I703" t="n">
        <v>0</v>
      </c>
      <c r="J703" t="n">
        <v>0</v>
      </c>
      <c r="K703" t="n">
        <v>0</v>
      </c>
      <c r="L703" t="n">
        <v>0</v>
      </c>
      <c r="M703" t="n">
        <v>0</v>
      </c>
      <c r="N703" t="n">
        <v>0</v>
      </c>
      <c r="O703" t="n">
        <v>0</v>
      </c>
      <c r="P703" t="n">
        <v>0</v>
      </c>
      <c r="Q703" t="n">
        <v>0</v>
      </c>
      <c r="R703" s="2" t="inlineStr"/>
    </row>
    <row r="704" ht="15" customHeight="1">
      <c r="A704" t="inlineStr">
        <is>
          <t>A 20343-2025</t>
        </is>
      </c>
      <c r="B704" s="1" t="n">
        <v>45775</v>
      </c>
      <c r="C704" s="1" t="n">
        <v>46139</v>
      </c>
      <c r="D704" t="inlineStr">
        <is>
          <t>ÖSTERGÖTLANDS LÄN</t>
        </is>
      </c>
      <c r="E704" t="inlineStr">
        <is>
          <t>KINDA</t>
        </is>
      </c>
      <c r="G704" t="n">
        <v>1.5</v>
      </c>
      <c r="H704" t="n">
        <v>0</v>
      </c>
      <c r="I704" t="n">
        <v>0</v>
      </c>
      <c r="J704" t="n">
        <v>0</v>
      </c>
      <c r="K704" t="n">
        <v>0</v>
      </c>
      <c r="L704" t="n">
        <v>0</v>
      </c>
      <c r="M704" t="n">
        <v>0</v>
      </c>
      <c r="N704" t="n">
        <v>0</v>
      </c>
      <c r="O704" t="n">
        <v>0</v>
      </c>
      <c r="P704" t="n">
        <v>0</v>
      </c>
      <c r="Q704" t="n">
        <v>0</v>
      </c>
      <c r="R704" s="2" t="inlineStr"/>
    </row>
    <row r="705" ht="15" customHeight="1">
      <c r="A705" t="inlineStr">
        <is>
          <t>A 51830-2024</t>
        </is>
      </c>
      <c r="B705" s="1" t="n">
        <v>45607.50465277778</v>
      </c>
      <c r="C705" s="1" t="n">
        <v>46139</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12706-2023</t>
        </is>
      </c>
      <c r="B706" s="1" t="n">
        <v>45000.65476851852</v>
      </c>
      <c r="C706" s="1" t="n">
        <v>46139</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24367-2023</t>
        </is>
      </c>
      <c r="B707" s="1" t="n">
        <v>45082.34861111111</v>
      </c>
      <c r="C707" s="1" t="n">
        <v>46139</v>
      </c>
      <c r="D707" t="inlineStr">
        <is>
          <t>ÖSTERGÖTLANDS LÄN</t>
        </is>
      </c>
      <c r="E707" t="inlineStr">
        <is>
          <t>KINDA</t>
        </is>
      </c>
      <c r="G707" t="n">
        <v>1.7</v>
      </c>
      <c r="H707" t="n">
        <v>0</v>
      </c>
      <c r="I707" t="n">
        <v>0</v>
      </c>
      <c r="J707" t="n">
        <v>0</v>
      </c>
      <c r="K707" t="n">
        <v>0</v>
      </c>
      <c r="L707" t="n">
        <v>0</v>
      </c>
      <c r="M707" t="n">
        <v>0</v>
      </c>
      <c r="N707" t="n">
        <v>0</v>
      </c>
      <c r="O707" t="n">
        <v>0</v>
      </c>
      <c r="P707" t="n">
        <v>0</v>
      </c>
      <c r="Q707" t="n">
        <v>0</v>
      </c>
      <c r="R707" s="2" t="inlineStr"/>
    </row>
    <row r="708" ht="15" customHeight="1">
      <c r="A708" t="inlineStr">
        <is>
          <t>A 34730-2022</t>
        </is>
      </c>
      <c r="B708" s="1" t="n">
        <v>44795</v>
      </c>
      <c r="C708" s="1" t="n">
        <v>46139</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37068-2024</t>
        </is>
      </c>
      <c r="B709" s="1" t="n">
        <v>45539.46399305556</v>
      </c>
      <c r="C709" s="1" t="n">
        <v>46139</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19296-2023</t>
        </is>
      </c>
      <c r="B710" s="1" t="n">
        <v>45048</v>
      </c>
      <c r="C710" s="1" t="n">
        <v>46139</v>
      </c>
      <c r="D710" t="inlineStr">
        <is>
          <t>ÖSTERGÖTLANDS LÄN</t>
        </is>
      </c>
      <c r="E710" t="inlineStr">
        <is>
          <t>KINDA</t>
        </is>
      </c>
      <c r="G710" t="n">
        <v>1.5</v>
      </c>
      <c r="H710" t="n">
        <v>0</v>
      </c>
      <c r="I710" t="n">
        <v>0</v>
      </c>
      <c r="J710" t="n">
        <v>0</v>
      </c>
      <c r="K710" t="n">
        <v>0</v>
      </c>
      <c r="L710" t="n">
        <v>0</v>
      </c>
      <c r="M710" t="n">
        <v>0</v>
      </c>
      <c r="N710" t="n">
        <v>0</v>
      </c>
      <c r="O710" t="n">
        <v>0</v>
      </c>
      <c r="P710" t="n">
        <v>0</v>
      </c>
      <c r="Q710" t="n">
        <v>0</v>
      </c>
      <c r="R710" s="2" t="inlineStr"/>
    </row>
    <row r="711" ht="15" customHeight="1">
      <c r="A711" t="inlineStr">
        <is>
          <t>A 27959-2024</t>
        </is>
      </c>
      <c r="B711" s="1" t="n">
        <v>45476.34908564815</v>
      </c>
      <c r="C711" s="1" t="n">
        <v>46139</v>
      </c>
      <c r="D711" t="inlineStr">
        <is>
          <t>ÖSTERGÖTLANDS LÄN</t>
        </is>
      </c>
      <c r="E711" t="inlineStr">
        <is>
          <t>KINDA</t>
        </is>
      </c>
      <c r="G711" t="n">
        <v>0.6</v>
      </c>
      <c r="H711" t="n">
        <v>0</v>
      </c>
      <c r="I711" t="n">
        <v>0</v>
      </c>
      <c r="J711" t="n">
        <v>0</v>
      </c>
      <c r="K711" t="n">
        <v>0</v>
      </c>
      <c r="L711" t="n">
        <v>0</v>
      </c>
      <c r="M711" t="n">
        <v>0</v>
      </c>
      <c r="N711" t="n">
        <v>0</v>
      </c>
      <c r="O711" t="n">
        <v>0</v>
      </c>
      <c r="P711" t="n">
        <v>0</v>
      </c>
      <c r="Q711" t="n">
        <v>0</v>
      </c>
      <c r="R711" s="2" t="inlineStr"/>
    </row>
    <row r="712" ht="15" customHeight="1">
      <c r="A712" t="inlineStr">
        <is>
          <t>A 28043-2024</t>
        </is>
      </c>
      <c r="B712" s="1" t="n">
        <v>45476.50915509259</v>
      </c>
      <c r="C712" s="1" t="n">
        <v>46139</v>
      </c>
      <c r="D712" t="inlineStr">
        <is>
          <t>ÖSTERGÖTLANDS LÄN</t>
        </is>
      </c>
      <c r="E712" t="inlineStr">
        <is>
          <t>KINDA</t>
        </is>
      </c>
      <c r="G712" t="n">
        <v>1.9</v>
      </c>
      <c r="H712" t="n">
        <v>0</v>
      </c>
      <c r="I712" t="n">
        <v>0</v>
      </c>
      <c r="J712" t="n">
        <v>0</v>
      </c>
      <c r="K712" t="n">
        <v>0</v>
      </c>
      <c r="L712" t="n">
        <v>0</v>
      </c>
      <c r="M712" t="n">
        <v>0</v>
      </c>
      <c r="N712" t="n">
        <v>0</v>
      </c>
      <c r="O712" t="n">
        <v>0</v>
      </c>
      <c r="P712" t="n">
        <v>0</v>
      </c>
      <c r="Q712" t="n">
        <v>0</v>
      </c>
      <c r="R712" s="2" t="inlineStr"/>
    </row>
    <row r="713" ht="15" customHeight="1">
      <c r="A713" t="inlineStr">
        <is>
          <t>A 16611-2023</t>
        </is>
      </c>
      <c r="B713" s="1" t="n">
        <v>45030</v>
      </c>
      <c r="C713" s="1" t="n">
        <v>46139</v>
      </c>
      <c r="D713" t="inlineStr">
        <is>
          <t>ÖSTERGÖTLANDS LÄN</t>
        </is>
      </c>
      <c r="E713" t="inlineStr">
        <is>
          <t>KINDA</t>
        </is>
      </c>
      <c r="G713" t="n">
        <v>4.3</v>
      </c>
      <c r="H713" t="n">
        <v>0</v>
      </c>
      <c r="I713" t="n">
        <v>0</v>
      </c>
      <c r="J713" t="n">
        <v>0</v>
      </c>
      <c r="K713" t="n">
        <v>0</v>
      </c>
      <c r="L713" t="n">
        <v>0</v>
      </c>
      <c r="M713" t="n">
        <v>0</v>
      </c>
      <c r="N713" t="n">
        <v>0</v>
      </c>
      <c r="O713" t="n">
        <v>0</v>
      </c>
      <c r="P713" t="n">
        <v>0</v>
      </c>
      <c r="Q713" t="n">
        <v>0</v>
      </c>
      <c r="R713" s="2" t="inlineStr"/>
    </row>
    <row r="714" ht="15" customHeight="1">
      <c r="A714" t="inlineStr">
        <is>
          <t>A 33043-2024</t>
        </is>
      </c>
      <c r="B714" s="1" t="n">
        <v>45517.61326388889</v>
      </c>
      <c r="C714" s="1" t="n">
        <v>46139</v>
      </c>
      <c r="D714" t="inlineStr">
        <is>
          <t>ÖSTERGÖTLANDS LÄN</t>
        </is>
      </c>
      <c r="E714" t="inlineStr">
        <is>
          <t>KINDA</t>
        </is>
      </c>
      <c r="G714" t="n">
        <v>0.8</v>
      </c>
      <c r="H714" t="n">
        <v>0</v>
      </c>
      <c r="I714" t="n">
        <v>0</v>
      </c>
      <c r="J714" t="n">
        <v>0</v>
      </c>
      <c r="K714" t="n">
        <v>0</v>
      </c>
      <c r="L714" t="n">
        <v>0</v>
      </c>
      <c r="M714" t="n">
        <v>0</v>
      </c>
      <c r="N714" t="n">
        <v>0</v>
      </c>
      <c r="O714" t="n">
        <v>0</v>
      </c>
      <c r="P714" t="n">
        <v>0</v>
      </c>
      <c r="Q714" t="n">
        <v>0</v>
      </c>
      <c r="R714" s="2" t="inlineStr"/>
    </row>
    <row r="715" ht="15" customHeight="1">
      <c r="A715" t="inlineStr">
        <is>
          <t>A 5903-2025</t>
        </is>
      </c>
      <c r="B715" s="1" t="n">
        <v>45695.40054398148</v>
      </c>
      <c r="C715" s="1" t="n">
        <v>46139</v>
      </c>
      <c r="D715" t="inlineStr">
        <is>
          <t>ÖSTERGÖTLANDS LÄN</t>
        </is>
      </c>
      <c r="E715" t="inlineStr">
        <is>
          <t>KINDA</t>
        </is>
      </c>
      <c r="G715" t="n">
        <v>1.2</v>
      </c>
      <c r="H715" t="n">
        <v>0</v>
      </c>
      <c r="I715" t="n">
        <v>0</v>
      </c>
      <c r="J715" t="n">
        <v>0</v>
      </c>
      <c r="K715" t="n">
        <v>0</v>
      </c>
      <c r="L715" t="n">
        <v>0</v>
      </c>
      <c r="M715" t="n">
        <v>0</v>
      </c>
      <c r="N715" t="n">
        <v>0</v>
      </c>
      <c r="O715" t="n">
        <v>0</v>
      </c>
      <c r="P715" t="n">
        <v>0</v>
      </c>
      <c r="Q715" t="n">
        <v>0</v>
      </c>
      <c r="R715" s="2" t="inlineStr"/>
    </row>
    <row r="716">
      <c r="A716" t="inlineStr">
        <is>
          <t>A 22703-2023</t>
        </is>
      </c>
      <c r="B716" s="1" t="n">
        <v>45071</v>
      </c>
      <c r="C716" s="1" t="n">
        <v>46139</v>
      </c>
      <c r="D716" t="inlineStr">
        <is>
          <t>ÖSTERGÖTLANDS LÄN</t>
        </is>
      </c>
      <c r="E716" t="inlineStr">
        <is>
          <t>KINDA</t>
        </is>
      </c>
      <c r="G716" t="n">
        <v>1.1</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2026-04-27T11:30:06Z</dcterms:created>
  <dcterms:modified xmlns:dcterms="http://purl.org/dc/terms/" xmlns:xsi="http://www.w3.org/2001/XMLSchema-instance" xsi:type="dcterms:W3CDTF">2026-04-27T11:30:07Z</dcterms:modified>
</cp:coreProperties>
</file>