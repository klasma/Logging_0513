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45658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45658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45658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45658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45658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45658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45658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45658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45658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45658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45658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45658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45658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45658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45658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45658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45658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45658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45658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45658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45658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45658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45658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45658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45658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45658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45658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45658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45658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45658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45658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45658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45658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45658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45658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45658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45658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45658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45658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45658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45658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45658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45658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45658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45658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45658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45658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45658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45658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45658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45658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45658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45658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45658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45658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45658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45658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45658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45658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45658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45658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45658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45658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45658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45658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45658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45658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45658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45658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45658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45658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45658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45658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45658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45658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45658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45658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45658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45658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45658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45658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45658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45658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45658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45658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45658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45658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45658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45658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45658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45658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45658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45658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45658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45658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45658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45658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45658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45658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45658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45658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45658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45658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45658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45658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45658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45658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45658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45658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45658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45658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45658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45658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45658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45658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45658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45658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45658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45658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45658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45658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45658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45658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45658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45658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45658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45658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45658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45658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45658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45658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45658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45658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45658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45658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45658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45658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45658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45658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45658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45658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45658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45658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45658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45658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45658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45658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45658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45658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45658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45658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45658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45658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45658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45658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45658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45658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45658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45658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45658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45658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45658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45658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45658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45658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45658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45658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45658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45658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45658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45658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45658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45658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45658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45658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45658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45658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45658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45658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45658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45658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45658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45658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45658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45658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45658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45658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45658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45658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45658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45658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45658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45658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45658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45658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45658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45658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45658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45658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45658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45658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45658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45658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45658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45658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45658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45658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45658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45658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45658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45658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45658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45658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45658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45658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45658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45658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45658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45658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45658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45658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45658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45658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45658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45658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45658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45658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45658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45658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45658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45658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45658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45658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45658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45658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45658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45658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45658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45658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45658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45658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45658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45658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45658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45658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45658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45658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45658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45658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45658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45658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45658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45658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45658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45658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45658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45658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45658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45658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45658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45658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45658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45658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45658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45658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45658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45658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45658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45658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45658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45658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45658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45658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45658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45658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45658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45658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45658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45658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45658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45658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45658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45658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45658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45658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45658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45658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45658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45658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45658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45658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45658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45658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45658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45658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45658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45658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45658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45658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45658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45658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45658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45658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45658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45658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45658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45658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45658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45658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45658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45658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45658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45658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45658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45658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45658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45658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45658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45658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45658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45658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45658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45658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45658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45658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45658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45658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45658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45658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45658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45658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45658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45658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45658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45658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45658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45658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45658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45658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45658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45658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45658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45658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45658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45658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45658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45658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45658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45658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45658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45658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45658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45658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45658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45658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45658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45658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45658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45658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45658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45658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45658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45658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45658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45658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45658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45658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45658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45658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45658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45658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45658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45658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45658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45658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45658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45658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45658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45658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45658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45658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45658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45658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45658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45658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45658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45658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45658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45658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45658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45658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45658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45658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45658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45658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45658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45658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45658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45658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45658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45658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45658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45658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45658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45658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45658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45658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45658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45658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45658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45658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45658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45658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45658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45658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45658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45658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45658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45658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45658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45658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45658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45658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45658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45658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45658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45658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45658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45658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45658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45658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45658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45658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45658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45658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45658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45658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45658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45658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45658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45658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45658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45658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45658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45658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45658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45658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45658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45658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45658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45658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45658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45658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45658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45658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45658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45658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45658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45658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45658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45658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45658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45658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45658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45658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45658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45658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45658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45658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45658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45658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45658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45658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45658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45658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45658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45658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45658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45658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45658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45658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45658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45658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45658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45658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45658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45658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45658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45658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45658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45658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45658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45658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45658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45658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45658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45658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45658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45658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45658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45658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45658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45658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45658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45658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45658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45658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45658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45658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45658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45658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45658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45658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45658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45658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45658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45658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45658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45658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45658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45658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45658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45658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45658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45658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45658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45658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45658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45658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45658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45658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45658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45658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45658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45658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45658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45658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45658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45658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45658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45658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45658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45658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45658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45658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45658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45658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45658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45658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45658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45658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45658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45658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45658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45658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45658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45658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45658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45658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45658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45658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45658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45658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45658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45658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45658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45658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45658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45658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45658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45658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45658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45658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45658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45658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45658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45658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45658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45658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45658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45658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45658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45658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45658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45658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45658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45658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45658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45658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45658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45658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45658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45658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45658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45658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45658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45658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45658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45658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45658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45658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45658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45658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45658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45658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45658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45658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45658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45658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45658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45658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45658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45658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45658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45658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45658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45658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45658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45658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45658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45658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45658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45658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45658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45658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45658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45658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45658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45658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45658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45658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45658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45658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45658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45658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45658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45658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45658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45658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45658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45658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45658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45658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45658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45658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45658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45658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45658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45658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45658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45658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45658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45658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45658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45658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45658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45658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45658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45658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45658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45658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45658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45658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45658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45658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45658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45658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45658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45658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45658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45658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45658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45658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45658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45658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45658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45658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45658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45658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45658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45658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45658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45658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45658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45658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45658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45658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45658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45658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45658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45658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45658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45658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45658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45658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45658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45658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45658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45658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45658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45658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45658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45658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45658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45658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45658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45658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45658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45658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45658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45658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45658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45658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45658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45658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45658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45658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45658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45658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45658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45658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45658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45658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45658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45658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45658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45658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45658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45658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45658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45658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45658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45658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45658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45658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45658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45658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45658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45658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45658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45658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45658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45658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45658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45658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45658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45658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45658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45658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45658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45658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45658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45658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45658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45658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45658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45658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45658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45658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45658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45658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45658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45658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45658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45658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45658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45658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45658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45658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45658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45658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45658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45658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45658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45658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45658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45658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45658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45658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45658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45658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45658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45658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45658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45658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45658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45658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45658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45658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45658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45658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45658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45658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45658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45658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45658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45658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45658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45658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45658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45658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45658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45658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45658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45658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45658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45658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45658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45658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45658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45658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45658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45658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45658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45658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45658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45658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45658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45658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45658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45658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45658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45658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45658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45658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45658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45658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45658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45658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45658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45658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45658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45658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45658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45658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45658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45658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45658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45658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45658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45658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45658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45658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45658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45658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45658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45658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45658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45658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45658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45658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45658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45658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45658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45658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45658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45658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45658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45658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45658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45658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45658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45658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45658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45658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45658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45658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45658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45658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45658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45658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45658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45658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45658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45658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45658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45658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45658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45658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45658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45658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45658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45658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45658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45658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45658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45658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45658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45658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45658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45658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45658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45658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45658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45658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45658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45658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45658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45658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45658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45658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45658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45658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45658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45658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45658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45658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45658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45658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45658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45658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45658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45658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45658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45658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45658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45658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45658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45658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45658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45658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45658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45658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45658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45658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45658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45658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45658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45658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45658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45658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45658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45658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45658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45658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45658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45658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45658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45658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45658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45658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45658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45658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45658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45658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45658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45658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45658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45658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45658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45658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45658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45658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45658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45658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45658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45658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45658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45658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45658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45658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45658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45658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45658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45658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45658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45658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45658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45658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45658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45658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45658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45658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45658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45658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45658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45658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45658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45658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45658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45658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45658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45658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45658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45658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45658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45658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45658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45658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45658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45658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45658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45658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45658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45658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45658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45658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45658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45658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45658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45658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45658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45658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45658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45658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45658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45658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45658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45658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45658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45658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45658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45658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45658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45658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45658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45658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45658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45658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45658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45658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45658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45658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45658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45658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45658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45658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45658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45658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45658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45658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45658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45658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45658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45658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45658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45658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45658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45658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45658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45658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45658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45658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45658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45658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45658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45658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45658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45658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45658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45658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45658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45658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45658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45658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45658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45658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45658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45658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45658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45658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45658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45658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45658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45658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45658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45658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45658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45658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45658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45658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45658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45658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45658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45658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45658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45658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45658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45658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45658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45658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45658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45658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45658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45658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45658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45658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45658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45658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45658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45658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45658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45658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45658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45658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45658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45658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45658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45658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45658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45658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45658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45658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45658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45658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45658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45658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45658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45658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45658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45658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45658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45658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45658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45658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45658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45658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45658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45658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45658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45658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45658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45658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45658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45658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45658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45658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45658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45658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45658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45658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45658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45658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45658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45658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45658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45658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45658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45658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45658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45658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45658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45658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45658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45658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45658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45658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45658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45658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45658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45658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45658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45658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45658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45658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45658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45658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45658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45658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45658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45658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45658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45658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45658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45658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45658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45658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45658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45658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45658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45658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45658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45658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45658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45658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45658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45658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45658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45658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45658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45658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45658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45658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45658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45658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45658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45658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45658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45658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45658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45658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45658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45658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45658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45658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45658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45658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45658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45658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45658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45658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45658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45658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45658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45658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45658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45658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45658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45658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45658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45658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45658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45658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45658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45658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45658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45658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45658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45658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45658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45658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45658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45658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45658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45658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45658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45658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45658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45658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45658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45658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45658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45658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45658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45658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45658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45658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45658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45658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45658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45658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45658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45658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45658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45658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45658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45658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56038-2024</t>
        </is>
      </c>
      <c r="B1249" s="1" t="n">
        <v>45624</v>
      </c>
      <c r="C1249" s="1" t="n">
        <v>45658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45658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45658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56497-2024</t>
        </is>
      </c>
      <c r="B1252" s="1" t="n">
        <v>45625</v>
      </c>
      <c r="C1252" s="1" t="n">
        <v>45658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56483-2024</t>
        </is>
      </c>
      <c r="B1253" s="1" t="n">
        <v>45625</v>
      </c>
      <c r="C1253" s="1" t="n">
        <v>45658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45658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58228-2024</t>
        </is>
      </c>
      <c r="B1255" s="1" t="n">
        <v>45632</v>
      </c>
      <c r="C1255" s="1" t="n">
        <v>45658</v>
      </c>
      <c r="D1255" t="inlineStr">
        <is>
          <t>ÖSTERGÖTLANDS LÄN</t>
        </is>
      </c>
      <c r="E1255" t="inlineStr">
        <is>
          <t>KINDA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58289-2024</t>
        </is>
      </c>
      <c r="B1256" s="1" t="n">
        <v>45632</v>
      </c>
      <c r="C1256" s="1" t="n">
        <v>45658</v>
      </c>
      <c r="D1256" t="inlineStr">
        <is>
          <t>ÖSTERGÖTLANDS LÄN</t>
        </is>
      </c>
      <c r="E1256" t="inlineStr">
        <is>
          <t>KINDA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45658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58231-2024</t>
        </is>
      </c>
      <c r="B1258" s="1" t="n">
        <v>45632</v>
      </c>
      <c r="C1258" s="1" t="n">
        <v>45658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45658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58738-2024</t>
        </is>
      </c>
      <c r="B1260" s="1" t="n">
        <v>45635</v>
      </c>
      <c r="C1260" s="1" t="n">
        <v>45658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HYPERLINK("https://klasma.github.io/Logging_0513/knärot/A 58738-2024 karta knärot.png", "A 58738-2024")</f>
        <v/>
      </c>
      <c r="V1260">
        <f>HYPERLINK("https://klasma.github.io/Logging_0513/klagomål/A 58738-2024 FSC-klagomål.docx", "A 58738-2024")</f>
        <v/>
      </c>
      <c r="W1260">
        <f>HYPERLINK("https://klasma.github.io/Logging_0513/klagomålsmail/A 58738-2024 FSC-klagomål mail.docx", "A 58738-2024")</f>
        <v/>
      </c>
      <c r="X1260">
        <f>HYPERLINK("https://klasma.github.io/Logging_0513/tillsyn/A 58738-2024 tillsynsbegäran.docx", "A 58738-2024")</f>
        <v/>
      </c>
      <c r="Y1260">
        <f>HYPERLINK("https://klasma.github.io/Logging_0513/tillsynsmail/A 58738-2024 tillsynsbegäran mail.docx", "A 58738-2024")</f>
        <v/>
      </c>
    </row>
    <row r="1261" ht="15" customHeight="1">
      <c r="A1261" t="inlineStr">
        <is>
          <t>A 59004-2024</t>
        </is>
      </c>
      <c r="B1261" s="1" t="n">
        <v>45636</v>
      </c>
      <c r="C1261" s="1" t="n">
        <v>45658</v>
      </c>
      <c r="D1261" t="inlineStr">
        <is>
          <t>ÖSTERGÖTLANDS LÄN</t>
        </is>
      </c>
      <c r="E1261" t="inlineStr">
        <is>
          <t>KINDA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58951-2024</t>
        </is>
      </c>
      <c r="B1262" s="1" t="n">
        <v>45636</v>
      </c>
      <c r="C1262" s="1" t="n">
        <v>45658</v>
      </c>
      <c r="D1262" t="inlineStr">
        <is>
          <t>ÖSTERGÖTLANDS LÄN</t>
        </is>
      </c>
      <c r="E1262" t="inlineStr">
        <is>
          <t>KINDA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60305-2024</t>
        </is>
      </c>
      <c r="B1263" s="1" t="n">
        <v>45643</v>
      </c>
      <c r="C1263" s="1" t="n">
        <v>45658</v>
      </c>
      <c r="D1263" t="inlineStr">
        <is>
          <t>ÖSTERGÖTLANDS LÄN</t>
        </is>
      </c>
      <c r="E1263" t="inlineStr">
        <is>
          <t>KINDA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61061-2024</t>
        </is>
      </c>
      <c r="B1264" s="1" t="n">
        <v>45645</v>
      </c>
      <c r="C1264" s="1" t="n">
        <v>45658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61061-2024 karta knärot.png", "A 61061-2024")</f>
        <v/>
      </c>
      <c r="V1264">
        <f>HYPERLINK("https://klasma.github.io/Logging_0513/klagomål/A 61061-2024 FSC-klagomål.docx", "A 61061-2024")</f>
        <v/>
      </c>
      <c r="W1264">
        <f>HYPERLINK("https://klasma.github.io/Logging_0513/klagomålsmail/A 61061-2024 FSC-klagomål mail.docx", "A 61061-2024")</f>
        <v/>
      </c>
      <c r="X1264">
        <f>HYPERLINK("https://klasma.github.io/Logging_0513/tillsyn/A 61061-2024 tillsynsbegäran.docx", "A 61061-2024")</f>
        <v/>
      </c>
      <c r="Y1264">
        <f>HYPERLINK("https://klasma.github.io/Logging_0513/tillsynsmail/A 61061-2024 tillsynsbegäran mail.docx", "A 61061-2024")</f>
        <v/>
      </c>
    </row>
    <row r="1265" ht="15" customHeight="1">
      <c r="A1265" t="inlineStr">
        <is>
          <t>A 61543-2024</t>
        </is>
      </c>
      <c r="B1265" s="1" t="n">
        <v>45646</v>
      </c>
      <c r="C1265" s="1" t="n">
        <v>45658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61544-2024</t>
        </is>
      </c>
      <c r="B1266" s="1" t="n">
        <v>45646</v>
      </c>
      <c r="C1266" s="1" t="n">
        <v>45658</v>
      </c>
      <c r="D1266" t="inlineStr">
        <is>
          <t>ÖSTERGÖTLANDS LÄN</t>
        </is>
      </c>
      <c r="E1266" t="inlineStr">
        <is>
          <t>KINDA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2025-01-01T19:44:45Z</dcterms:created>
  <dcterms:modified xmlns:dcterms="http://purl.org/dc/terms/" xmlns:xsi="http://www.w3.org/2001/XMLSchema-instance" xsi:type="dcterms:W3CDTF">2025-01-01T19:44:46Z</dcterms:modified>
</cp:coreProperties>
</file>