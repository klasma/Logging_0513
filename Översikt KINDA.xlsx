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46083</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46083</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46083</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46083</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46083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46083</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46083</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46083</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46083</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46083</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46083</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46083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46083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53708-2025</t>
        </is>
      </c>
      <c r="B24" s="1" t="n">
        <v>45960.61328703703</v>
      </c>
      <c r="C24" s="1" t="n">
        <v>46083</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46154-2023</t>
        </is>
      </c>
      <c r="B25" s="1" t="n">
        <v>45196</v>
      </c>
      <c r="C25" s="1" t="n">
        <v>46083</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46083</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37068-2025</t>
        </is>
      </c>
      <c r="B27" s="1" t="n">
        <v>45875</v>
      </c>
      <c r="C27" s="1" t="n">
        <v>46083</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46083</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22006-2025</t>
        </is>
      </c>
      <c r="B29" s="1" t="n">
        <v>45784.71938657408</v>
      </c>
      <c r="C29" s="1" t="n">
        <v>46083</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46083</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46083</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46083</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46083</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46083</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46083</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46083</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46083</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31824-2025</t>
        </is>
      </c>
      <c r="B38" s="1" t="n">
        <v>45834.58208333333</v>
      </c>
      <c r="C38" s="1" t="n">
        <v>46083</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33595-2025</t>
        </is>
      </c>
      <c r="B39" s="1" t="n">
        <v>45841.6012962963</v>
      </c>
      <c r="C39" s="1" t="n">
        <v>46083</v>
      </c>
      <c r="D39" t="inlineStr">
        <is>
          <t>ÖSTERGÖTLANDS LÄN</t>
        </is>
      </c>
      <c r="E39" t="inlineStr">
        <is>
          <t>KINDA</t>
        </is>
      </c>
      <c r="G39" t="n">
        <v>2.5</v>
      </c>
      <c r="H39" t="n">
        <v>1</v>
      </c>
      <c r="I39" t="n">
        <v>0</v>
      </c>
      <c r="J39" t="n">
        <v>0</v>
      </c>
      <c r="K39" t="n">
        <v>0</v>
      </c>
      <c r="L39" t="n">
        <v>0</v>
      </c>
      <c r="M39" t="n">
        <v>0</v>
      </c>
      <c r="N39" t="n">
        <v>0</v>
      </c>
      <c r="O39" t="n">
        <v>0</v>
      </c>
      <c r="P39" t="n">
        <v>0</v>
      </c>
      <c r="Q39" t="n">
        <v>1</v>
      </c>
      <c r="R39" s="2" t="inlineStr">
        <is>
          <t>Grönvit nattviol</t>
        </is>
      </c>
      <c r="S39">
        <f>HYPERLINK("https://klasma.github.io/Logging_0513/artfynd/A 33595-2025 artfynd.xlsx", "A 33595-2025")</f>
        <v/>
      </c>
      <c r="T39">
        <f>HYPERLINK("https://klasma.github.io/Logging_0513/kartor/A 33595-2025 karta.png", "A 33595-2025")</f>
        <v/>
      </c>
      <c r="V39">
        <f>HYPERLINK("https://klasma.github.io/Logging_0513/klagomål/A 33595-2025 FSC-klagomål.docx", "A 33595-2025")</f>
        <v/>
      </c>
      <c r="W39">
        <f>HYPERLINK("https://klasma.github.io/Logging_0513/klagomålsmail/A 33595-2025 FSC-klagomål mail.docx", "A 33595-2025")</f>
        <v/>
      </c>
      <c r="X39">
        <f>HYPERLINK("https://klasma.github.io/Logging_0513/tillsyn/A 33595-2025 tillsynsbegäran.docx", "A 33595-2025")</f>
        <v/>
      </c>
      <c r="Y39">
        <f>HYPERLINK("https://klasma.github.io/Logging_0513/tillsynsmail/A 33595-2025 tillsynsbegäran mail.docx", "A 33595-2025")</f>
        <v/>
      </c>
    </row>
    <row r="40" ht="15" customHeight="1">
      <c r="A40" t="inlineStr">
        <is>
          <t>A 3417-2025</t>
        </is>
      </c>
      <c r="B40" s="1" t="n">
        <v>45680.41096064815</v>
      </c>
      <c r="C40" s="1" t="n">
        <v>46083</v>
      </c>
      <c r="D40" t="inlineStr">
        <is>
          <t>ÖSTERGÖTLANDS LÄN</t>
        </is>
      </c>
      <c r="E40" t="inlineStr">
        <is>
          <t>KINDA</t>
        </is>
      </c>
      <c r="G40" t="n">
        <v>1.1</v>
      </c>
      <c r="H40" t="n">
        <v>0</v>
      </c>
      <c r="I40" t="n">
        <v>1</v>
      </c>
      <c r="J40" t="n">
        <v>0</v>
      </c>
      <c r="K40" t="n">
        <v>0</v>
      </c>
      <c r="L40" t="n">
        <v>0</v>
      </c>
      <c r="M40" t="n">
        <v>0</v>
      </c>
      <c r="N40" t="n">
        <v>0</v>
      </c>
      <c r="O40" t="n">
        <v>0</v>
      </c>
      <c r="P40" t="n">
        <v>0</v>
      </c>
      <c r="Q40" t="n">
        <v>1</v>
      </c>
      <c r="R40" s="2" t="inlineStr">
        <is>
          <t>Svart trolldruva</t>
        </is>
      </c>
      <c r="S40">
        <f>HYPERLINK("https://klasma.github.io/Logging_0513/artfynd/A 3417-2025 artfynd.xlsx", "A 3417-2025")</f>
        <v/>
      </c>
      <c r="T40">
        <f>HYPERLINK("https://klasma.github.io/Logging_0513/kartor/A 3417-2025 karta.png", "A 3417-2025")</f>
        <v/>
      </c>
      <c r="V40">
        <f>HYPERLINK("https://klasma.github.io/Logging_0513/klagomål/A 3417-2025 FSC-klagomål.docx", "A 3417-2025")</f>
        <v/>
      </c>
      <c r="W40">
        <f>HYPERLINK("https://klasma.github.io/Logging_0513/klagomålsmail/A 3417-2025 FSC-klagomål mail.docx", "A 3417-2025")</f>
        <v/>
      </c>
      <c r="X40">
        <f>HYPERLINK("https://klasma.github.io/Logging_0513/tillsyn/A 3417-2025 tillsynsbegäran.docx", "A 3417-2025")</f>
        <v/>
      </c>
      <c r="Y40">
        <f>HYPERLINK("https://klasma.github.io/Logging_0513/tillsynsmail/A 3417-2025 tillsynsbegäran mail.docx", "A 3417-2025")</f>
        <v/>
      </c>
    </row>
    <row r="41" ht="15" customHeight="1">
      <c r="A41" t="inlineStr">
        <is>
          <t>A 24071-2025</t>
        </is>
      </c>
      <c r="B41" s="1" t="n">
        <v>45796.54400462963</v>
      </c>
      <c r="C41" s="1" t="n">
        <v>46083</v>
      </c>
      <c r="D41" t="inlineStr">
        <is>
          <t>ÖSTERGÖTLANDS LÄN</t>
        </is>
      </c>
      <c r="E41" t="inlineStr">
        <is>
          <t>KINDA</t>
        </is>
      </c>
      <c r="G41" t="n">
        <v>3.1</v>
      </c>
      <c r="H41" t="n">
        <v>0</v>
      </c>
      <c r="I41" t="n">
        <v>0</v>
      </c>
      <c r="J41" t="n">
        <v>0</v>
      </c>
      <c r="K41" t="n">
        <v>1</v>
      </c>
      <c r="L41" t="n">
        <v>0</v>
      </c>
      <c r="M41" t="n">
        <v>0</v>
      </c>
      <c r="N41" t="n">
        <v>0</v>
      </c>
      <c r="O41" t="n">
        <v>1</v>
      </c>
      <c r="P41" t="n">
        <v>1</v>
      </c>
      <c r="Q41" t="n">
        <v>1</v>
      </c>
      <c r="R41" s="2" t="inlineStr">
        <is>
          <t>Mörk ängsmaskros</t>
        </is>
      </c>
      <c r="S41">
        <f>HYPERLINK("https://klasma.github.io/Logging_0513/artfynd/A 24071-2025 artfynd.xlsx", "A 24071-2025")</f>
        <v/>
      </c>
      <c r="T41">
        <f>HYPERLINK("https://klasma.github.io/Logging_0513/kartor/A 24071-2025 karta.png", "A 24071-2025")</f>
        <v/>
      </c>
      <c r="V41">
        <f>HYPERLINK("https://klasma.github.io/Logging_0513/klagomål/A 24071-2025 FSC-klagomål.docx", "A 24071-2025")</f>
        <v/>
      </c>
      <c r="W41">
        <f>HYPERLINK("https://klasma.github.io/Logging_0513/klagomålsmail/A 24071-2025 FSC-klagomål mail.docx", "A 24071-2025")</f>
        <v/>
      </c>
      <c r="X41">
        <f>HYPERLINK("https://klasma.github.io/Logging_0513/tillsyn/A 24071-2025 tillsynsbegäran.docx", "A 24071-2025")</f>
        <v/>
      </c>
      <c r="Y41">
        <f>HYPERLINK("https://klasma.github.io/Logging_0513/tillsynsmail/A 24071-2025 tillsynsbegäran mail.docx", "A 24071-2025")</f>
        <v/>
      </c>
    </row>
    <row r="42" ht="15" customHeight="1">
      <c r="A42" t="inlineStr">
        <is>
          <t>A 57522-2024</t>
        </is>
      </c>
      <c r="B42" s="1" t="n">
        <v>45630.41168981481</v>
      </c>
      <c r="C42" s="1" t="n">
        <v>46083</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46083</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46083</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46083</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46083</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46083</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44552-2021</t>
        </is>
      </c>
      <c r="B48" s="1" t="n">
        <v>44435</v>
      </c>
      <c r="C48" s="1" t="n">
        <v>46083</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46083</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52899-2025</t>
        </is>
      </c>
      <c r="B50" s="1" t="n">
        <v>45957.58908564815</v>
      </c>
      <c r="C50" s="1" t="n">
        <v>46083</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52631-2025</t>
        </is>
      </c>
      <c r="B51" s="1" t="n">
        <v>45954.71739583334</v>
      </c>
      <c r="C51" s="1" t="n">
        <v>46083</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46083</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46083</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58113-2025</t>
        </is>
      </c>
      <c r="B54" s="1" t="n">
        <v>45982.6</v>
      </c>
      <c r="C54" s="1" t="n">
        <v>46083</v>
      </c>
      <c r="D54" t="inlineStr">
        <is>
          <t>ÖSTERGÖTLANDS LÄN</t>
        </is>
      </c>
      <c r="E54" t="inlineStr">
        <is>
          <t>KINDA</t>
        </is>
      </c>
      <c r="F54" t="inlineStr">
        <is>
          <t>Övriga Aktiebolag</t>
        </is>
      </c>
      <c r="G54" t="n">
        <v>5.2</v>
      </c>
      <c r="H54" t="n">
        <v>0</v>
      </c>
      <c r="I54" t="n">
        <v>0</v>
      </c>
      <c r="J54" t="n">
        <v>0</v>
      </c>
      <c r="K54" t="n">
        <v>0</v>
      </c>
      <c r="L54" t="n">
        <v>1</v>
      </c>
      <c r="M54" t="n">
        <v>0</v>
      </c>
      <c r="N54" t="n">
        <v>0</v>
      </c>
      <c r="O54" t="n">
        <v>1</v>
      </c>
      <c r="P54" t="n">
        <v>1</v>
      </c>
      <c r="Q54" t="n">
        <v>1</v>
      </c>
      <c r="R54" s="2" t="inlineStr">
        <is>
          <t>Ask</t>
        </is>
      </c>
      <c r="S54">
        <f>HYPERLINK("https://klasma.github.io/Logging_0513/artfynd/A 58113-2025 artfynd.xlsx", "A 58113-2025")</f>
        <v/>
      </c>
      <c r="T54">
        <f>HYPERLINK("https://klasma.github.io/Logging_0513/kartor/A 58113-2025 karta.png", "A 58113-2025")</f>
        <v/>
      </c>
      <c r="V54">
        <f>HYPERLINK("https://klasma.github.io/Logging_0513/klagomål/A 58113-2025 FSC-klagomål.docx", "A 58113-2025")</f>
        <v/>
      </c>
      <c r="W54">
        <f>HYPERLINK("https://klasma.github.io/Logging_0513/klagomålsmail/A 58113-2025 FSC-klagomål mail.docx", "A 58113-2025")</f>
        <v/>
      </c>
      <c r="X54">
        <f>HYPERLINK("https://klasma.github.io/Logging_0513/tillsyn/A 58113-2025 tillsynsbegäran.docx", "A 58113-2025")</f>
        <v/>
      </c>
      <c r="Y54">
        <f>HYPERLINK("https://klasma.github.io/Logging_0513/tillsynsmail/A 58113-2025 tillsynsbegäran mail.docx", "A 58113-2025")</f>
        <v/>
      </c>
    </row>
    <row r="55" ht="15" customHeight="1">
      <c r="A55" t="inlineStr">
        <is>
          <t>A 29514-2024</t>
        </is>
      </c>
      <c r="B55" s="1" t="n">
        <v>45484</v>
      </c>
      <c r="C55" s="1" t="n">
        <v>46083</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46083</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46083</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46083</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61704-2025</t>
        </is>
      </c>
      <c r="B59" s="1" t="n">
        <v>46002.5483912037</v>
      </c>
      <c r="C59" s="1" t="n">
        <v>46083</v>
      </c>
      <c r="D59" t="inlineStr">
        <is>
          <t>ÖSTERGÖTLANDS LÄN</t>
        </is>
      </c>
      <c r="E59" t="inlineStr">
        <is>
          <t>KINDA</t>
        </is>
      </c>
      <c r="G59" t="n">
        <v>2.3</v>
      </c>
      <c r="H59" t="n">
        <v>0</v>
      </c>
      <c r="I59" t="n">
        <v>1</v>
      </c>
      <c r="J59" t="n">
        <v>0</v>
      </c>
      <c r="K59" t="n">
        <v>0</v>
      </c>
      <c r="L59" t="n">
        <v>0</v>
      </c>
      <c r="M59" t="n">
        <v>0</v>
      </c>
      <c r="N59" t="n">
        <v>0</v>
      </c>
      <c r="O59" t="n">
        <v>0</v>
      </c>
      <c r="P59" t="n">
        <v>0</v>
      </c>
      <c r="Q59" t="n">
        <v>1</v>
      </c>
      <c r="R59" s="2" t="inlineStr">
        <is>
          <t>Sårläka</t>
        </is>
      </c>
      <c r="S59">
        <f>HYPERLINK("https://klasma.github.io/Logging_0513/artfynd/A 61704-2025 artfynd.xlsx", "A 61704-2025")</f>
        <v/>
      </c>
      <c r="T59">
        <f>HYPERLINK("https://klasma.github.io/Logging_0513/kartor/A 61704-2025 karta.png", "A 61704-2025")</f>
        <v/>
      </c>
      <c r="V59">
        <f>HYPERLINK("https://klasma.github.io/Logging_0513/klagomål/A 61704-2025 FSC-klagomål.docx", "A 61704-2025")</f>
        <v/>
      </c>
      <c r="W59">
        <f>HYPERLINK("https://klasma.github.io/Logging_0513/klagomålsmail/A 61704-2025 FSC-klagomål mail.docx", "A 61704-2025")</f>
        <v/>
      </c>
      <c r="X59">
        <f>HYPERLINK("https://klasma.github.io/Logging_0513/tillsyn/A 61704-2025 tillsynsbegäran.docx", "A 61704-2025")</f>
        <v/>
      </c>
      <c r="Y59">
        <f>HYPERLINK("https://klasma.github.io/Logging_0513/tillsynsmail/A 61704-2025 tillsynsbegäran mail.docx", "A 61704-2025")</f>
        <v/>
      </c>
    </row>
    <row r="60" ht="15" customHeight="1">
      <c r="A60" t="inlineStr">
        <is>
          <t>A 46145-2023</t>
        </is>
      </c>
      <c r="B60" s="1" t="n">
        <v>45196.57292824074</v>
      </c>
      <c r="C60" s="1" t="n">
        <v>46083</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8356-2026</t>
        </is>
      </c>
      <c r="B61" s="1" t="n">
        <v>46064.65232638889</v>
      </c>
      <c r="C61" s="1" t="n">
        <v>46083</v>
      </c>
      <c r="D61" t="inlineStr">
        <is>
          <t>ÖSTERGÖTLANDS LÄN</t>
        </is>
      </c>
      <c r="E61" t="inlineStr">
        <is>
          <t>KINDA</t>
        </is>
      </c>
      <c r="G61" t="n">
        <v>6</v>
      </c>
      <c r="H61" t="n">
        <v>1</v>
      </c>
      <c r="I61" t="n">
        <v>0</v>
      </c>
      <c r="J61" t="n">
        <v>0</v>
      </c>
      <c r="K61" t="n">
        <v>1</v>
      </c>
      <c r="L61" t="n">
        <v>0</v>
      </c>
      <c r="M61" t="n">
        <v>0</v>
      </c>
      <c r="N61" t="n">
        <v>0</v>
      </c>
      <c r="O61" t="n">
        <v>1</v>
      </c>
      <c r="P61" t="n">
        <v>1</v>
      </c>
      <c r="Q61" t="n">
        <v>1</v>
      </c>
      <c r="R61" s="2" t="inlineStr">
        <is>
          <t>Knärot</t>
        </is>
      </c>
      <c r="S61">
        <f>HYPERLINK("https://klasma.github.io/Logging_0513/artfynd/A 8356-2026 artfynd.xlsx", "A 8356-2026")</f>
        <v/>
      </c>
      <c r="T61">
        <f>HYPERLINK("https://klasma.github.io/Logging_0513/kartor/A 8356-2026 karta.png", "A 8356-2026")</f>
        <v/>
      </c>
      <c r="U61">
        <f>HYPERLINK("https://klasma.github.io/Logging_0513/knärot/A 8356-2026 karta knärot.png", "A 8356-2026")</f>
        <v/>
      </c>
      <c r="V61">
        <f>HYPERLINK("https://klasma.github.io/Logging_0513/klagomål/A 8356-2026 FSC-klagomål.docx", "A 8356-2026")</f>
        <v/>
      </c>
      <c r="W61">
        <f>HYPERLINK("https://klasma.github.io/Logging_0513/klagomålsmail/A 8356-2026 FSC-klagomål mail.docx", "A 8356-2026")</f>
        <v/>
      </c>
      <c r="X61">
        <f>HYPERLINK("https://klasma.github.io/Logging_0513/tillsyn/A 8356-2026 tillsynsbegäran.docx", "A 8356-2026")</f>
        <v/>
      </c>
      <c r="Y61">
        <f>HYPERLINK("https://klasma.github.io/Logging_0513/tillsynsmail/A 8356-2026 tillsynsbegäran mail.docx", "A 8356-2026")</f>
        <v/>
      </c>
    </row>
    <row r="62" ht="15" customHeight="1">
      <c r="A62" t="inlineStr">
        <is>
          <t>A 145-2024</t>
        </is>
      </c>
      <c r="B62" s="1" t="n">
        <v>45294</v>
      </c>
      <c r="C62" s="1" t="n">
        <v>46083</v>
      </c>
      <c r="D62" t="inlineStr">
        <is>
          <t>ÖSTERGÖTLANDS LÄN</t>
        </is>
      </c>
      <c r="E62" t="inlineStr">
        <is>
          <t>KINDA</t>
        </is>
      </c>
      <c r="G62" t="n">
        <v>4.9</v>
      </c>
      <c r="H62" t="n">
        <v>0</v>
      </c>
      <c r="I62" t="n">
        <v>0</v>
      </c>
      <c r="J62" t="n">
        <v>1</v>
      </c>
      <c r="K62" t="n">
        <v>0</v>
      </c>
      <c r="L62" t="n">
        <v>0</v>
      </c>
      <c r="M62" t="n">
        <v>0</v>
      </c>
      <c r="N62" t="n">
        <v>0</v>
      </c>
      <c r="O62" t="n">
        <v>1</v>
      </c>
      <c r="P62" t="n">
        <v>0</v>
      </c>
      <c r="Q62" t="n">
        <v>1</v>
      </c>
      <c r="R62" s="2" t="inlineStr">
        <is>
          <t>Ekgetingbock</t>
        </is>
      </c>
      <c r="S62">
        <f>HYPERLINK("https://klasma.github.io/Logging_0513/artfynd/A 145-2024 artfynd.xlsx", "A 145-2024")</f>
        <v/>
      </c>
      <c r="T62">
        <f>HYPERLINK("https://klasma.github.io/Logging_0513/kartor/A 145-2024 karta.png", "A 145-2024")</f>
        <v/>
      </c>
      <c r="V62">
        <f>HYPERLINK("https://klasma.github.io/Logging_0513/klagomål/A 145-2024 FSC-klagomål.docx", "A 145-2024")</f>
        <v/>
      </c>
      <c r="W62">
        <f>HYPERLINK("https://klasma.github.io/Logging_0513/klagomålsmail/A 145-2024 FSC-klagomål mail.docx", "A 145-2024")</f>
        <v/>
      </c>
      <c r="X62">
        <f>HYPERLINK("https://klasma.github.io/Logging_0513/tillsyn/A 145-2024 tillsynsbegäran.docx", "A 145-2024")</f>
        <v/>
      </c>
      <c r="Y62">
        <f>HYPERLINK("https://klasma.github.io/Logging_0513/tillsynsmail/A 145-2024 tillsynsbegäran mail.docx", "A 145-2024")</f>
        <v/>
      </c>
    </row>
    <row r="63" ht="15" customHeight="1">
      <c r="A63" t="inlineStr">
        <is>
          <t>A 3474-2023</t>
        </is>
      </c>
      <c r="B63" s="1" t="n">
        <v>44949</v>
      </c>
      <c r="C63" s="1" t="n">
        <v>46083</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29509-2024</t>
        </is>
      </c>
      <c r="B64" s="1" t="n">
        <v>45484</v>
      </c>
      <c r="C64" s="1" t="n">
        <v>46083</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67789-2021</t>
        </is>
      </c>
      <c r="B65" s="1" t="n">
        <v>44525</v>
      </c>
      <c r="C65" s="1" t="n">
        <v>46083</v>
      </c>
      <c r="D65" t="inlineStr">
        <is>
          <t>ÖSTERGÖTLANDS LÄN</t>
        </is>
      </c>
      <c r="E65" t="inlineStr">
        <is>
          <t>KINDA</t>
        </is>
      </c>
      <c r="G65" t="n">
        <v>19.4</v>
      </c>
      <c r="H65" t="n">
        <v>1</v>
      </c>
      <c r="I65" t="n">
        <v>0</v>
      </c>
      <c r="J65" t="n">
        <v>1</v>
      </c>
      <c r="K65" t="n">
        <v>0</v>
      </c>
      <c r="L65" t="n">
        <v>0</v>
      </c>
      <c r="M65" t="n">
        <v>0</v>
      </c>
      <c r="N65" t="n">
        <v>0</v>
      </c>
      <c r="O65" t="n">
        <v>1</v>
      </c>
      <c r="P65" t="n">
        <v>0</v>
      </c>
      <c r="Q65" t="n">
        <v>1</v>
      </c>
      <c r="R65" s="2" t="inlineStr">
        <is>
          <t>Havsörn</t>
        </is>
      </c>
      <c r="S65">
        <f>HYPERLINK("https://klasma.github.io/Logging_0513/artfynd/A 67789-2021 artfynd.xlsx", "A 67789-2021")</f>
        <v/>
      </c>
      <c r="T65">
        <f>HYPERLINK("https://klasma.github.io/Logging_0513/kartor/A 67789-2021 karta.png", "A 67789-2021")</f>
        <v/>
      </c>
      <c r="V65">
        <f>HYPERLINK("https://klasma.github.io/Logging_0513/klagomål/A 67789-2021 FSC-klagomål.docx", "A 67789-2021")</f>
        <v/>
      </c>
      <c r="W65">
        <f>HYPERLINK("https://klasma.github.io/Logging_0513/klagomålsmail/A 67789-2021 FSC-klagomål mail.docx", "A 67789-2021")</f>
        <v/>
      </c>
      <c r="X65">
        <f>HYPERLINK("https://klasma.github.io/Logging_0513/tillsyn/A 67789-2021 tillsynsbegäran.docx", "A 67789-2021")</f>
        <v/>
      </c>
      <c r="Y65">
        <f>HYPERLINK("https://klasma.github.io/Logging_0513/tillsynsmail/A 67789-2021 tillsynsbegäran mail.docx", "A 67789-2021")</f>
        <v/>
      </c>
      <c r="Z65">
        <f>HYPERLINK("https://klasma.github.io/Logging_0513/fåglar/A 67789-2021 prioriterade fågelarter.docx", "A 67789-2021")</f>
        <v/>
      </c>
    </row>
    <row r="66" ht="15" customHeight="1">
      <c r="A66" t="inlineStr">
        <is>
          <t>A 25288-2021</t>
        </is>
      </c>
      <c r="B66" s="1" t="n">
        <v>44342</v>
      </c>
      <c r="C66" s="1" t="n">
        <v>46083</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Smalsprötad bastardsvärmare</t>
        </is>
      </c>
      <c r="S66">
        <f>HYPERLINK("https://klasma.github.io/Logging_0513/artfynd/A 25288-2021 artfynd.xlsx", "A 25288-2021")</f>
        <v/>
      </c>
      <c r="T66">
        <f>HYPERLINK("https://klasma.github.io/Logging_0513/kartor/A 25288-2021 karta.png", "A 25288-2021")</f>
        <v/>
      </c>
      <c r="V66">
        <f>HYPERLINK("https://klasma.github.io/Logging_0513/klagomål/A 25288-2021 FSC-klagomål.docx", "A 25288-2021")</f>
        <v/>
      </c>
      <c r="W66">
        <f>HYPERLINK("https://klasma.github.io/Logging_0513/klagomålsmail/A 25288-2021 FSC-klagomål mail.docx", "A 25288-2021")</f>
        <v/>
      </c>
      <c r="X66">
        <f>HYPERLINK("https://klasma.github.io/Logging_0513/tillsyn/A 25288-2021 tillsynsbegäran.docx", "A 25288-2021")</f>
        <v/>
      </c>
      <c r="Y66">
        <f>HYPERLINK("https://klasma.github.io/Logging_0513/tillsynsmail/A 25288-2021 tillsynsbegäran mail.docx", "A 25288-2021")</f>
        <v/>
      </c>
    </row>
    <row r="67" ht="15" customHeight="1">
      <c r="A67" t="inlineStr">
        <is>
          <t>A 10596-2021</t>
        </is>
      </c>
      <c r="B67" s="1" t="n">
        <v>44258</v>
      </c>
      <c r="C67" s="1" t="n">
        <v>46083</v>
      </c>
      <c r="D67" t="inlineStr">
        <is>
          <t>ÖSTERGÖTLANDS LÄN</t>
        </is>
      </c>
      <c r="E67" t="inlineStr">
        <is>
          <t>KINDA</t>
        </is>
      </c>
      <c r="G67" t="n">
        <v>6.5</v>
      </c>
      <c r="H67" t="n">
        <v>1</v>
      </c>
      <c r="I67" t="n">
        <v>0</v>
      </c>
      <c r="J67" t="n">
        <v>0</v>
      </c>
      <c r="K67" t="n">
        <v>0</v>
      </c>
      <c r="L67" t="n">
        <v>0</v>
      </c>
      <c r="M67" t="n">
        <v>0</v>
      </c>
      <c r="N67" t="n">
        <v>0</v>
      </c>
      <c r="O67" t="n">
        <v>0</v>
      </c>
      <c r="P67" t="n">
        <v>0</v>
      </c>
      <c r="Q67" t="n">
        <v>1</v>
      </c>
      <c r="R67" s="2" t="inlineStr">
        <is>
          <t>Gröngöling</t>
        </is>
      </c>
      <c r="S67">
        <f>HYPERLINK("https://klasma.github.io/Logging_0513/artfynd/A 10596-2021 artfynd.xlsx", "A 10596-2021")</f>
        <v/>
      </c>
      <c r="T67">
        <f>HYPERLINK("https://klasma.github.io/Logging_0513/kartor/A 10596-2021 karta.png", "A 10596-2021")</f>
        <v/>
      </c>
      <c r="V67">
        <f>HYPERLINK("https://klasma.github.io/Logging_0513/klagomål/A 10596-2021 FSC-klagomål.docx", "A 10596-2021")</f>
        <v/>
      </c>
      <c r="W67">
        <f>HYPERLINK("https://klasma.github.io/Logging_0513/klagomålsmail/A 10596-2021 FSC-klagomål mail.docx", "A 10596-2021")</f>
        <v/>
      </c>
      <c r="X67">
        <f>HYPERLINK("https://klasma.github.io/Logging_0513/tillsyn/A 10596-2021 tillsynsbegäran.docx", "A 10596-2021")</f>
        <v/>
      </c>
      <c r="Y67">
        <f>HYPERLINK("https://klasma.github.io/Logging_0513/tillsynsmail/A 10596-2021 tillsynsbegäran mail.docx", "A 10596-2021")</f>
        <v/>
      </c>
      <c r="Z67">
        <f>HYPERLINK("https://klasma.github.io/Logging_0513/fåglar/A 10596-2021 prioriterade fågelarter.docx", "A 10596-2021")</f>
        <v/>
      </c>
    </row>
    <row r="68" ht="15" customHeight="1">
      <c r="A68" t="inlineStr">
        <is>
          <t>A 30255-2024</t>
        </is>
      </c>
      <c r="B68" s="1" t="n">
        <v>45490.56811342593</v>
      </c>
      <c r="C68" s="1" t="n">
        <v>46083</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46083</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46083</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46083</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46083</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46083</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46083</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46083</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46083</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46083</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46083</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46083</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46083</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46083</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46083</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46083</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46083</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46083</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46083</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19071-2021</t>
        </is>
      </c>
      <c r="B90" s="1" t="n">
        <v>44308</v>
      </c>
      <c r="C90" s="1" t="n">
        <v>46083</v>
      </c>
      <c r="D90" t="inlineStr">
        <is>
          <t>ÖSTERGÖTLANDS LÄN</t>
        </is>
      </c>
      <c r="E90" t="inlineStr">
        <is>
          <t>KINDA</t>
        </is>
      </c>
      <c r="G90" t="n">
        <v>4.5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46083</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46083</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46083</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46083</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46083</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46083</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46083</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46083</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46083</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46083</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46083</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46083</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46083</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46083</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46083</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46083</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46083</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52382-2021</t>
        </is>
      </c>
      <c r="B111" s="1" t="n">
        <v>44465</v>
      </c>
      <c r="C111" s="1" t="n">
        <v>46083</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46083</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46083</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46083</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46083</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46083</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46083</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46083</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46083</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46083</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46083</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46083</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46083</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46083</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46083</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46083</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46083</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46083</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46083</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46083</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46083</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46083</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46083</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46083</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46083</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46083</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46083</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46083</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46083</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46083</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46083</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46083</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46083</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46083</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46083</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46083</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46083</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46083</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46083</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46083</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46083</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44991.5281712963</v>
      </c>
      <c r="C152" s="1" t="n">
        <v>46083</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45483.86824074074</v>
      </c>
      <c r="C153" s="1" t="n">
        <v>46083</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37880-2022</t>
        </is>
      </c>
      <c r="B154" s="1" t="n">
        <v>44811.38229166667</v>
      </c>
      <c r="C154" s="1" t="n">
        <v>46083</v>
      </c>
      <c r="D154" t="inlineStr">
        <is>
          <t>ÖSTERGÖTLANDS LÄN</t>
        </is>
      </c>
      <c r="E154" t="inlineStr">
        <is>
          <t>KINDA</t>
        </is>
      </c>
      <c r="G154" t="n">
        <v>4.1</v>
      </c>
      <c r="H154" t="n">
        <v>0</v>
      </c>
      <c r="I154" t="n">
        <v>0</v>
      </c>
      <c r="J154" t="n">
        <v>0</v>
      </c>
      <c r="K154" t="n">
        <v>0</v>
      </c>
      <c r="L154" t="n">
        <v>0</v>
      </c>
      <c r="M154" t="n">
        <v>0</v>
      </c>
      <c r="N154" t="n">
        <v>0</v>
      </c>
      <c r="O154" t="n">
        <v>0</v>
      </c>
      <c r="P154" t="n">
        <v>0</v>
      </c>
      <c r="Q154" t="n">
        <v>0</v>
      </c>
      <c r="R154" s="2" t="inlineStr"/>
    </row>
    <row r="155" ht="15" customHeight="1">
      <c r="A155" t="inlineStr">
        <is>
          <t>A 5706-2024</t>
        </is>
      </c>
      <c r="B155" s="1" t="n">
        <v>45334.82431712963</v>
      </c>
      <c r="C155" s="1" t="n">
        <v>46083</v>
      </c>
      <c r="D155" t="inlineStr">
        <is>
          <t>ÖSTERGÖTLANDS LÄN</t>
        </is>
      </c>
      <c r="E155" t="inlineStr">
        <is>
          <t>KINDA</t>
        </is>
      </c>
      <c r="G155" t="n">
        <v>5.3</v>
      </c>
      <c r="H155" t="n">
        <v>0</v>
      </c>
      <c r="I155" t="n">
        <v>0</v>
      </c>
      <c r="J155" t="n">
        <v>0</v>
      </c>
      <c r="K155" t="n">
        <v>0</v>
      </c>
      <c r="L155" t="n">
        <v>0</v>
      </c>
      <c r="M155" t="n">
        <v>0</v>
      </c>
      <c r="N155" t="n">
        <v>0</v>
      </c>
      <c r="O155" t="n">
        <v>0</v>
      </c>
      <c r="P155" t="n">
        <v>0</v>
      </c>
      <c r="Q155" t="n">
        <v>0</v>
      </c>
      <c r="R155" s="2" t="inlineStr"/>
    </row>
    <row r="156" ht="15" customHeight="1">
      <c r="A156" t="inlineStr">
        <is>
          <t>A 20920-2021</t>
        </is>
      </c>
      <c r="B156" s="1" t="n">
        <v>44319</v>
      </c>
      <c r="C156" s="1" t="n">
        <v>46083</v>
      </c>
      <c r="D156" t="inlineStr">
        <is>
          <t>ÖSTERGÖTLANDS LÄN</t>
        </is>
      </c>
      <c r="E156" t="inlineStr">
        <is>
          <t>KINDA</t>
        </is>
      </c>
      <c r="G156" t="n">
        <v>0.6</v>
      </c>
      <c r="H156" t="n">
        <v>0</v>
      </c>
      <c r="I156" t="n">
        <v>0</v>
      </c>
      <c r="J156" t="n">
        <v>0</v>
      </c>
      <c r="K156" t="n">
        <v>0</v>
      </c>
      <c r="L156" t="n">
        <v>0</v>
      </c>
      <c r="M156" t="n">
        <v>0</v>
      </c>
      <c r="N156" t="n">
        <v>0</v>
      </c>
      <c r="O156" t="n">
        <v>0</v>
      </c>
      <c r="P156" t="n">
        <v>0</v>
      </c>
      <c r="Q156" t="n">
        <v>0</v>
      </c>
      <c r="R156" s="2" t="inlineStr"/>
    </row>
    <row r="157" ht="15" customHeight="1">
      <c r="A157" t="inlineStr">
        <is>
          <t>A 9573-2024</t>
        </is>
      </c>
      <c r="B157" s="1" t="n">
        <v>45360.40449074074</v>
      </c>
      <c r="C157" s="1" t="n">
        <v>46083</v>
      </c>
      <c r="D157" t="inlineStr">
        <is>
          <t>ÖSTERGÖTLANDS LÄN</t>
        </is>
      </c>
      <c r="E157" t="inlineStr">
        <is>
          <t>KINDA</t>
        </is>
      </c>
      <c r="G157" t="n">
        <v>0.3</v>
      </c>
      <c r="H157" t="n">
        <v>0</v>
      </c>
      <c r="I157" t="n">
        <v>0</v>
      </c>
      <c r="J157" t="n">
        <v>0</v>
      </c>
      <c r="K157" t="n">
        <v>0</v>
      </c>
      <c r="L157" t="n">
        <v>0</v>
      </c>
      <c r="M157" t="n">
        <v>0</v>
      </c>
      <c r="N157" t="n">
        <v>0</v>
      </c>
      <c r="O157" t="n">
        <v>0</v>
      </c>
      <c r="P157" t="n">
        <v>0</v>
      </c>
      <c r="Q157" t="n">
        <v>0</v>
      </c>
      <c r="R157" s="2" t="inlineStr"/>
    </row>
    <row r="158" ht="15" customHeight="1">
      <c r="A158" t="inlineStr">
        <is>
          <t>A 9578-2024</t>
        </is>
      </c>
      <c r="B158" s="1" t="n">
        <v>45360.41894675926</v>
      </c>
      <c r="C158" s="1" t="n">
        <v>46083</v>
      </c>
      <c r="D158" t="inlineStr">
        <is>
          <t>ÖSTERGÖTLANDS LÄN</t>
        </is>
      </c>
      <c r="E158" t="inlineStr">
        <is>
          <t>KINDA</t>
        </is>
      </c>
      <c r="G158" t="n">
        <v>0.9</v>
      </c>
      <c r="H158" t="n">
        <v>0</v>
      </c>
      <c r="I158" t="n">
        <v>0</v>
      </c>
      <c r="J158" t="n">
        <v>0</v>
      </c>
      <c r="K158" t="n">
        <v>0</v>
      </c>
      <c r="L158" t="n">
        <v>0</v>
      </c>
      <c r="M158" t="n">
        <v>0</v>
      </c>
      <c r="N158" t="n">
        <v>0</v>
      </c>
      <c r="O158" t="n">
        <v>0</v>
      </c>
      <c r="P158" t="n">
        <v>0</v>
      </c>
      <c r="Q158" t="n">
        <v>0</v>
      </c>
      <c r="R158" s="2" t="inlineStr"/>
    </row>
    <row r="159" ht="15" customHeight="1">
      <c r="A159" t="inlineStr">
        <is>
          <t>A 24067-2022</t>
        </is>
      </c>
      <c r="B159" s="1" t="n">
        <v>44725.33693287037</v>
      </c>
      <c r="C159" s="1" t="n">
        <v>46083</v>
      </c>
      <c r="D159" t="inlineStr">
        <is>
          <t>ÖSTERGÖTLANDS LÄN</t>
        </is>
      </c>
      <c r="E159" t="inlineStr">
        <is>
          <t>KINDA</t>
        </is>
      </c>
      <c r="G159" t="n">
        <v>1.4</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46083</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46083</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46083</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46083</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8409-2025</t>
        </is>
      </c>
      <c r="B164" s="1" t="n">
        <v>45709.38978009259</v>
      </c>
      <c r="C164" s="1" t="n">
        <v>46083</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c r="U164">
        <f>HYPERLINK("https://klasma.github.io/Logging_0513/knärot/A 8409-2025 karta knärot.png", "A 8409-2025")</f>
        <v/>
      </c>
      <c r="V164">
        <f>HYPERLINK("https://klasma.github.io/Logging_0513/klagomål/A 8409-2025 FSC-klagomål.docx", "A 8409-2025")</f>
        <v/>
      </c>
      <c r="W164">
        <f>HYPERLINK("https://klasma.github.io/Logging_0513/klagomålsmail/A 8409-2025 FSC-klagomål mail.docx", "A 8409-2025")</f>
        <v/>
      </c>
      <c r="X164">
        <f>HYPERLINK("https://klasma.github.io/Logging_0513/tillsyn/A 8409-2025 tillsynsbegäran.docx", "A 8409-2025")</f>
        <v/>
      </c>
      <c r="Y164">
        <f>HYPERLINK("https://klasma.github.io/Logging_0513/tillsynsmail/A 8409-2025 tillsynsbegäran mail.docx", "A 8409-2025")</f>
        <v/>
      </c>
    </row>
    <row r="165" ht="15" customHeight="1">
      <c r="A165" t="inlineStr">
        <is>
          <t>A 12461-2024</t>
        </is>
      </c>
      <c r="B165" s="1" t="n">
        <v>45379</v>
      </c>
      <c r="C165" s="1" t="n">
        <v>46083</v>
      </c>
      <c r="D165" t="inlineStr">
        <is>
          <t>ÖSTERGÖTLANDS LÄN</t>
        </is>
      </c>
      <c r="E165" t="inlineStr">
        <is>
          <t>KINDA</t>
        </is>
      </c>
      <c r="G165" t="n">
        <v>1.9</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46083</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14493-2025</t>
        </is>
      </c>
      <c r="B167" s="1" t="n">
        <v>45741.61278935185</v>
      </c>
      <c r="C167" s="1" t="n">
        <v>46083</v>
      </c>
      <c r="D167" t="inlineStr">
        <is>
          <t>ÖSTERGÖTLANDS LÄN</t>
        </is>
      </c>
      <c r="E167" t="inlineStr">
        <is>
          <t>KINDA</t>
        </is>
      </c>
      <c r="G167" t="n">
        <v>5.1</v>
      </c>
      <c r="H167" t="n">
        <v>0</v>
      </c>
      <c r="I167" t="n">
        <v>0</v>
      </c>
      <c r="J167" t="n">
        <v>0</v>
      </c>
      <c r="K167" t="n">
        <v>0</v>
      </c>
      <c r="L167" t="n">
        <v>0</v>
      </c>
      <c r="M167" t="n">
        <v>0</v>
      </c>
      <c r="N167" t="n">
        <v>0</v>
      </c>
      <c r="O167" t="n">
        <v>0</v>
      </c>
      <c r="P167" t="n">
        <v>0</v>
      </c>
      <c r="Q167" t="n">
        <v>0</v>
      </c>
      <c r="R167" s="2" t="inlineStr"/>
    </row>
    <row r="168" ht="15" customHeight="1">
      <c r="A168" t="inlineStr">
        <is>
          <t>A 13064-2024</t>
        </is>
      </c>
      <c r="B168" s="1" t="n">
        <v>45385</v>
      </c>
      <c r="C168" s="1" t="n">
        <v>46083</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46083</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24844-2024</t>
        </is>
      </c>
      <c r="B170" s="1" t="n">
        <v>45461.42116898148</v>
      </c>
      <c r="C170" s="1" t="n">
        <v>46083</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17669-2025</t>
        </is>
      </c>
      <c r="B171" s="1" t="n">
        <v>45758.36638888889</v>
      </c>
      <c r="C171" s="1" t="n">
        <v>46083</v>
      </c>
      <c r="D171" t="inlineStr">
        <is>
          <t>ÖSTERGÖTLANDS LÄN</t>
        </is>
      </c>
      <c r="E171" t="inlineStr">
        <is>
          <t>KINDA</t>
        </is>
      </c>
      <c r="G171" t="n">
        <v>0.5</v>
      </c>
      <c r="H171" t="n">
        <v>0</v>
      </c>
      <c r="I171" t="n">
        <v>0</v>
      </c>
      <c r="J171" t="n">
        <v>0</v>
      </c>
      <c r="K171" t="n">
        <v>0</v>
      </c>
      <c r="L171" t="n">
        <v>0</v>
      </c>
      <c r="M171" t="n">
        <v>0</v>
      </c>
      <c r="N171" t="n">
        <v>0</v>
      </c>
      <c r="O171" t="n">
        <v>0</v>
      </c>
      <c r="P171" t="n">
        <v>0</v>
      </c>
      <c r="Q171" t="n">
        <v>0</v>
      </c>
      <c r="R171" s="2" t="inlineStr"/>
    </row>
    <row r="172" ht="15" customHeight="1">
      <c r="A172" t="inlineStr">
        <is>
          <t>A 51047-2022</t>
        </is>
      </c>
      <c r="B172" s="1" t="n">
        <v>44868</v>
      </c>
      <c r="C172" s="1" t="n">
        <v>46083</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2967-2024</t>
        </is>
      </c>
      <c r="B173" s="1" t="n">
        <v>45315.66689814815</v>
      </c>
      <c r="C173" s="1" t="n">
        <v>46083</v>
      </c>
      <c r="D173" t="inlineStr">
        <is>
          <t>ÖSTERGÖTLANDS LÄN</t>
        </is>
      </c>
      <c r="E173" t="inlineStr">
        <is>
          <t>KINDA</t>
        </is>
      </c>
      <c r="G173" t="n">
        <v>1.6</v>
      </c>
      <c r="H173" t="n">
        <v>0</v>
      </c>
      <c r="I173" t="n">
        <v>0</v>
      </c>
      <c r="J173" t="n">
        <v>0</v>
      </c>
      <c r="K173" t="n">
        <v>0</v>
      </c>
      <c r="L173" t="n">
        <v>0</v>
      </c>
      <c r="M173" t="n">
        <v>0</v>
      </c>
      <c r="N173" t="n">
        <v>0</v>
      </c>
      <c r="O173" t="n">
        <v>0</v>
      </c>
      <c r="P173" t="n">
        <v>0</v>
      </c>
      <c r="Q173" t="n">
        <v>0</v>
      </c>
      <c r="R173" s="2" t="inlineStr"/>
    </row>
    <row r="174" ht="15" customHeight="1">
      <c r="A174" t="inlineStr">
        <is>
          <t>A 21716-2024</t>
        </is>
      </c>
      <c r="B174" s="1" t="n">
        <v>45442.48741898148</v>
      </c>
      <c r="C174" s="1" t="n">
        <v>46083</v>
      </c>
      <c r="D174" t="inlineStr">
        <is>
          <t>ÖSTERGÖTLANDS LÄN</t>
        </is>
      </c>
      <c r="E174" t="inlineStr">
        <is>
          <t>KINDA</t>
        </is>
      </c>
      <c r="G174" t="n">
        <v>0.2</v>
      </c>
      <c r="H174" t="n">
        <v>0</v>
      </c>
      <c r="I174" t="n">
        <v>0</v>
      </c>
      <c r="J174" t="n">
        <v>0</v>
      </c>
      <c r="K174" t="n">
        <v>0</v>
      </c>
      <c r="L174" t="n">
        <v>0</v>
      </c>
      <c r="M174" t="n">
        <v>0</v>
      </c>
      <c r="N174" t="n">
        <v>0</v>
      </c>
      <c r="O174" t="n">
        <v>0</v>
      </c>
      <c r="P174" t="n">
        <v>0</v>
      </c>
      <c r="Q174" t="n">
        <v>0</v>
      </c>
      <c r="R174" s="2" t="inlineStr"/>
    </row>
    <row r="175" ht="15" customHeight="1">
      <c r="A175" t="inlineStr">
        <is>
          <t>A 9577-2024</t>
        </is>
      </c>
      <c r="B175" s="1" t="n">
        <v>45360.4172337963</v>
      </c>
      <c r="C175" s="1" t="n">
        <v>46083</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4914-2023</t>
        </is>
      </c>
      <c r="B176" s="1" t="n">
        <v>44958.38997685185</v>
      </c>
      <c r="C176" s="1" t="n">
        <v>46083</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1760-2024</t>
        </is>
      </c>
      <c r="B177" s="1" t="n">
        <v>45307.48108796297</v>
      </c>
      <c r="C177" s="1" t="n">
        <v>46083</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2638-2024</t>
        </is>
      </c>
      <c r="B178" s="1" t="n">
        <v>45314.33872685185</v>
      </c>
      <c r="C178" s="1" t="n">
        <v>46083</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26146-2024</t>
        </is>
      </c>
      <c r="B179" s="1" t="n">
        <v>45468.49909722222</v>
      </c>
      <c r="C179" s="1" t="n">
        <v>46083</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52863-2023</t>
        </is>
      </c>
      <c r="B180" s="1" t="n">
        <v>45219</v>
      </c>
      <c r="C180" s="1" t="n">
        <v>46083</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60343-2023</t>
        </is>
      </c>
      <c r="B181" s="1" t="n">
        <v>45259.31565972222</v>
      </c>
      <c r="C181" s="1" t="n">
        <v>46083</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45457-2024</t>
        </is>
      </c>
      <c r="B182" s="1" t="n">
        <v>45576.67208333333</v>
      </c>
      <c r="C182" s="1" t="n">
        <v>46083</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133-2024</t>
        </is>
      </c>
      <c r="B183" s="1" t="n">
        <v>45294.43197916666</v>
      </c>
      <c r="C183" s="1" t="n">
        <v>46083</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44139-2024</t>
        </is>
      </c>
      <c r="B184" s="1" t="n">
        <v>45572.6625</v>
      </c>
      <c r="C184" s="1" t="n">
        <v>46083</v>
      </c>
      <c r="D184" t="inlineStr">
        <is>
          <t>ÖSTERGÖTLANDS LÄN</t>
        </is>
      </c>
      <c r="E184" t="inlineStr">
        <is>
          <t>KINDA</t>
        </is>
      </c>
      <c r="G184" t="n">
        <v>3.6</v>
      </c>
      <c r="H184" t="n">
        <v>0</v>
      </c>
      <c r="I184" t="n">
        <v>0</v>
      </c>
      <c r="J184" t="n">
        <v>0</v>
      </c>
      <c r="K184" t="n">
        <v>0</v>
      </c>
      <c r="L184" t="n">
        <v>0</v>
      </c>
      <c r="M184" t="n">
        <v>0</v>
      </c>
      <c r="N184" t="n">
        <v>0</v>
      </c>
      <c r="O184" t="n">
        <v>0</v>
      </c>
      <c r="P184" t="n">
        <v>0</v>
      </c>
      <c r="Q184" t="n">
        <v>0</v>
      </c>
      <c r="R184" s="2" t="inlineStr"/>
    </row>
    <row r="185" ht="15" customHeight="1">
      <c r="A185" t="inlineStr">
        <is>
          <t>A 51294-2022</t>
        </is>
      </c>
      <c r="B185" s="1" t="n">
        <v>44868</v>
      </c>
      <c r="C185" s="1" t="n">
        <v>46083</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38019-2024</t>
        </is>
      </c>
      <c r="B186" s="1" t="n">
        <v>45544.6372337963</v>
      </c>
      <c r="C186" s="1" t="n">
        <v>46083</v>
      </c>
      <c r="D186" t="inlineStr">
        <is>
          <t>ÖSTERGÖTLANDS LÄN</t>
        </is>
      </c>
      <c r="E186" t="inlineStr">
        <is>
          <t>KINDA</t>
        </is>
      </c>
      <c r="G186" t="n">
        <v>6.3</v>
      </c>
      <c r="H186" t="n">
        <v>0</v>
      </c>
      <c r="I186" t="n">
        <v>0</v>
      </c>
      <c r="J186" t="n">
        <v>0</v>
      </c>
      <c r="K186" t="n">
        <v>0</v>
      </c>
      <c r="L186" t="n">
        <v>0</v>
      </c>
      <c r="M186" t="n">
        <v>0</v>
      </c>
      <c r="N186" t="n">
        <v>0</v>
      </c>
      <c r="O186" t="n">
        <v>0</v>
      </c>
      <c r="P186" t="n">
        <v>0</v>
      </c>
      <c r="Q186" t="n">
        <v>0</v>
      </c>
      <c r="R186" s="2" t="inlineStr"/>
      <c r="U186">
        <f>HYPERLINK("https://klasma.github.io/Logging_0513/knärot/A 38019-2024 karta knärot.png", "A 38019-2024")</f>
        <v/>
      </c>
      <c r="V186">
        <f>HYPERLINK("https://klasma.github.io/Logging_0513/klagomål/A 38019-2024 FSC-klagomål.docx", "A 38019-2024")</f>
        <v/>
      </c>
      <c r="W186">
        <f>HYPERLINK("https://klasma.github.io/Logging_0513/klagomålsmail/A 38019-2024 FSC-klagomål mail.docx", "A 38019-2024")</f>
        <v/>
      </c>
      <c r="X186">
        <f>HYPERLINK("https://klasma.github.io/Logging_0513/tillsyn/A 38019-2024 tillsynsbegäran.docx", "A 38019-2024")</f>
        <v/>
      </c>
      <c r="Y186">
        <f>HYPERLINK("https://klasma.github.io/Logging_0513/tillsynsmail/A 38019-2024 tillsynsbegäran mail.docx", "A 38019-2024")</f>
        <v/>
      </c>
    </row>
    <row r="187" ht="15" customHeight="1">
      <c r="A187" t="inlineStr">
        <is>
          <t>A 38130-2023</t>
        </is>
      </c>
      <c r="B187" s="1" t="n">
        <v>45161</v>
      </c>
      <c r="C187" s="1" t="n">
        <v>46083</v>
      </c>
      <c r="D187" t="inlineStr">
        <is>
          <t>ÖSTERGÖTLANDS LÄN</t>
        </is>
      </c>
      <c r="E187" t="inlineStr">
        <is>
          <t>KINDA</t>
        </is>
      </c>
      <c r="G187" t="n">
        <v>1.4</v>
      </c>
      <c r="H187" t="n">
        <v>0</v>
      </c>
      <c r="I187" t="n">
        <v>0</v>
      </c>
      <c r="J187" t="n">
        <v>0</v>
      </c>
      <c r="K187" t="n">
        <v>0</v>
      </c>
      <c r="L187" t="n">
        <v>0</v>
      </c>
      <c r="M187" t="n">
        <v>0</v>
      </c>
      <c r="N187" t="n">
        <v>0</v>
      </c>
      <c r="O187" t="n">
        <v>0</v>
      </c>
      <c r="P187" t="n">
        <v>0</v>
      </c>
      <c r="Q187" t="n">
        <v>0</v>
      </c>
      <c r="R187" s="2" t="inlineStr"/>
    </row>
    <row r="188" ht="15" customHeight="1">
      <c r="A188" t="inlineStr">
        <is>
          <t>A 38132-2023</t>
        </is>
      </c>
      <c r="B188" s="1" t="n">
        <v>45161.36759259259</v>
      </c>
      <c r="C188" s="1" t="n">
        <v>46083</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38133-2023</t>
        </is>
      </c>
      <c r="B189" s="1" t="n">
        <v>45161.36928240741</v>
      </c>
      <c r="C189" s="1" t="n">
        <v>46083</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29794-2024</t>
        </is>
      </c>
      <c r="B190" s="1" t="n">
        <v>45485.4796875</v>
      </c>
      <c r="C190" s="1" t="n">
        <v>46083</v>
      </c>
      <c r="D190" t="inlineStr">
        <is>
          <t>ÖSTERGÖTLANDS LÄN</t>
        </is>
      </c>
      <c r="E190" t="inlineStr">
        <is>
          <t>KINDA</t>
        </is>
      </c>
      <c r="G190" t="n">
        <v>2.1</v>
      </c>
      <c r="H190" t="n">
        <v>0</v>
      </c>
      <c r="I190" t="n">
        <v>0</v>
      </c>
      <c r="J190" t="n">
        <v>0</v>
      </c>
      <c r="K190" t="n">
        <v>0</v>
      </c>
      <c r="L190" t="n">
        <v>0</v>
      </c>
      <c r="M190" t="n">
        <v>0</v>
      </c>
      <c r="N190" t="n">
        <v>0</v>
      </c>
      <c r="O190" t="n">
        <v>0</v>
      </c>
      <c r="P190" t="n">
        <v>0</v>
      </c>
      <c r="Q190" t="n">
        <v>0</v>
      </c>
      <c r="R190" s="2" t="inlineStr"/>
    </row>
    <row r="191" ht="15" customHeight="1">
      <c r="A191" t="inlineStr">
        <is>
          <t>A 27959-2024</t>
        </is>
      </c>
      <c r="B191" s="1" t="n">
        <v>45476.34908564815</v>
      </c>
      <c r="C191" s="1" t="n">
        <v>46083</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32285-2023</t>
        </is>
      </c>
      <c r="B192" s="1" t="n">
        <v>45120</v>
      </c>
      <c r="C192" s="1" t="n">
        <v>46083</v>
      </c>
      <c r="D192" t="inlineStr">
        <is>
          <t>ÖSTERGÖTLANDS LÄN</t>
        </is>
      </c>
      <c r="E192" t="inlineStr">
        <is>
          <t>KINDA</t>
        </is>
      </c>
      <c r="G192" t="n">
        <v>0.2</v>
      </c>
      <c r="H192" t="n">
        <v>0</v>
      </c>
      <c r="I192" t="n">
        <v>0</v>
      </c>
      <c r="J192" t="n">
        <v>0</v>
      </c>
      <c r="K192" t="n">
        <v>0</v>
      </c>
      <c r="L192" t="n">
        <v>0</v>
      </c>
      <c r="M192" t="n">
        <v>0</v>
      </c>
      <c r="N192" t="n">
        <v>0</v>
      </c>
      <c r="O192" t="n">
        <v>0</v>
      </c>
      <c r="P192" t="n">
        <v>0</v>
      </c>
      <c r="Q192" t="n">
        <v>0</v>
      </c>
      <c r="R192" s="2" t="inlineStr"/>
    </row>
    <row r="193" ht="15" customHeight="1">
      <c r="A193" t="inlineStr">
        <is>
          <t>A 62286-2022</t>
        </is>
      </c>
      <c r="B193" s="1" t="n">
        <v>44923.40631944445</v>
      </c>
      <c r="C193" s="1" t="n">
        <v>46083</v>
      </c>
      <c r="D193" t="inlineStr">
        <is>
          <t>ÖSTERGÖTLANDS LÄN</t>
        </is>
      </c>
      <c r="E193" t="inlineStr">
        <is>
          <t>KINDA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46083</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45693-2023</t>
        </is>
      </c>
      <c r="B195" s="1" t="n">
        <v>45195</v>
      </c>
      <c r="C195" s="1" t="n">
        <v>46083</v>
      </c>
      <c r="D195" t="inlineStr">
        <is>
          <t>ÖSTERGÖTLANDS LÄN</t>
        </is>
      </c>
      <c r="E195" t="inlineStr">
        <is>
          <t>KINDA</t>
        </is>
      </c>
      <c r="G195" t="n">
        <v>1.8</v>
      </c>
      <c r="H195" t="n">
        <v>0</v>
      </c>
      <c r="I195" t="n">
        <v>0</v>
      </c>
      <c r="J195" t="n">
        <v>0</v>
      </c>
      <c r="K195" t="n">
        <v>0</v>
      </c>
      <c r="L195" t="n">
        <v>0</v>
      </c>
      <c r="M195" t="n">
        <v>0</v>
      </c>
      <c r="N195" t="n">
        <v>0</v>
      </c>
      <c r="O195" t="n">
        <v>0</v>
      </c>
      <c r="P195" t="n">
        <v>0</v>
      </c>
      <c r="Q195" t="n">
        <v>0</v>
      </c>
      <c r="R195" s="2" t="inlineStr"/>
    </row>
    <row r="196" ht="15" customHeight="1">
      <c r="A196" t="inlineStr">
        <is>
          <t>A 4433-2024</t>
        </is>
      </c>
      <c r="B196" s="1" t="n">
        <v>45327.4684375</v>
      </c>
      <c r="C196" s="1" t="n">
        <v>46083</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48520-2024</t>
        </is>
      </c>
      <c r="B197" s="1" t="n">
        <v>45593.32488425926</v>
      </c>
      <c r="C197" s="1" t="n">
        <v>46083</v>
      </c>
      <c r="D197" t="inlineStr">
        <is>
          <t>ÖSTERGÖTLANDS LÄN</t>
        </is>
      </c>
      <c r="E197" t="inlineStr">
        <is>
          <t>KINDA</t>
        </is>
      </c>
      <c r="G197" t="n">
        <v>4.6</v>
      </c>
      <c r="H197" t="n">
        <v>0</v>
      </c>
      <c r="I197" t="n">
        <v>0</v>
      </c>
      <c r="J197" t="n">
        <v>0</v>
      </c>
      <c r="K197" t="n">
        <v>0</v>
      </c>
      <c r="L197" t="n">
        <v>0</v>
      </c>
      <c r="M197" t="n">
        <v>0</v>
      </c>
      <c r="N197" t="n">
        <v>0</v>
      </c>
      <c r="O197" t="n">
        <v>0</v>
      </c>
      <c r="P197" t="n">
        <v>0</v>
      </c>
      <c r="Q197" t="n">
        <v>0</v>
      </c>
      <c r="R197" s="2" t="inlineStr"/>
    </row>
    <row r="198" ht="15" customHeight="1">
      <c r="A198" t="inlineStr">
        <is>
          <t>A 61946-2022</t>
        </is>
      </c>
      <c r="B198" s="1" t="n">
        <v>44918.32740740741</v>
      </c>
      <c r="C198" s="1" t="n">
        <v>46083</v>
      </c>
      <c r="D198" t="inlineStr">
        <is>
          <t>ÖSTERGÖTLANDS LÄN</t>
        </is>
      </c>
      <c r="E198" t="inlineStr">
        <is>
          <t>KINDA</t>
        </is>
      </c>
      <c r="G198" t="n">
        <v>11.6</v>
      </c>
      <c r="H198" t="n">
        <v>0</v>
      </c>
      <c r="I198" t="n">
        <v>0</v>
      </c>
      <c r="J198" t="n">
        <v>0</v>
      </c>
      <c r="K198" t="n">
        <v>0</v>
      </c>
      <c r="L198" t="n">
        <v>0</v>
      </c>
      <c r="M198" t="n">
        <v>0</v>
      </c>
      <c r="N198" t="n">
        <v>0</v>
      </c>
      <c r="O198" t="n">
        <v>0</v>
      </c>
      <c r="P198" t="n">
        <v>0</v>
      </c>
      <c r="Q198" t="n">
        <v>0</v>
      </c>
      <c r="R198" s="2" t="inlineStr"/>
    </row>
    <row r="199" ht="15" customHeight="1">
      <c r="A199" t="inlineStr">
        <is>
          <t>A 61949-2022</t>
        </is>
      </c>
      <c r="B199" s="1" t="n">
        <v>44918.33414351852</v>
      </c>
      <c r="C199" s="1" t="n">
        <v>46083</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61962-2022</t>
        </is>
      </c>
      <c r="B200" s="1" t="n">
        <v>44918</v>
      </c>
      <c r="C200" s="1" t="n">
        <v>46083</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22813-2024</t>
        </is>
      </c>
      <c r="B201" s="1" t="n">
        <v>45448.52539351852</v>
      </c>
      <c r="C201" s="1" t="n">
        <v>46083</v>
      </c>
      <c r="D201" t="inlineStr">
        <is>
          <t>ÖSTERGÖTLANDS LÄN</t>
        </is>
      </c>
      <c r="E201" t="inlineStr">
        <is>
          <t>KINDA</t>
        </is>
      </c>
      <c r="F201" t="inlineStr">
        <is>
          <t>Allmännings- och besparingsskogar</t>
        </is>
      </c>
      <c r="G201" t="n">
        <v>6.8</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46083</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37068-2024</t>
        </is>
      </c>
      <c r="B203" s="1" t="n">
        <v>45539.46399305556</v>
      </c>
      <c r="C203" s="1" t="n">
        <v>46083</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6411-2025</t>
        </is>
      </c>
      <c r="B204" s="1" t="n">
        <v>45699.45978009259</v>
      </c>
      <c r="C204" s="1" t="n">
        <v>46083</v>
      </c>
      <c r="D204" t="inlineStr">
        <is>
          <t>ÖSTERGÖTLANDS LÄN</t>
        </is>
      </c>
      <c r="E204" t="inlineStr">
        <is>
          <t>KINDA</t>
        </is>
      </c>
      <c r="F204" t="inlineStr">
        <is>
          <t>Sveaskog</t>
        </is>
      </c>
      <c r="G204" t="n">
        <v>3.4</v>
      </c>
      <c r="H204" t="n">
        <v>0</v>
      </c>
      <c r="I204" t="n">
        <v>0</v>
      </c>
      <c r="J204" t="n">
        <v>0</v>
      </c>
      <c r="K204" t="n">
        <v>0</v>
      </c>
      <c r="L204" t="n">
        <v>0</v>
      </c>
      <c r="M204" t="n">
        <v>0</v>
      </c>
      <c r="N204" t="n">
        <v>0</v>
      </c>
      <c r="O204" t="n">
        <v>0</v>
      </c>
      <c r="P204" t="n">
        <v>0</v>
      </c>
      <c r="Q204" t="n">
        <v>0</v>
      </c>
      <c r="R204" s="2" t="inlineStr"/>
    </row>
    <row r="205" ht="15" customHeight="1">
      <c r="A205" t="inlineStr">
        <is>
          <t>A 61957-2022</t>
        </is>
      </c>
      <c r="B205" s="1" t="n">
        <v>44918.34216435185</v>
      </c>
      <c r="C205" s="1" t="n">
        <v>46083</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24023-2024</t>
        </is>
      </c>
      <c r="B206" s="1" t="n">
        <v>45456.44684027778</v>
      </c>
      <c r="C206" s="1" t="n">
        <v>46083</v>
      </c>
      <c r="D206" t="inlineStr">
        <is>
          <t>ÖSTERGÖTLANDS LÄN</t>
        </is>
      </c>
      <c r="E206" t="inlineStr">
        <is>
          <t>KINDA</t>
        </is>
      </c>
      <c r="G206" t="n">
        <v>7.1</v>
      </c>
      <c r="H206" t="n">
        <v>0</v>
      </c>
      <c r="I206" t="n">
        <v>0</v>
      </c>
      <c r="J206" t="n">
        <v>0</v>
      </c>
      <c r="K206" t="n">
        <v>0</v>
      </c>
      <c r="L206" t="n">
        <v>0</v>
      </c>
      <c r="M206" t="n">
        <v>0</v>
      </c>
      <c r="N206" t="n">
        <v>0</v>
      </c>
      <c r="O206" t="n">
        <v>0</v>
      </c>
      <c r="P206" t="n">
        <v>0</v>
      </c>
      <c r="Q206" t="n">
        <v>0</v>
      </c>
      <c r="R206" s="2" t="inlineStr"/>
    </row>
    <row r="207" ht="15" customHeight="1">
      <c r="A207" t="inlineStr">
        <is>
          <t>A 38261-2025</t>
        </is>
      </c>
      <c r="B207" s="1" t="n">
        <v>45883.39684027778</v>
      </c>
      <c r="C207" s="1" t="n">
        <v>46083</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13976-2022</t>
        </is>
      </c>
      <c r="B208" s="1" t="n">
        <v>44650.56546296296</v>
      </c>
      <c r="C208" s="1" t="n">
        <v>46083</v>
      </c>
      <c r="D208" t="inlineStr">
        <is>
          <t>ÖSTERGÖTLANDS LÄN</t>
        </is>
      </c>
      <c r="E208" t="inlineStr">
        <is>
          <t>KINDA</t>
        </is>
      </c>
      <c r="F208" t="inlineStr">
        <is>
          <t>Övriga Aktiebolag</t>
        </is>
      </c>
      <c r="G208" t="n">
        <v>7.4</v>
      </c>
      <c r="H208" t="n">
        <v>0</v>
      </c>
      <c r="I208" t="n">
        <v>0</v>
      </c>
      <c r="J208" t="n">
        <v>0</v>
      </c>
      <c r="K208" t="n">
        <v>0</v>
      </c>
      <c r="L208" t="n">
        <v>0</v>
      </c>
      <c r="M208" t="n">
        <v>0</v>
      </c>
      <c r="N208" t="n">
        <v>0</v>
      </c>
      <c r="O208" t="n">
        <v>0</v>
      </c>
      <c r="P208" t="n">
        <v>0</v>
      </c>
      <c r="Q208" t="n">
        <v>0</v>
      </c>
      <c r="R208" s="2" t="inlineStr"/>
    </row>
    <row r="209" ht="15" customHeight="1">
      <c r="A209" t="inlineStr">
        <is>
          <t>A 28068-2024</t>
        </is>
      </c>
      <c r="B209" s="1" t="n">
        <v>45476.57782407408</v>
      </c>
      <c r="C209" s="1" t="n">
        <v>46083</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9182-2024</t>
        </is>
      </c>
      <c r="B210" s="1" t="n">
        <v>45358.44520833333</v>
      </c>
      <c r="C210" s="1" t="n">
        <v>46083</v>
      </c>
      <c r="D210" t="inlineStr">
        <is>
          <t>ÖSTERGÖTLANDS LÄN</t>
        </is>
      </c>
      <c r="E210" t="inlineStr">
        <is>
          <t>KINDA</t>
        </is>
      </c>
      <c r="G210" t="n">
        <v>3.7</v>
      </c>
      <c r="H210" t="n">
        <v>0</v>
      </c>
      <c r="I210" t="n">
        <v>0</v>
      </c>
      <c r="J210" t="n">
        <v>0</v>
      </c>
      <c r="K210" t="n">
        <v>0</v>
      </c>
      <c r="L210" t="n">
        <v>0</v>
      </c>
      <c r="M210" t="n">
        <v>0</v>
      </c>
      <c r="N210" t="n">
        <v>0</v>
      </c>
      <c r="O210" t="n">
        <v>0</v>
      </c>
      <c r="P210" t="n">
        <v>0</v>
      </c>
      <c r="Q210" t="n">
        <v>0</v>
      </c>
      <c r="R210" s="2" t="inlineStr"/>
    </row>
    <row r="211" ht="15" customHeight="1">
      <c r="A211" t="inlineStr">
        <is>
          <t>A 3908-2023</t>
        </is>
      </c>
      <c r="B211" s="1" t="n">
        <v>44952</v>
      </c>
      <c r="C211" s="1" t="n">
        <v>46083</v>
      </c>
      <c r="D211" t="inlineStr">
        <is>
          <t>ÖSTERGÖTLANDS LÄN</t>
        </is>
      </c>
      <c r="E211" t="inlineStr">
        <is>
          <t>KINDA</t>
        </is>
      </c>
      <c r="G211" t="n">
        <v>2.3</v>
      </c>
      <c r="H211" t="n">
        <v>0</v>
      </c>
      <c r="I211" t="n">
        <v>0</v>
      </c>
      <c r="J211" t="n">
        <v>0</v>
      </c>
      <c r="K211" t="n">
        <v>0</v>
      </c>
      <c r="L211" t="n">
        <v>0</v>
      </c>
      <c r="M211" t="n">
        <v>0</v>
      </c>
      <c r="N211" t="n">
        <v>0</v>
      </c>
      <c r="O211" t="n">
        <v>0</v>
      </c>
      <c r="P211" t="n">
        <v>0</v>
      </c>
      <c r="Q211" t="n">
        <v>0</v>
      </c>
      <c r="R211" s="2" t="inlineStr"/>
    </row>
    <row r="212" ht="15" customHeight="1">
      <c r="A212" t="inlineStr">
        <is>
          <t>A 34860-2024</t>
        </is>
      </c>
      <c r="B212" s="1" t="n">
        <v>45527.33670138889</v>
      </c>
      <c r="C212" s="1" t="n">
        <v>46083</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34871-2024</t>
        </is>
      </c>
      <c r="B213" s="1" t="n">
        <v>45527.3469212963</v>
      </c>
      <c r="C213" s="1" t="n">
        <v>46083</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33043-2024</t>
        </is>
      </c>
      <c r="B214" s="1" t="n">
        <v>45517.61326388889</v>
      </c>
      <c r="C214" s="1" t="n">
        <v>46083</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13769-2023</t>
        </is>
      </c>
      <c r="B215" s="1" t="n">
        <v>45007.45686342593</v>
      </c>
      <c r="C215" s="1" t="n">
        <v>46083</v>
      </c>
      <c r="D215" t="inlineStr">
        <is>
          <t>ÖSTERGÖTLANDS LÄN</t>
        </is>
      </c>
      <c r="E215" t="inlineStr">
        <is>
          <t>KINDA</t>
        </is>
      </c>
      <c r="G215" t="n">
        <v>3.8</v>
      </c>
      <c r="H215" t="n">
        <v>0</v>
      </c>
      <c r="I215" t="n">
        <v>0</v>
      </c>
      <c r="J215" t="n">
        <v>0</v>
      </c>
      <c r="K215" t="n">
        <v>0</v>
      </c>
      <c r="L215" t="n">
        <v>0</v>
      </c>
      <c r="M215" t="n">
        <v>0</v>
      </c>
      <c r="N215" t="n">
        <v>0</v>
      </c>
      <c r="O215" t="n">
        <v>0</v>
      </c>
      <c r="P215" t="n">
        <v>0</v>
      </c>
      <c r="Q215" t="n">
        <v>0</v>
      </c>
      <c r="R215" s="2" t="inlineStr"/>
    </row>
    <row r="216" ht="15" customHeight="1">
      <c r="A216" t="inlineStr">
        <is>
          <t>A 39097-2025</t>
        </is>
      </c>
      <c r="B216" s="1" t="n">
        <v>45888</v>
      </c>
      <c r="C216" s="1" t="n">
        <v>46083</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39101-2025</t>
        </is>
      </c>
      <c r="B217" s="1" t="n">
        <v>45888</v>
      </c>
      <c r="C217" s="1" t="n">
        <v>46083</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46083</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13673-2024</t>
        </is>
      </c>
      <c r="B219" s="1" t="n">
        <v>45390.53634259259</v>
      </c>
      <c r="C219" s="1" t="n">
        <v>46083</v>
      </c>
      <c r="D219" t="inlineStr">
        <is>
          <t>ÖSTERGÖTLANDS LÄN</t>
        </is>
      </c>
      <c r="E219" t="inlineStr">
        <is>
          <t>KINDA</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31147-2025</t>
        </is>
      </c>
      <c r="B220" s="1" t="n">
        <v>45832.6390625</v>
      </c>
      <c r="C220" s="1" t="n">
        <v>46083</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5086-2023</t>
        </is>
      </c>
      <c r="B221" s="1" t="n">
        <v>44953</v>
      </c>
      <c r="C221" s="1" t="n">
        <v>46083</v>
      </c>
      <c r="D221" t="inlineStr">
        <is>
          <t>ÖSTERGÖTLANDS LÄN</t>
        </is>
      </c>
      <c r="E221" t="inlineStr">
        <is>
          <t>KINDA</t>
        </is>
      </c>
      <c r="G221" t="n">
        <v>4.2</v>
      </c>
      <c r="H221" t="n">
        <v>0</v>
      </c>
      <c r="I221" t="n">
        <v>0</v>
      </c>
      <c r="J221" t="n">
        <v>0</v>
      </c>
      <c r="K221" t="n">
        <v>0</v>
      </c>
      <c r="L221" t="n">
        <v>0</v>
      </c>
      <c r="M221" t="n">
        <v>0</v>
      </c>
      <c r="N221" t="n">
        <v>0</v>
      </c>
      <c r="O221" t="n">
        <v>0</v>
      </c>
      <c r="P221" t="n">
        <v>0</v>
      </c>
      <c r="Q221" t="n">
        <v>0</v>
      </c>
      <c r="R221" s="2" t="inlineStr"/>
    </row>
    <row r="222" ht="15" customHeight="1">
      <c r="A222" t="inlineStr">
        <is>
          <t>A 60824-2023</t>
        </is>
      </c>
      <c r="B222" s="1" t="n">
        <v>45260.80365740741</v>
      </c>
      <c r="C222" s="1" t="n">
        <v>46083</v>
      </c>
      <c r="D222" t="inlineStr">
        <is>
          <t>ÖSTERGÖTLANDS LÄN</t>
        </is>
      </c>
      <c r="E222" t="inlineStr">
        <is>
          <t>KINDA</t>
        </is>
      </c>
      <c r="G222" t="n">
        <v>3.1</v>
      </c>
      <c r="H222" t="n">
        <v>0</v>
      </c>
      <c r="I222" t="n">
        <v>0</v>
      </c>
      <c r="J222" t="n">
        <v>0</v>
      </c>
      <c r="K222" t="n">
        <v>0</v>
      </c>
      <c r="L222" t="n">
        <v>0</v>
      </c>
      <c r="M222" t="n">
        <v>0</v>
      </c>
      <c r="N222" t="n">
        <v>0</v>
      </c>
      <c r="O222" t="n">
        <v>0</v>
      </c>
      <c r="P222" t="n">
        <v>0</v>
      </c>
      <c r="Q222" t="n">
        <v>0</v>
      </c>
      <c r="R222" s="2" t="inlineStr"/>
    </row>
    <row r="223" ht="15" customHeight="1">
      <c r="A223" t="inlineStr">
        <is>
          <t>A 26567-2025</t>
        </is>
      </c>
      <c r="B223" s="1" t="n">
        <v>45807.66878472222</v>
      </c>
      <c r="C223" s="1" t="n">
        <v>46083</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8501-2024</t>
        </is>
      </c>
      <c r="B224" s="1" t="n">
        <v>45355.45898148148</v>
      </c>
      <c r="C224" s="1" t="n">
        <v>46083</v>
      </c>
      <c r="D224" t="inlineStr">
        <is>
          <t>ÖSTERGÖTLANDS LÄN</t>
        </is>
      </c>
      <c r="E224" t="inlineStr">
        <is>
          <t>KINDA</t>
        </is>
      </c>
      <c r="F224" t="inlineStr">
        <is>
          <t>Övriga Aktiebolag</t>
        </is>
      </c>
      <c r="G224" t="n">
        <v>10.3</v>
      </c>
      <c r="H224" t="n">
        <v>0</v>
      </c>
      <c r="I224" t="n">
        <v>0</v>
      </c>
      <c r="J224" t="n">
        <v>0</v>
      </c>
      <c r="K224" t="n">
        <v>0</v>
      </c>
      <c r="L224" t="n">
        <v>0</v>
      </c>
      <c r="M224" t="n">
        <v>0</v>
      </c>
      <c r="N224" t="n">
        <v>0</v>
      </c>
      <c r="O224" t="n">
        <v>0</v>
      </c>
      <c r="P224" t="n">
        <v>0</v>
      </c>
      <c r="Q224" t="n">
        <v>0</v>
      </c>
      <c r="R224" s="2" t="inlineStr"/>
    </row>
    <row r="225" ht="15" customHeight="1">
      <c r="A225" t="inlineStr">
        <is>
          <t>A 22029-2025</t>
        </is>
      </c>
      <c r="B225" s="1" t="n">
        <v>45785.24804398148</v>
      </c>
      <c r="C225" s="1" t="n">
        <v>46083</v>
      </c>
      <c r="D225" t="inlineStr">
        <is>
          <t>ÖSTERGÖTLANDS LÄN</t>
        </is>
      </c>
      <c r="E225" t="inlineStr">
        <is>
          <t>KINDA</t>
        </is>
      </c>
      <c r="G225" t="n">
        <v>5.2</v>
      </c>
      <c r="H225" t="n">
        <v>0</v>
      </c>
      <c r="I225" t="n">
        <v>0</v>
      </c>
      <c r="J225" t="n">
        <v>0</v>
      </c>
      <c r="K225" t="n">
        <v>0</v>
      </c>
      <c r="L225" t="n">
        <v>0</v>
      </c>
      <c r="M225" t="n">
        <v>0</v>
      </c>
      <c r="N225" t="n">
        <v>0</v>
      </c>
      <c r="O225" t="n">
        <v>0</v>
      </c>
      <c r="P225" t="n">
        <v>0</v>
      </c>
      <c r="Q225" t="n">
        <v>0</v>
      </c>
      <c r="R225" s="2" t="inlineStr"/>
    </row>
    <row r="226" ht="15" customHeight="1">
      <c r="A226" t="inlineStr">
        <is>
          <t>A 39090-2025</t>
        </is>
      </c>
      <c r="B226" s="1" t="n">
        <v>45888.49229166667</v>
      </c>
      <c r="C226" s="1" t="n">
        <v>46083</v>
      </c>
      <c r="D226" t="inlineStr">
        <is>
          <t>ÖSTERGÖTLANDS LÄN</t>
        </is>
      </c>
      <c r="E226" t="inlineStr">
        <is>
          <t>KINDA</t>
        </is>
      </c>
      <c r="G226" t="n">
        <v>5.4</v>
      </c>
      <c r="H226" t="n">
        <v>0</v>
      </c>
      <c r="I226" t="n">
        <v>0</v>
      </c>
      <c r="J226" t="n">
        <v>0</v>
      </c>
      <c r="K226" t="n">
        <v>0</v>
      </c>
      <c r="L226" t="n">
        <v>0</v>
      </c>
      <c r="M226" t="n">
        <v>0</v>
      </c>
      <c r="N226" t="n">
        <v>0</v>
      </c>
      <c r="O226" t="n">
        <v>0</v>
      </c>
      <c r="P226" t="n">
        <v>0</v>
      </c>
      <c r="Q226" t="n">
        <v>0</v>
      </c>
      <c r="R226" s="2" t="inlineStr"/>
    </row>
    <row r="227" ht="15" customHeight="1">
      <c r="A227" t="inlineStr">
        <is>
          <t>A 27105-2025</t>
        </is>
      </c>
      <c r="B227" s="1" t="n">
        <v>45811</v>
      </c>
      <c r="C227" s="1" t="n">
        <v>46083</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1880-2025</t>
        </is>
      </c>
      <c r="B228" s="1" t="n">
        <v>45671.62322916667</v>
      </c>
      <c r="C228" s="1" t="n">
        <v>46083</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27608-2025</t>
        </is>
      </c>
      <c r="B229" s="1" t="n">
        <v>45813.53402777778</v>
      </c>
      <c r="C229" s="1" t="n">
        <v>46083</v>
      </c>
      <c r="D229" t="inlineStr">
        <is>
          <t>ÖSTERGÖTLANDS LÄN</t>
        </is>
      </c>
      <c r="E229" t="inlineStr">
        <is>
          <t>KINDA</t>
        </is>
      </c>
      <c r="F229" t="inlineStr">
        <is>
          <t>Övriga Aktiebolag</t>
        </is>
      </c>
      <c r="G229" t="n">
        <v>2.4</v>
      </c>
      <c r="H229" t="n">
        <v>0</v>
      </c>
      <c r="I229" t="n">
        <v>0</v>
      </c>
      <c r="J229" t="n">
        <v>0</v>
      </c>
      <c r="K229" t="n">
        <v>0</v>
      </c>
      <c r="L229" t="n">
        <v>0</v>
      </c>
      <c r="M229" t="n">
        <v>0</v>
      </c>
      <c r="N229" t="n">
        <v>0</v>
      </c>
      <c r="O229" t="n">
        <v>0</v>
      </c>
      <c r="P229" t="n">
        <v>0</v>
      </c>
      <c r="Q229" t="n">
        <v>0</v>
      </c>
      <c r="R229" s="2" t="inlineStr"/>
    </row>
    <row r="230" ht="15" customHeight="1">
      <c r="A230" t="inlineStr">
        <is>
          <t>A 14817-2023</t>
        </is>
      </c>
      <c r="B230" s="1" t="n">
        <v>45014.65841435185</v>
      </c>
      <c r="C230" s="1" t="n">
        <v>46083</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27587-2025</t>
        </is>
      </c>
      <c r="B231" s="1" t="n">
        <v>45813.50763888889</v>
      </c>
      <c r="C231" s="1" t="n">
        <v>46083</v>
      </c>
      <c r="D231" t="inlineStr">
        <is>
          <t>ÖSTERGÖTLANDS LÄN</t>
        </is>
      </c>
      <c r="E231" t="inlineStr">
        <is>
          <t>KINDA</t>
        </is>
      </c>
      <c r="F231" t="inlineStr">
        <is>
          <t>Övriga Aktiebolag</t>
        </is>
      </c>
      <c r="G231" t="n">
        <v>13.6</v>
      </c>
      <c r="H231" t="n">
        <v>0</v>
      </c>
      <c r="I231" t="n">
        <v>0</v>
      </c>
      <c r="J231" t="n">
        <v>0</v>
      </c>
      <c r="K231" t="n">
        <v>0</v>
      </c>
      <c r="L231" t="n">
        <v>0</v>
      </c>
      <c r="M231" t="n">
        <v>0</v>
      </c>
      <c r="N231" t="n">
        <v>0</v>
      </c>
      <c r="O231" t="n">
        <v>0</v>
      </c>
      <c r="P231" t="n">
        <v>0</v>
      </c>
      <c r="Q231" t="n">
        <v>0</v>
      </c>
      <c r="R231" s="2" t="inlineStr"/>
    </row>
    <row r="232" ht="15" customHeight="1">
      <c r="A232" t="inlineStr">
        <is>
          <t>A 27600-2025</t>
        </is>
      </c>
      <c r="B232" s="1" t="n">
        <v>45813.52677083333</v>
      </c>
      <c r="C232" s="1" t="n">
        <v>46083</v>
      </c>
      <c r="D232" t="inlineStr">
        <is>
          <t>ÖSTERGÖTLANDS LÄN</t>
        </is>
      </c>
      <c r="E232" t="inlineStr">
        <is>
          <t>KINDA</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39246-2025</t>
        </is>
      </c>
      <c r="B233" s="1" t="n">
        <v>45889.35399305556</v>
      </c>
      <c r="C233" s="1" t="n">
        <v>46083</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27966-2025</t>
        </is>
      </c>
      <c r="B234" s="1" t="n">
        <v>45817.55668981482</v>
      </c>
      <c r="C234" s="1" t="n">
        <v>46083</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49443-2021</t>
        </is>
      </c>
      <c r="B235" s="1" t="n">
        <v>44454.66972222222</v>
      </c>
      <c r="C235" s="1" t="n">
        <v>46083</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27966-2023</t>
        </is>
      </c>
      <c r="B236" s="1" t="n">
        <v>45098.70277777778</v>
      </c>
      <c r="C236" s="1" t="n">
        <v>46083</v>
      </c>
      <c r="D236" t="inlineStr">
        <is>
          <t>ÖSTERGÖTLANDS LÄN</t>
        </is>
      </c>
      <c r="E236" t="inlineStr">
        <is>
          <t>KINDA</t>
        </is>
      </c>
      <c r="G236" t="n">
        <v>2.9</v>
      </c>
      <c r="H236" t="n">
        <v>0</v>
      </c>
      <c r="I236" t="n">
        <v>0</v>
      </c>
      <c r="J236" t="n">
        <v>0</v>
      </c>
      <c r="K236" t="n">
        <v>0</v>
      </c>
      <c r="L236" t="n">
        <v>0</v>
      </c>
      <c r="M236" t="n">
        <v>0</v>
      </c>
      <c r="N236" t="n">
        <v>0</v>
      </c>
      <c r="O236" t="n">
        <v>0</v>
      </c>
      <c r="P236" t="n">
        <v>0</v>
      </c>
      <c r="Q236" t="n">
        <v>0</v>
      </c>
      <c r="R236" s="2" t="inlineStr"/>
    </row>
    <row r="237" ht="15" customHeight="1">
      <c r="A237" t="inlineStr">
        <is>
          <t>A 34627-2023</t>
        </is>
      </c>
      <c r="B237" s="1" t="n">
        <v>45139</v>
      </c>
      <c r="C237" s="1" t="n">
        <v>46083</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10806-2024</t>
        </is>
      </c>
      <c r="B238" s="1" t="n">
        <v>45369.62628472222</v>
      </c>
      <c r="C238" s="1" t="n">
        <v>46083</v>
      </c>
      <c r="D238" t="inlineStr">
        <is>
          <t>ÖSTERGÖTLANDS LÄN</t>
        </is>
      </c>
      <c r="E238" t="inlineStr">
        <is>
          <t>KINDA</t>
        </is>
      </c>
      <c r="G238" t="n">
        <v>4.2</v>
      </c>
      <c r="H238" t="n">
        <v>0</v>
      </c>
      <c r="I238" t="n">
        <v>0</v>
      </c>
      <c r="J238" t="n">
        <v>0</v>
      </c>
      <c r="K238" t="n">
        <v>0</v>
      </c>
      <c r="L238" t="n">
        <v>0</v>
      </c>
      <c r="M238" t="n">
        <v>0</v>
      </c>
      <c r="N238" t="n">
        <v>0</v>
      </c>
      <c r="O238" t="n">
        <v>0</v>
      </c>
      <c r="P238" t="n">
        <v>0</v>
      </c>
      <c r="Q238" t="n">
        <v>0</v>
      </c>
      <c r="R238" s="2" t="inlineStr"/>
    </row>
    <row r="239" ht="15" customHeight="1">
      <c r="A239" t="inlineStr">
        <is>
          <t>A 27969-2025</t>
        </is>
      </c>
      <c r="B239" s="1" t="n">
        <v>45817.55887731481</v>
      </c>
      <c r="C239" s="1" t="n">
        <v>46083</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43069-2024</t>
        </is>
      </c>
      <c r="B240" s="1" t="n">
        <v>45567.47780092592</v>
      </c>
      <c r="C240" s="1" t="n">
        <v>46083</v>
      </c>
      <c r="D240" t="inlineStr">
        <is>
          <t>ÖSTERGÖTLANDS LÄN</t>
        </is>
      </c>
      <c r="E240" t="inlineStr">
        <is>
          <t>KINDA</t>
        </is>
      </c>
      <c r="G240" t="n">
        <v>4.1</v>
      </c>
      <c r="H240" t="n">
        <v>0</v>
      </c>
      <c r="I240" t="n">
        <v>0</v>
      </c>
      <c r="J240" t="n">
        <v>0</v>
      </c>
      <c r="K240" t="n">
        <v>0</v>
      </c>
      <c r="L240" t="n">
        <v>0</v>
      </c>
      <c r="M240" t="n">
        <v>0</v>
      </c>
      <c r="N240" t="n">
        <v>0</v>
      </c>
      <c r="O240" t="n">
        <v>0</v>
      </c>
      <c r="P240" t="n">
        <v>0</v>
      </c>
      <c r="Q240" t="n">
        <v>0</v>
      </c>
      <c r="R240" s="2" t="inlineStr"/>
    </row>
    <row r="241" ht="15" customHeight="1">
      <c r="A241" t="inlineStr">
        <is>
          <t>A 28256-2025</t>
        </is>
      </c>
      <c r="B241" s="1" t="n">
        <v>45818</v>
      </c>
      <c r="C241" s="1" t="n">
        <v>46083</v>
      </c>
      <c r="D241" t="inlineStr">
        <is>
          <t>ÖSTERGÖTLANDS LÄN</t>
        </is>
      </c>
      <c r="E241" t="inlineStr">
        <is>
          <t>KINDA</t>
        </is>
      </c>
      <c r="G241" t="n">
        <v>1.9</v>
      </c>
      <c r="H241" t="n">
        <v>0</v>
      </c>
      <c r="I241" t="n">
        <v>0</v>
      </c>
      <c r="J241" t="n">
        <v>0</v>
      </c>
      <c r="K241" t="n">
        <v>0</v>
      </c>
      <c r="L241" t="n">
        <v>0</v>
      </c>
      <c r="M241" t="n">
        <v>0</v>
      </c>
      <c r="N241" t="n">
        <v>0</v>
      </c>
      <c r="O241" t="n">
        <v>0</v>
      </c>
      <c r="P241" t="n">
        <v>0</v>
      </c>
      <c r="Q241" t="n">
        <v>0</v>
      </c>
      <c r="R241" s="2" t="inlineStr"/>
    </row>
    <row r="242" ht="15" customHeight="1">
      <c r="A242" t="inlineStr">
        <is>
          <t>A 28258-2025</t>
        </is>
      </c>
      <c r="B242" s="1" t="n">
        <v>45818</v>
      </c>
      <c r="C242" s="1" t="n">
        <v>46083</v>
      </c>
      <c r="D242" t="inlineStr">
        <is>
          <t>ÖSTERGÖTLANDS LÄN</t>
        </is>
      </c>
      <c r="E242" t="inlineStr">
        <is>
          <t>KINDA</t>
        </is>
      </c>
      <c r="G242" t="n">
        <v>3.4</v>
      </c>
      <c r="H242" t="n">
        <v>0</v>
      </c>
      <c r="I242" t="n">
        <v>0</v>
      </c>
      <c r="J242" t="n">
        <v>0</v>
      </c>
      <c r="K242" t="n">
        <v>0</v>
      </c>
      <c r="L242" t="n">
        <v>0</v>
      </c>
      <c r="M242" t="n">
        <v>0</v>
      </c>
      <c r="N242" t="n">
        <v>0</v>
      </c>
      <c r="O242" t="n">
        <v>0</v>
      </c>
      <c r="P242" t="n">
        <v>0</v>
      </c>
      <c r="Q242" t="n">
        <v>0</v>
      </c>
      <c r="R242" s="2" t="inlineStr"/>
    </row>
    <row r="243" ht="15" customHeight="1">
      <c r="A243" t="inlineStr">
        <is>
          <t>A 51836-2021</t>
        </is>
      </c>
      <c r="B243" s="1" t="n">
        <v>44462</v>
      </c>
      <c r="C243" s="1" t="n">
        <v>46083</v>
      </c>
      <c r="D243" t="inlineStr">
        <is>
          <t>ÖSTERGÖTLANDS LÄN</t>
        </is>
      </c>
      <c r="E243" t="inlineStr">
        <is>
          <t>KINDA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35104-2023</t>
        </is>
      </c>
      <c r="B244" s="1" t="n">
        <v>45145</v>
      </c>
      <c r="C244" s="1" t="n">
        <v>46083</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28519-2025</t>
        </is>
      </c>
      <c r="B245" s="1" t="n">
        <v>45819.4893287037</v>
      </c>
      <c r="C245" s="1" t="n">
        <v>46083</v>
      </c>
      <c r="D245" t="inlineStr">
        <is>
          <t>ÖSTERGÖTLANDS LÄN</t>
        </is>
      </c>
      <c r="E245" t="inlineStr">
        <is>
          <t>KINDA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28552-2025</t>
        </is>
      </c>
      <c r="B246" s="1" t="n">
        <v>45819.53686342593</v>
      </c>
      <c r="C246" s="1" t="n">
        <v>46083</v>
      </c>
      <c r="D246" t="inlineStr">
        <is>
          <t>ÖSTERGÖTLANDS LÄN</t>
        </is>
      </c>
      <c r="E246" t="inlineStr">
        <is>
          <t>KINDA</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28568-2025</t>
        </is>
      </c>
      <c r="B247" s="1" t="n">
        <v>45819.55849537037</v>
      </c>
      <c r="C247" s="1" t="n">
        <v>46083</v>
      </c>
      <c r="D247" t="inlineStr">
        <is>
          <t>ÖSTERGÖTLANDS LÄN</t>
        </is>
      </c>
      <c r="E247" t="inlineStr">
        <is>
          <t>KINDA</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28479-2025</t>
        </is>
      </c>
      <c r="B248" s="1" t="n">
        <v>45819.4475</v>
      </c>
      <c r="C248" s="1" t="n">
        <v>46083</v>
      </c>
      <c r="D248" t="inlineStr">
        <is>
          <t>ÖSTERGÖTLANDS LÄN</t>
        </is>
      </c>
      <c r="E248" t="inlineStr">
        <is>
          <t>KINDA</t>
        </is>
      </c>
      <c r="F248" t="inlineStr">
        <is>
          <t>Övriga Aktiebolag</t>
        </is>
      </c>
      <c r="G248" t="n">
        <v>15.2</v>
      </c>
      <c r="H248" t="n">
        <v>0</v>
      </c>
      <c r="I248" t="n">
        <v>0</v>
      </c>
      <c r="J248" t="n">
        <v>0</v>
      </c>
      <c r="K248" t="n">
        <v>0</v>
      </c>
      <c r="L248" t="n">
        <v>0</v>
      </c>
      <c r="M248" t="n">
        <v>0</v>
      </c>
      <c r="N248" t="n">
        <v>0</v>
      </c>
      <c r="O248" t="n">
        <v>0</v>
      </c>
      <c r="P248" t="n">
        <v>0</v>
      </c>
      <c r="Q248" t="n">
        <v>0</v>
      </c>
      <c r="R248" s="2" t="inlineStr"/>
    </row>
    <row r="249" ht="15" customHeight="1">
      <c r="A249" t="inlineStr">
        <is>
          <t>A 15110-2022</t>
        </is>
      </c>
      <c r="B249" s="1" t="n">
        <v>44657</v>
      </c>
      <c r="C249" s="1" t="n">
        <v>46083</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45450-2024</t>
        </is>
      </c>
      <c r="B250" s="1" t="n">
        <v>45576.65969907407</v>
      </c>
      <c r="C250" s="1" t="n">
        <v>46083</v>
      </c>
      <c r="D250" t="inlineStr">
        <is>
          <t>ÖSTERGÖTLANDS LÄN</t>
        </is>
      </c>
      <c r="E250" t="inlineStr">
        <is>
          <t>KINDA</t>
        </is>
      </c>
      <c r="G250" t="n">
        <v>1.7</v>
      </c>
      <c r="H250" t="n">
        <v>0</v>
      </c>
      <c r="I250" t="n">
        <v>0</v>
      </c>
      <c r="J250" t="n">
        <v>0</v>
      </c>
      <c r="K250" t="n">
        <v>0</v>
      </c>
      <c r="L250" t="n">
        <v>0</v>
      </c>
      <c r="M250" t="n">
        <v>0</v>
      </c>
      <c r="N250" t="n">
        <v>0</v>
      </c>
      <c r="O250" t="n">
        <v>0</v>
      </c>
      <c r="P250" t="n">
        <v>0</v>
      </c>
      <c r="Q250" t="n">
        <v>0</v>
      </c>
      <c r="R250" s="2" t="inlineStr"/>
    </row>
    <row r="251" ht="15" customHeight="1">
      <c r="A251" t="inlineStr">
        <is>
          <t>A 28611-2025</t>
        </is>
      </c>
      <c r="B251" s="1" t="n">
        <v>45819.60376157407</v>
      </c>
      <c r="C251" s="1" t="n">
        <v>46083</v>
      </c>
      <c r="D251" t="inlineStr">
        <is>
          <t>ÖSTERGÖTLANDS LÄN</t>
        </is>
      </c>
      <c r="E251" t="inlineStr">
        <is>
          <t>KINDA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21795-2024</t>
        </is>
      </c>
      <c r="B252" s="1" t="n">
        <v>45442.6459837963</v>
      </c>
      <c r="C252" s="1" t="n">
        <v>46083</v>
      </c>
      <c r="D252" t="inlineStr">
        <is>
          <t>ÖSTERGÖTLANDS LÄN</t>
        </is>
      </c>
      <c r="E252" t="inlineStr">
        <is>
          <t>KINDA</t>
        </is>
      </c>
      <c r="G252" t="n">
        <v>1</v>
      </c>
      <c r="H252" t="n">
        <v>0</v>
      </c>
      <c r="I252" t="n">
        <v>0</v>
      </c>
      <c r="J252" t="n">
        <v>0</v>
      </c>
      <c r="K252" t="n">
        <v>0</v>
      </c>
      <c r="L252" t="n">
        <v>0</v>
      </c>
      <c r="M252" t="n">
        <v>0</v>
      </c>
      <c r="N252" t="n">
        <v>0</v>
      </c>
      <c r="O252" t="n">
        <v>0</v>
      </c>
      <c r="P252" t="n">
        <v>0</v>
      </c>
      <c r="Q252" t="n">
        <v>0</v>
      </c>
      <c r="R252" s="2" t="inlineStr"/>
    </row>
    <row r="253" ht="15" customHeight="1">
      <c r="A253" t="inlineStr">
        <is>
          <t>A 29210-2025</t>
        </is>
      </c>
      <c r="B253" s="1" t="n">
        <v>45823.95060185185</v>
      </c>
      <c r="C253" s="1" t="n">
        <v>46083</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29079-2025</t>
        </is>
      </c>
      <c r="B254" s="1" t="n">
        <v>45821</v>
      </c>
      <c r="C254" s="1" t="n">
        <v>46083</v>
      </c>
      <c r="D254" t="inlineStr">
        <is>
          <t>ÖSTERGÖTLANDS LÄN</t>
        </is>
      </c>
      <c r="E254" t="inlineStr">
        <is>
          <t>KINDA</t>
        </is>
      </c>
      <c r="G254" t="n">
        <v>5.7</v>
      </c>
      <c r="H254" t="n">
        <v>0</v>
      </c>
      <c r="I254" t="n">
        <v>0</v>
      </c>
      <c r="J254" t="n">
        <v>0</v>
      </c>
      <c r="K254" t="n">
        <v>0</v>
      </c>
      <c r="L254" t="n">
        <v>0</v>
      </c>
      <c r="M254" t="n">
        <v>0</v>
      </c>
      <c r="N254" t="n">
        <v>0</v>
      </c>
      <c r="O254" t="n">
        <v>0</v>
      </c>
      <c r="P254" t="n">
        <v>0</v>
      </c>
      <c r="Q254" t="n">
        <v>0</v>
      </c>
      <c r="R254" s="2" t="inlineStr"/>
    </row>
    <row r="255" ht="15" customHeight="1">
      <c r="A255" t="inlineStr">
        <is>
          <t>A 29086-2025</t>
        </is>
      </c>
      <c r="B255" s="1" t="n">
        <v>45821</v>
      </c>
      <c r="C255" s="1" t="n">
        <v>46083</v>
      </c>
      <c r="D255" t="inlineStr">
        <is>
          <t>ÖSTERGÖTLANDS LÄN</t>
        </is>
      </c>
      <c r="E255" t="inlineStr">
        <is>
          <t>KINDA</t>
        </is>
      </c>
      <c r="G255" t="n">
        <v>2</v>
      </c>
      <c r="H255" t="n">
        <v>0</v>
      </c>
      <c r="I255" t="n">
        <v>0</v>
      </c>
      <c r="J255" t="n">
        <v>0</v>
      </c>
      <c r="K255" t="n">
        <v>0</v>
      </c>
      <c r="L255" t="n">
        <v>0</v>
      </c>
      <c r="M255" t="n">
        <v>0</v>
      </c>
      <c r="N255" t="n">
        <v>0</v>
      </c>
      <c r="O255" t="n">
        <v>0</v>
      </c>
      <c r="P255" t="n">
        <v>0</v>
      </c>
      <c r="Q255" t="n">
        <v>0</v>
      </c>
      <c r="R255" s="2" t="inlineStr"/>
    </row>
    <row r="256" ht="15" customHeight="1">
      <c r="A256" t="inlineStr">
        <is>
          <t>A 29078-2025</t>
        </is>
      </c>
      <c r="B256" s="1" t="n">
        <v>45821</v>
      </c>
      <c r="C256" s="1" t="n">
        <v>46083</v>
      </c>
      <c r="D256" t="inlineStr">
        <is>
          <t>ÖSTERGÖTLANDS LÄN</t>
        </is>
      </c>
      <c r="E256" t="inlineStr">
        <is>
          <t>KINDA</t>
        </is>
      </c>
      <c r="G256" t="n">
        <v>2</v>
      </c>
      <c r="H256" t="n">
        <v>0</v>
      </c>
      <c r="I256" t="n">
        <v>0</v>
      </c>
      <c r="J256" t="n">
        <v>0</v>
      </c>
      <c r="K256" t="n">
        <v>0</v>
      </c>
      <c r="L256" t="n">
        <v>0</v>
      </c>
      <c r="M256" t="n">
        <v>0</v>
      </c>
      <c r="N256" t="n">
        <v>0</v>
      </c>
      <c r="O256" t="n">
        <v>0</v>
      </c>
      <c r="P256" t="n">
        <v>0</v>
      </c>
      <c r="Q256" t="n">
        <v>0</v>
      </c>
      <c r="R256" s="2" t="inlineStr"/>
    </row>
    <row r="257" ht="15" customHeight="1">
      <c r="A257" t="inlineStr">
        <is>
          <t>A 5197-2022</t>
        </is>
      </c>
      <c r="B257" s="1" t="n">
        <v>44594</v>
      </c>
      <c r="C257" s="1" t="n">
        <v>46083</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29211-2025</t>
        </is>
      </c>
      <c r="B258" s="1" t="n">
        <v>45823.95393518519</v>
      </c>
      <c r="C258" s="1" t="n">
        <v>46083</v>
      </c>
      <c r="D258" t="inlineStr">
        <is>
          <t>ÖSTERGÖTLANDS LÄN</t>
        </is>
      </c>
      <c r="E258" t="inlineStr">
        <is>
          <t>KINDA</t>
        </is>
      </c>
      <c r="G258" t="n">
        <v>2.4</v>
      </c>
      <c r="H258" t="n">
        <v>0</v>
      </c>
      <c r="I258" t="n">
        <v>0</v>
      </c>
      <c r="J258" t="n">
        <v>0</v>
      </c>
      <c r="K258" t="n">
        <v>0</v>
      </c>
      <c r="L258" t="n">
        <v>0</v>
      </c>
      <c r="M258" t="n">
        <v>0</v>
      </c>
      <c r="N258" t="n">
        <v>0</v>
      </c>
      <c r="O258" t="n">
        <v>0</v>
      </c>
      <c r="P258" t="n">
        <v>0</v>
      </c>
      <c r="Q258" t="n">
        <v>0</v>
      </c>
      <c r="R258" s="2" t="inlineStr"/>
    </row>
    <row r="259" ht="15" customHeight="1">
      <c r="A259" t="inlineStr">
        <is>
          <t>A 29061-2025</t>
        </is>
      </c>
      <c r="B259" s="1" t="n">
        <v>45821</v>
      </c>
      <c r="C259" s="1" t="n">
        <v>46083</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41657-2024</t>
        </is>
      </c>
      <c r="B260" s="1" t="n">
        <v>45560.64243055556</v>
      </c>
      <c r="C260" s="1" t="n">
        <v>46083</v>
      </c>
      <c r="D260" t="inlineStr">
        <is>
          <t>ÖSTERGÖTLANDS LÄN</t>
        </is>
      </c>
      <c r="E260" t="inlineStr">
        <is>
          <t>KINDA</t>
        </is>
      </c>
      <c r="G260" t="n">
        <v>0.4</v>
      </c>
      <c r="H260" t="n">
        <v>0</v>
      </c>
      <c r="I260" t="n">
        <v>0</v>
      </c>
      <c r="J260" t="n">
        <v>0</v>
      </c>
      <c r="K260" t="n">
        <v>0</v>
      </c>
      <c r="L260" t="n">
        <v>0</v>
      </c>
      <c r="M260" t="n">
        <v>0</v>
      </c>
      <c r="N260" t="n">
        <v>0</v>
      </c>
      <c r="O260" t="n">
        <v>0</v>
      </c>
      <c r="P260" t="n">
        <v>0</v>
      </c>
      <c r="Q260" t="n">
        <v>0</v>
      </c>
      <c r="R260" s="2" t="inlineStr"/>
    </row>
    <row r="261" ht="15" customHeight="1">
      <c r="A261" t="inlineStr">
        <is>
          <t>A 29092-2025</t>
        </is>
      </c>
      <c r="B261" s="1" t="n">
        <v>45821</v>
      </c>
      <c r="C261" s="1" t="n">
        <v>46083</v>
      </c>
      <c r="D261" t="inlineStr">
        <is>
          <t>ÖSTERGÖTLANDS LÄN</t>
        </is>
      </c>
      <c r="E261" t="inlineStr">
        <is>
          <t>KINDA</t>
        </is>
      </c>
      <c r="G261" t="n">
        <v>1.8</v>
      </c>
      <c r="H261" t="n">
        <v>0</v>
      </c>
      <c r="I261" t="n">
        <v>0</v>
      </c>
      <c r="J261" t="n">
        <v>0</v>
      </c>
      <c r="K261" t="n">
        <v>0</v>
      </c>
      <c r="L261" t="n">
        <v>0</v>
      </c>
      <c r="M261" t="n">
        <v>0</v>
      </c>
      <c r="N261" t="n">
        <v>0</v>
      </c>
      <c r="O261" t="n">
        <v>0</v>
      </c>
      <c r="P261" t="n">
        <v>0</v>
      </c>
      <c r="Q261" t="n">
        <v>0</v>
      </c>
      <c r="R261" s="2" t="inlineStr"/>
    </row>
    <row r="262" ht="15" customHeight="1">
      <c r="A262" t="inlineStr">
        <is>
          <t>A 8233-2023</t>
        </is>
      </c>
      <c r="B262" s="1" t="n">
        <v>44974.57886574074</v>
      </c>
      <c r="C262" s="1" t="n">
        <v>46083</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6098-2023</t>
        </is>
      </c>
      <c r="B263" s="1" t="n">
        <v>44964</v>
      </c>
      <c r="C263" s="1" t="n">
        <v>46083</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53239-2024</t>
        </is>
      </c>
      <c r="B264" s="1" t="n">
        <v>45613.8235300926</v>
      </c>
      <c r="C264" s="1" t="n">
        <v>46083</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40847-2025</t>
        </is>
      </c>
      <c r="B265" s="1" t="n">
        <v>45897.54641203704</v>
      </c>
      <c r="C265" s="1" t="n">
        <v>46083</v>
      </c>
      <c r="D265" t="inlineStr">
        <is>
          <t>ÖSTERGÖTLANDS LÄN</t>
        </is>
      </c>
      <c r="E265" t="inlineStr">
        <is>
          <t>KINDA</t>
        </is>
      </c>
      <c r="G265" t="n">
        <v>3.1</v>
      </c>
      <c r="H265" t="n">
        <v>0</v>
      </c>
      <c r="I265" t="n">
        <v>0</v>
      </c>
      <c r="J265" t="n">
        <v>0</v>
      </c>
      <c r="K265" t="n">
        <v>0</v>
      </c>
      <c r="L265" t="n">
        <v>0</v>
      </c>
      <c r="M265" t="n">
        <v>0</v>
      </c>
      <c r="N265" t="n">
        <v>0</v>
      </c>
      <c r="O265" t="n">
        <v>0</v>
      </c>
      <c r="P265" t="n">
        <v>0</v>
      </c>
      <c r="Q265" t="n">
        <v>0</v>
      </c>
      <c r="R265" s="2" t="inlineStr"/>
    </row>
    <row r="266" ht="15" customHeight="1">
      <c r="A266" t="inlineStr">
        <is>
          <t>A 40845-2025</t>
        </is>
      </c>
      <c r="B266" s="1" t="n">
        <v>45897.54273148148</v>
      </c>
      <c r="C266" s="1" t="n">
        <v>46083</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29471-2025</t>
        </is>
      </c>
      <c r="B267" s="1" t="n">
        <v>45824</v>
      </c>
      <c r="C267" s="1" t="n">
        <v>46083</v>
      </c>
      <c r="D267" t="inlineStr">
        <is>
          <t>ÖSTERGÖTLANDS LÄN</t>
        </is>
      </c>
      <c r="E267" t="inlineStr">
        <is>
          <t>KINDA</t>
        </is>
      </c>
      <c r="G267" t="n">
        <v>5.4</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46083</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53319-2023</t>
        </is>
      </c>
      <c r="B269" s="1" t="n">
        <v>45229</v>
      </c>
      <c r="C269" s="1" t="n">
        <v>46083</v>
      </c>
      <c r="D269" t="inlineStr">
        <is>
          <t>ÖSTERGÖTLANDS LÄN</t>
        </is>
      </c>
      <c r="E269" t="inlineStr">
        <is>
          <t>KINDA</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40849-2025</t>
        </is>
      </c>
      <c r="B270" s="1" t="n">
        <v>45897.54880787037</v>
      </c>
      <c r="C270" s="1" t="n">
        <v>46083</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40853-2025</t>
        </is>
      </c>
      <c r="B271" s="1" t="n">
        <v>45897.55340277778</v>
      </c>
      <c r="C271" s="1" t="n">
        <v>46083</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47724-2024</t>
        </is>
      </c>
      <c r="B272" s="1" t="n">
        <v>45588.49065972222</v>
      </c>
      <c r="C272" s="1" t="n">
        <v>46083</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41396-2025</t>
        </is>
      </c>
      <c r="B273" s="1" t="n">
        <v>45901.32078703704</v>
      </c>
      <c r="C273" s="1" t="n">
        <v>46083</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34882-2023</t>
        </is>
      </c>
      <c r="B274" s="1" t="n">
        <v>45141</v>
      </c>
      <c r="C274" s="1" t="n">
        <v>46083</v>
      </c>
      <c r="D274" t="inlineStr">
        <is>
          <t>ÖSTERGÖTLANDS LÄN</t>
        </is>
      </c>
      <c r="E274" t="inlineStr">
        <is>
          <t>KINDA</t>
        </is>
      </c>
      <c r="G274" t="n">
        <v>0.8</v>
      </c>
      <c r="H274" t="n">
        <v>0</v>
      </c>
      <c r="I274" t="n">
        <v>0</v>
      </c>
      <c r="J274" t="n">
        <v>0</v>
      </c>
      <c r="K274" t="n">
        <v>0</v>
      </c>
      <c r="L274" t="n">
        <v>0</v>
      </c>
      <c r="M274" t="n">
        <v>0</v>
      </c>
      <c r="N274" t="n">
        <v>0</v>
      </c>
      <c r="O274" t="n">
        <v>0</v>
      </c>
      <c r="P274" t="n">
        <v>0</v>
      </c>
      <c r="Q274" t="n">
        <v>0</v>
      </c>
      <c r="R274" s="2" t="inlineStr"/>
    </row>
    <row r="275" ht="15" customHeight="1">
      <c r="A275" t="inlineStr">
        <is>
          <t>A 61960-2022</t>
        </is>
      </c>
      <c r="B275" s="1" t="n">
        <v>44918.34784722222</v>
      </c>
      <c r="C275" s="1" t="n">
        <v>46083</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6301-2025</t>
        </is>
      </c>
      <c r="B276" s="1" t="n">
        <v>45698.67719907407</v>
      </c>
      <c r="C276" s="1" t="n">
        <v>46083</v>
      </c>
      <c r="D276" t="inlineStr">
        <is>
          <t>ÖSTERGÖTLANDS LÄN</t>
        </is>
      </c>
      <c r="E276" t="inlineStr">
        <is>
          <t>KINDA</t>
        </is>
      </c>
      <c r="G276" t="n">
        <v>4.9</v>
      </c>
      <c r="H276" t="n">
        <v>0</v>
      </c>
      <c r="I276" t="n">
        <v>0</v>
      </c>
      <c r="J276" t="n">
        <v>0</v>
      </c>
      <c r="K276" t="n">
        <v>0</v>
      </c>
      <c r="L276" t="n">
        <v>0</v>
      </c>
      <c r="M276" t="n">
        <v>0</v>
      </c>
      <c r="N276" t="n">
        <v>0</v>
      </c>
      <c r="O276" t="n">
        <v>0</v>
      </c>
      <c r="P276" t="n">
        <v>0</v>
      </c>
      <c r="Q276" t="n">
        <v>0</v>
      </c>
      <c r="R276" s="2" t="inlineStr"/>
    </row>
    <row r="277" ht="15" customHeight="1">
      <c r="A277" t="inlineStr">
        <is>
          <t>A 54671-2023</t>
        </is>
      </c>
      <c r="B277" s="1" t="n">
        <v>45235</v>
      </c>
      <c r="C277" s="1" t="n">
        <v>46083</v>
      </c>
      <c r="D277" t="inlineStr">
        <is>
          <t>ÖSTERGÖTLANDS LÄN</t>
        </is>
      </c>
      <c r="E277" t="inlineStr">
        <is>
          <t>KINDA</t>
        </is>
      </c>
      <c r="G277" t="n">
        <v>10.8</v>
      </c>
      <c r="H277" t="n">
        <v>0</v>
      </c>
      <c r="I277" t="n">
        <v>0</v>
      </c>
      <c r="J277" t="n">
        <v>0</v>
      </c>
      <c r="K277" t="n">
        <v>0</v>
      </c>
      <c r="L277" t="n">
        <v>0</v>
      </c>
      <c r="M277" t="n">
        <v>0</v>
      </c>
      <c r="N277" t="n">
        <v>0</v>
      </c>
      <c r="O277" t="n">
        <v>0</v>
      </c>
      <c r="P277" t="n">
        <v>0</v>
      </c>
      <c r="Q277" t="n">
        <v>0</v>
      </c>
      <c r="R277" s="2" t="inlineStr"/>
    </row>
    <row r="278" ht="15" customHeight="1">
      <c r="A278" t="inlineStr">
        <is>
          <t>A 31054-2025</t>
        </is>
      </c>
      <c r="B278" s="1" t="n">
        <v>45832.56275462963</v>
      </c>
      <c r="C278" s="1" t="n">
        <v>46083</v>
      </c>
      <c r="D278" t="inlineStr">
        <is>
          <t>ÖSTERGÖTLANDS LÄN</t>
        </is>
      </c>
      <c r="E278" t="inlineStr">
        <is>
          <t>KINDA</t>
        </is>
      </c>
      <c r="G278" t="n">
        <v>2.3</v>
      </c>
      <c r="H278" t="n">
        <v>0</v>
      </c>
      <c r="I278" t="n">
        <v>0</v>
      </c>
      <c r="J278" t="n">
        <v>0</v>
      </c>
      <c r="K278" t="n">
        <v>0</v>
      </c>
      <c r="L278" t="n">
        <v>0</v>
      </c>
      <c r="M278" t="n">
        <v>0</v>
      </c>
      <c r="N278" t="n">
        <v>0</v>
      </c>
      <c r="O278" t="n">
        <v>0</v>
      </c>
      <c r="P278" t="n">
        <v>0</v>
      </c>
      <c r="Q278" t="n">
        <v>0</v>
      </c>
      <c r="R278" s="2" t="inlineStr"/>
    </row>
    <row r="279" ht="15" customHeight="1">
      <c r="A279" t="inlineStr">
        <is>
          <t>A 42512-2025</t>
        </is>
      </c>
      <c r="B279" s="1" t="n">
        <v>45904</v>
      </c>
      <c r="C279" s="1" t="n">
        <v>46083</v>
      </c>
      <c r="D279" t="inlineStr">
        <is>
          <t>ÖSTERGÖTLANDS LÄN</t>
        </is>
      </c>
      <c r="E279" t="inlineStr">
        <is>
          <t>KINDA</t>
        </is>
      </c>
      <c r="G279" t="n">
        <v>2.2</v>
      </c>
      <c r="H279" t="n">
        <v>0</v>
      </c>
      <c r="I279" t="n">
        <v>0</v>
      </c>
      <c r="J279" t="n">
        <v>0</v>
      </c>
      <c r="K279" t="n">
        <v>0</v>
      </c>
      <c r="L279" t="n">
        <v>0</v>
      </c>
      <c r="M279" t="n">
        <v>0</v>
      </c>
      <c r="N279" t="n">
        <v>0</v>
      </c>
      <c r="O279" t="n">
        <v>0</v>
      </c>
      <c r="P279" t="n">
        <v>0</v>
      </c>
      <c r="Q279" t="n">
        <v>0</v>
      </c>
      <c r="R279" s="2" t="inlineStr"/>
    </row>
    <row r="280" ht="15" customHeight="1">
      <c r="A280" t="inlineStr">
        <is>
          <t>A 42509-2025</t>
        </is>
      </c>
      <c r="B280" s="1" t="n">
        <v>45904</v>
      </c>
      <c r="C280" s="1" t="n">
        <v>46083</v>
      </c>
      <c r="D280" t="inlineStr">
        <is>
          <t>ÖSTERGÖTLANDS LÄN</t>
        </is>
      </c>
      <c r="E280" t="inlineStr">
        <is>
          <t>KINDA</t>
        </is>
      </c>
      <c r="G280" t="n">
        <v>3.5</v>
      </c>
      <c r="H280" t="n">
        <v>0</v>
      </c>
      <c r="I280" t="n">
        <v>0</v>
      </c>
      <c r="J280" t="n">
        <v>0</v>
      </c>
      <c r="K280" t="n">
        <v>0</v>
      </c>
      <c r="L280" t="n">
        <v>0</v>
      </c>
      <c r="M280" t="n">
        <v>0</v>
      </c>
      <c r="N280" t="n">
        <v>0</v>
      </c>
      <c r="O280" t="n">
        <v>0</v>
      </c>
      <c r="P280" t="n">
        <v>0</v>
      </c>
      <c r="Q280" t="n">
        <v>0</v>
      </c>
      <c r="R280" s="2" t="inlineStr"/>
    </row>
    <row r="281" ht="15" customHeight="1">
      <c r="A281" t="inlineStr">
        <is>
          <t>A 42511-2025</t>
        </is>
      </c>
      <c r="B281" s="1" t="n">
        <v>45904</v>
      </c>
      <c r="C281" s="1" t="n">
        <v>46083</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31048-2025</t>
        </is>
      </c>
      <c r="B282" s="1" t="n">
        <v>45832.55696759259</v>
      </c>
      <c r="C282" s="1" t="n">
        <v>46083</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37397-2024</t>
        </is>
      </c>
      <c r="B283" s="1" t="n">
        <v>45540.59917824074</v>
      </c>
      <c r="C283" s="1" t="n">
        <v>46083</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46083</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30631-2025</t>
        </is>
      </c>
      <c r="B285" s="1" t="n">
        <v>45831.47709490741</v>
      </c>
      <c r="C285" s="1" t="n">
        <v>46083</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30613-2025</t>
        </is>
      </c>
      <c r="B286" s="1" t="n">
        <v>45831.46635416667</v>
      </c>
      <c r="C286" s="1" t="n">
        <v>46083</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31811-2025</t>
        </is>
      </c>
      <c r="B287" s="1" t="n">
        <v>45834.56487268519</v>
      </c>
      <c r="C287" s="1" t="n">
        <v>46083</v>
      </c>
      <c r="D287" t="inlineStr">
        <is>
          <t>ÖSTERGÖTLANDS LÄN</t>
        </is>
      </c>
      <c r="E287" t="inlineStr">
        <is>
          <t>KINDA</t>
        </is>
      </c>
      <c r="G287" t="n">
        <v>4.4</v>
      </c>
      <c r="H287" t="n">
        <v>0</v>
      </c>
      <c r="I287" t="n">
        <v>0</v>
      </c>
      <c r="J287" t="n">
        <v>0</v>
      </c>
      <c r="K287" t="n">
        <v>0</v>
      </c>
      <c r="L287" t="n">
        <v>0</v>
      </c>
      <c r="M287" t="n">
        <v>0</v>
      </c>
      <c r="N287" t="n">
        <v>0</v>
      </c>
      <c r="O287" t="n">
        <v>0</v>
      </c>
      <c r="P287" t="n">
        <v>0</v>
      </c>
      <c r="Q287" t="n">
        <v>0</v>
      </c>
      <c r="R287" s="2" t="inlineStr"/>
    </row>
    <row r="288" ht="15" customHeight="1">
      <c r="A288" t="inlineStr">
        <is>
          <t>A 29060-2025</t>
        </is>
      </c>
      <c r="B288" s="1" t="n">
        <v>45821.4841087963</v>
      </c>
      <c r="C288" s="1" t="n">
        <v>46083</v>
      </c>
      <c r="D288" t="inlineStr">
        <is>
          <t>ÖSTERGÖTLANDS LÄN</t>
        </is>
      </c>
      <c r="E288" t="inlineStr">
        <is>
          <t>KINDA</t>
        </is>
      </c>
      <c r="G288" t="n">
        <v>1.9</v>
      </c>
      <c r="H288" t="n">
        <v>0</v>
      </c>
      <c r="I288" t="n">
        <v>0</v>
      </c>
      <c r="J288" t="n">
        <v>0</v>
      </c>
      <c r="K288" t="n">
        <v>0</v>
      </c>
      <c r="L288" t="n">
        <v>0</v>
      </c>
      <c r="M288" t="n">
        <v>0</v>
      </c>
      <c r="N288" t="n">
        <v>0</v>
      </c>
      <c r="O288" t="n">
        <v>0</v>
      </c>
      <c r="P288" t="n">
        <v>0</v>
      </c>
      <c r="Q288" t="n">
        <v>0</v>
      </c>
      <c r="R288" s="2" t="inlineStr"/>
    </row>
    <row r="289" ht="15" customHeight="1">
      <c r="A289" t="inlineStr">
        <is>
          <t>A 42375-2025</t>
        </is>
      </c>
      <c r="B289" s="1" t="n">
        <v>45905.33846064815</v>
      </c>
      <c r="C289" s="1" t="n">
        <v>46083</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20829-2022</t>
        </is>
      </c>
      <c r="B290" s="1" t="n">
        <v>44701</v>
      </c>
      <c r="C290" s="1" t="n">
        <v>46083</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31989-2025</t>
        </is>
      </c>
      <c r="B291" s="1" t="n">
        <v>45835.36383101852</v>
      </c>
      <c r="C291" s="1" t="n">
        <v>46083</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17172-2022</t>
        </is>
      </c>
      <c r="B292" s="1" t="n">
        <v>44677</v>
      </c>
      <c r="C292" s="1" t="n">
        <v>46083</v>
      </c>
      <c r="D292" t="inlineStr">
        <is>
          <t>ÖSTERGÖTLANDS LÄN</t>
        </is>
      </c>
      <c r="E292" t="inlineStr">
        <is>
          <t>KINDA</t>
        </is>
      </c>
      <c r="G292" t="n">
        <v>2.9</v>
      </c>
      <c r="H292" t="n">
        <v>0</v>
      </c>
      <c r="I292" t="n">
        <v>0</v>
      </c>
      <c r="J292" t="n">
        <v>0</v>
      </c>
      <c r="K292" t="n">
        <v>0</v>
      </c>
      <c r="L292" t="n">
        <v>0</v>
      </c>
      <c r="M292" t="n">
        <v>0</v>
      </c>
      <c r="N292" t="n">
        <v>0</v>
      </c>
      <c r="O292" t="n">
        <v>0</v>
      </c>
      <c r="P292" t="n">
        <v>0</v>
      </c>
      <c r="Q292" t="n">
        <v>0</v>
      </c>
      <c r="R292" s="2" t="inlineStr"/>
    </row>
    <row r="293" ht="15" customHeight="1">
      <c r="A293" t="inlineStr">
        <is>
          <t>A 50406-2024</t>
        </is>
      </c>
      <c r="B293" s="1" t="n">
        <v>45601.35923611111</v>
      </c>
      <c r="C293" s="1" t="n">
        <v>46083</v>
      </c>
      <c r="D293" t="inlineStr">
        <is>
          <t>ÖSTERGÖTLANDS LÄN</t>
        </is>
      </c>
      <c r="E293" t="inlineStr">
        <is>
          <t>KINDA</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21700-2023</t>
        </is>
      </c>
      <c r="B294" s="1" t="n">
        <v>45062</v>
      </c>
      <c r="C294" s="1" t="n">
        <v>46083</v>
      </c>
      <c r="D294" t="inlineStr">
        <is>
          <t>ÖSTERGÖTLANDS LÄN</t>
        </is>
      </c>
      <c r="E294" t="inlineStr">
        <is>
          <t>KINDA</t>
        </is>
      </c>
      <c r="G294" t="n">
        <v>0.6</v>
      </c>
      <c r="H294" t="n">
        <v>0</v>
      </c>
      <c r="I294" t="n">
        <v>0</v>
      </c>
      <c r="J294" t="n">
        <v>0</v>
      </c>
      <c r="K294" t="n">
        <v>0</v>
      </c>
      <c r="L294" t="n">
        <v>0</v>
      </c>
      <c r="M294" t="n">
        <v>0</v>
      </c>
      <c r="N294" t="n">
        <v>0</v>
      </c>
      <c r="O294" t="n">
        <v>0</v>
      </c>
      <c r="P294" t="n">
        <v>0</v>
      </c>
      <c r="Q294" t="n">
        <v>0</v>
      </c>
      <c r="R294" s="2" t="inlineStr"/>
    </row>
    <row r="295" ht="15" customHeight="1">
      <c r="A295" t="inlineStr">
        <is>
          <t>A 31980-2025</t>
        </is>
      </c>
      <c r="B295" s="1" t="n">
        <v>45835.35780092593</v>
      </c>
      <c r="C295" s="1" t="n">
        <v>46083</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42977-2025</t>
        </is>
      </c>
      <c r="B296" s="1" t="n">
        <v>45909.42916666667</v>
      </c>
      <c r="C296" s="1" t="n">
        <v>46083</v>
      </c>
      <c r="D296" t="inlineStr">
        <is>
          <t>ÖSTERGÖTLANDS LÄN</t>
        </is>
      </c>
      <c r="E296" t="inlineStr">
        <is>
          <t>KINDA</t>
        </is>
      </c>
      <c r="G296" t="n">
        <v>4.3</v>
      </c>
      <c r="H296" t="n">
        <v>0</v>
      </c>
      <c r="I296" t="n">
        <v>0</v>
      </c>
      <c r="J296" t="n">
        <v>0</v>
      </c>
      <c r="K296" t="n">
        <v>0</v>
      </c>
      <c r="L296" t="n">
        <v>0</v>
      </c>
      <c r="M296" t="n">
        <v>0</v>
      </c>
      <c r="N296" t="n">
        <v>0</v>
      </c>
      <c r="O296" t="n">
        <v>0</v>
      </c>
      <c r="P296" t="n">
        <v>0</v>
      </c>
      <c r="Q296" t="n">
        <v>0</v>
      </c>
      <c r="R296" s="2" t="inlineStr"/>
    </row>
    <row r="297" ht="15" customHeight="1">
      <c r="A297" t="inlineStr">
        <is>
          <t>A 42993-2025</t>
        </is>
      </c>
      <c r="B297" s="1" t="n">
        <v>45909.45248842592</v>
      </c>
      <c r="C297" s="1" t="n">
        <v>46083</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43005-2025</t>
        </is>
      </c>
      <c r="B298" s="1" t="n">
        <v>45909.47525462963</v>
      </c>
      <c r="C298" s="1" t="n">
        <v>46083</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43007-2025</t>
        </is>
      </c>
      <c r="B299" s="1" t="n">
        <v>45909.48123842593</v>
      </c>
      <c r="C299" s="1" t="n">
        <v>46083</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42981-2025</t>
        </is>
      </c>
      <c r="B300" s="1" t="n">
        <v>45909.43236111111</v>
      </c>
      <c r="C300" s="1" t="n">
        <v>46083</v>
      </c>
      <c r="D300" t="inlineStr">
        <is>
          <t>ÖSTERGÖTLANDS LÄN</t>
        </is>
      </c>
      <c r="E300" t="inlineStr">
        <is>
          <t>KINDA</t>
        </is>
      </c>
      <c r="G300" t="n">
        <v>2.6</v>
      </c>
      <c r="H300" t="n">
        <v>0</v>
      </c>
      <c r="I300" t="n">
        <v>0</v>
      </c>
      <c r="J300" t="n">
        <v>0</v>
      </c>
      <c r="K300" t="n">
        <v>0</v>
      </c>
      <c r="L300" t="n">
        <v>0</v>
      </c>
      <c r="M300" t="n">
        <v>0</v>
      </c>
      <c r="N300" t="n">
        <v>0</v>
      </c>
      <c r="O300" t="n">
        <v>0</v>
      </c>
      <c r="P300" t="n">
        <v>0</v>
      </c>
      <c r="Q300" t="n">
        <v>0</v>
      </c>
      <c r="R300" s="2" t="inlineStr"/>
    </row>
    <row r="301" ht="15" customHeight="1">
      <c r="A301" t="inlineStr">
        <is>
          <t>A 32811-2025</t>
        </is>
      </c>
      <c r="B301" s="1" t="n">
        <v>45839.51413194444</v>
      </c>
      <c r="C301" s="1" t="n">
        <v>46083</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12130-2021</t>
        </is>
      </c>
      <c r="B302" s="1" t="n">
        <v>44266</v>
      </c>
      <c r="C302" s="1" t="n">
        <v>46083</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32674-2025</t>
        </is>
      </c>
      <c r="B303" s="1" t="n">
        <v>45838.72785879629</v>
      </c>
      <c r="C303" s="1" t="n">
        <v>46083</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32809-2025</t>
        </is>
      </c>
      <c r="B304" s="1" t="n">
        <v>45839.50966435186</v>
      </c>
      <c r="C304" s="1" t="n">
        <v>46083</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5649-2023</t>
        </is>
      </c>
      <c r="B305" s="1" t="n">
        <v>44960</v>
      </c>
      <c r="C305" s="1" t="n">
        <v>46083</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33744-2025</t>
        </is>
      </c>
      <c r="B306" s="1" t="n">
        <v>45842.35203703704</v>
      </c>
      <c r="C306" s="1" t="n">
        <v>46083</v>
      </c>
      <c r="D306" t="inlineStr">
        <is>
          <t>ÖSTERGÖTLANDS LÄN</t>
        </is>
      </c>
      <c r="E306" t="inlineStr">
        <is>
          <t>KINDA</t>
        </is>
      </c>
      <c r="G306" t="n">
        <v>3.5</v>
      </c>
      <c r="H306" t="n">
        <v>0</v>
      </c>
      <c r="I306" t="n">
        <v>0</v>
      </c>
      <c r="J306" t="n">
        <v>0</v>
      </c>
      <c r="K306" t="n">
        <v>0</v>
      </c>
      <c r="L306" t="n">
        <v>0</v>
      </c>
      <c r="M306" t="n">
        <v>0</v>
      </c>
      <c r="N306" t="n">
        <v>0</v>
      </c>
      <c r="O306" t="n">
        <v>0</v>
      </c>
      <c r="P306" t="n">
        <v>0</v>
      </c>
      <c r="Q306" t="n">
        <v>0</v>
      </c>
      <c r="R306" s="2" t="inlineStr"/>
    </row>
    <row r="307" ht="15" customHeight="1">
      <c r="A307" t="inlineStr">
        <is>
          <t>A 56140-2024</t>
        </is>
      </c>
      <c r="B307" s="1" t="n">
        <v>45624</v>
      </c>
      <c r="C307" s="1" t="n">
        <v>46083</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33289-2025</t>
        </is>
      </c>
      <c r="B308" s="1" t="n">
        <v>45840.85745370371</v>
      </c>
      <c r="C308" s="1" t="n">
        <v>46083</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9576-2024</t>
        </is>
      </c>
      <c r="B309" s="1" t="n">
        <v>45360.41204861111</v>
      </c>
      <c r="C309" s="1" t="n">
        <v>46083</v>
      </c>
      <c r="D309" t="inlineStr">
        <is>
          <t>ÖSTERGÖTLANDS LÄN</t>
        </is>
      </c>
      <c r="E309" t="inlineStr">
        <is>
          <t>KINDA</t>
        </is>
      </c>
      <c r="G309" t="n">
        <v>0.5</v>
      </c>
      <c r="H309" t="n">
        <v>0</v>
      </c>
      <c r="I309" t="n">
        <v>0</v>
      </c>
      <c r="J309" t="n">
        <v>0</v>
      </c>
      <c r="K309" t="n">
        <v>0</v>
      </c>
      <c r="L309" t="n">
        <v>0</v>
      </c>
      <c r="M309" t="n">
        <v>0</v>
      </c>
      <c r="N309" t="n">
        <v>0</v>
      </c>
      <c r="O309" t="n">
        <v>0</v>
      </c>
      <c r="P309" t="n">
        <v>0</v>
      </c>
      <c r="Q309" t="n">
        <v>0</v>
      </c>
      <c r="R309" s="2" t="inlineStr"/>
    </row>
    <row r="310" ht="15" customHeight="1">
      <c r="A310" t="inlineStr">
        <is>
          <t>A 9600-2024</t>
        </is>
      </c>
      <c r="B310" s="1" t="n">
        <v>45361.37284722222</v>
      </c>
      <c r="C310" s="1" t="n">
        <v>46083</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17671-2025</t>
        </is>
      </c>
      <c r="B311" s="1" t="n">
        <v>45758.36788194445</v>
      </c>
      <c r="C311" s="1" t="n">
        <v>46083</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6104-2022</t>
        </is>
      </c>
      <c r="B312" s="1" t="n">
        <v>44599</v>
      </c>
      <c r="C312" s="1" t="n">
        <v>46083</v>
      </c>
      <c r="D312" t="inlineStr">
        <is>
          <t>ÖSTERGÖTLANDS LÄN</t>
        </is>
      </c>
      <c r="E312" t="inlineStr">
        <is>
          <t>KINDA</t>
        </is>
      </c>
      <c r="G312" t="n">
        <v>0.5</v>
      </c>
      <c r="H312" t="n">
        <v>0</v>
      </c>
      <c r="I312" t="n">
        <v>0</v>
      </c>
      <c r="J312" t="n">
        <v>0</v>
      </c>
      <c r="K312" t="n">
        <v>0</v>
      </c>
      <c r="L312" t="n">
        <v>0</v>
      </c>
      <c r="M312" t="n">
        <v>0</v>
      </c>
      <c r="N312" t="n">
        <v>0</v>
      </c>
      <c r="O312" t="n">
        <v>0</v>
      </c>
      <c r="P312" t="n">
        <v>0</v>
      </c>
      <c r="Q312" t="n">
        <v>0</v>
      </c>
      <c r="R312" s="2" t="inlineStr"/>
    </row>
    <row r="313" ht="15" customHeight="1">
      <c r="A313" t="inlineStr">
        <is>
          <t>A 33493-2025</t>
        </is>
      </c>
      <c r="B313" s="1" t="n">
        <v>45841.50858796296</v>
      </c>
      <c r="C313" s="1" t="n">
        <v>46083</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48811-2024</t>
        </is>
      </c>
      <c r="B314" s="1" t="n">
        <v>45593.66861111111</v>
      </c>
      <c r="C314" s="1" t="n">
        <v>46083</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33445-2025</t>
        </is>
      </c>
      <c r="B315" s="1" t="n">
        <v>45841.4630787037</v>
      </c>
      <c r="C315" s="1" t="n">
        <v>46083</v>
      </c>
      <c r="D315" t="inlineStr">
        <is>
          <t>ÖSTERGÖTLANDS LÄN</t>
        </is>
      </c>
      <c r="E315" t="inlineStr">
        <is>
          <t>KINDA</t>
        </is>
      </c>
      <c r="G315" t="n">
        <v>0.8</v>
      </c>
      <c r="H315" t="n">
        <v>0</v>
      </c>
      <c r="I315" t="n">
        <v>0</v>
      </c>
      <c r="J315" t="n">
        <v>0</v>
      </c>
      <c r="K315" t="n">
        <v>0</v>
      </c>
      <c r="L315" t="n">
        <v>0</v>
      </c>
      <c r="M315" t="n">
        <v>0</v>
      </c>
      <c r="N315" t="n">
        <v>0</v>
      </c>
      <c r="O315" t="n">
        <v>0</v>
      </c>
      <c r="P315" t="n">
        <v>0</v>
      </c>
      <c r="Q315" t="n">
        <v>0</v>
      </c>
      <c r="R315" s="2" t="inlineStr"/>
    </row>
    <row r="316" ht="15" customHeight="1">
      <c r="A316" t="inlineStr">
        <is>
          <t>A 33482-2025</t>
        </is>
      </c>
      <c r="B316" s="1" t="n">
        <v>45841.49861111111</v>
      </c>
      <c r="C316" s="1" t="n">
        <v>46083</v>
      </c>
      <c r="D316" t="inlineStr">
        <is>
          <t>ÖSTERGÖTLANDS LÄN</t>
        </is>
      </c>
      <c r="E316" t="inlineStr">
        <is>
          <t>KINDA</t>
        </is>
      </c>
      <c r="G316" t="n">
        <v>1.1</v>
      </c>
      <c r="H316" t="n">
        <v>0</v>
      </c>
      <c r="I316" t="n">
        <v>0</v>
      </c>
      <c r="J316" t="n">
        <v>0</v>
      </c>
      <c r="K316" t="n">
        <v>0</v>
      </c>
      <c r="L316" t="n">
        <v>0</v>
      </c>
      <c r="M316" t="n">
        <v>0</v>
      </c>
      <c r="N316" t="n">
        <v>0</v>
      </c>
      <c r="O316" t="n">
        <v>0</v>
      </c>
      <c r="P316" t="n">
        <v>0</v>
      </c>
      <c r="Q316" t="n">
        <v>0</v>
      </c>
      <c r="R316" s="2" t="inlineStr"/>
    </row>
    <row r="317" ht="15" customHeight="1">
      <c r="A317" t="inlineStr">
        <is>
          <t>A 12856-2025</t>
        </is>
      </c>
      <c r="B317" s="1" t="n">
        <v>45733.66236111111</v>
      </c>
      <c r="C317" s="1" t="n">
        <v>46083</v>
      </c>
      <c r="D317" t="inlineStr">
        <is>
          <t>ÖSTERGÖTLANDS LÄN</t>
        </is>
      </c>
      <c r="E317" t="inlineStr">
        <is>
          <t>KINDA</t>
        </is>
      </c>
      <c r="G317" t="n">
        <v>2.5</v>
      </c>
      <c r="H317" t="n">
        <v>0</v>
      </c>
      <c r="I317" t="n">
        <v>0</v>
      </c>
      <c r="J317" t="n">
        <v>0</v>
      </c>
      <c r="K317" t="n">
        <v>0</v>
      </c>
      <c r="L317" t="n">
        <v>0</v>
      </c>
      <c r="M317" t="n">
        <v>0</v>
      </c>
      <c r="N317" t="n">
        <v>0</v>
      </c>
      <c r="O317" t="n">
        <v>0</v>
      </c>
      <c r="P317" t="n">
        <v>0</v>
      </c>
      <c r="Q317" t="n">
        <v>0</v>
      </c>
      <c r="R317" s="2" t="inlineStr"/>
    </row>
    <row r="318" ht="15" customHeight="1">
      <c r="A318" t="inlineStr">
        <is>
          <t>A 29782-2025</t>
        </is>
      </c>
      <c r="B318" s="1" t="n">
        <v>45825.6502662037</v>
      </c>
      <c r="C318" s="1" t="n">
        <v>46083</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56041-2024</t>
        </is>
      </c>
      <c r="B319" s="1" t="n">
        <v>45624.33611111111</v>
      </c>
      <c r="C319" s="1" t="n">
        <v>46083</v>
      </c>
      <c r="D319" t="inlineStr">
        <is>
          <t>ÖSTERGÖTLANDS LÄN</t>
        </is>
      </c>
      <c r="E319" t="inlineStr">
        <is>
          <t>KINDA</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34262-2025</t>
        </is>
      </c>
      <c r="B320" s="1" t="n">
        <v>45845</v>
      </c>
      <c r="C320" s="1" t="n">
        <v>46083</v>
      </c>
      <c r="D320" t="inlineStr">
        <is>
          <t>ÖSTERGÖTLANDS LÄN</t>
        </is>
      </c>
      <c r="E320" t="inlineStr">
        <is>
          <t>KINDA</t>
        </is>
      </c>
      <c r="G320" t="n">
        <v>1.3</v>
      </c>
      <c r="H320" t="n">
        <v>0</v>
      </c>
      <c r="I320" t="n">
        <v>0</v>
      </c>
      <c r="J320" t="n">
        <v>0</v>
      </c>
      <c r="K320" t="n">
        <v>0</v>
      </c>
      <c r="L320" t="n">
        <v>0</v>
      </c>
      <c r="M320" t="n">
        <v>0</v>
      </c>
      <c r="N320" t="n">
        <v>0</v>
      </c>
      <c r="O320" t="n">
        <v>0</v>
      </c>
      <c r="P320" t="n">
        <v>0</v>
      </c>
      <c r="Q320" t="n">
        <v>0</v>
      </c>
      <c r="R320" s="2" t="inlineStr"/>
    </row>
    <row r="321" ht="15" customHeight="1">
      <c r="A321" t="inlineStr">
        <is>
          <t>A 61954-2022</t>
        </is>
      </c>
      <c r="B321" s="1" t="n">
        <v>44918.33840277778</v>
      </c>
      <c r="C321" s="1" t="n">
        <v>46083</v>
      </c>
      <c r="D321" t="inlineStr">
        <is>
          <t>ÖSTERGÖTLANDS LÄN</t>
        </is>
      </c>
      <c r="E321" t="inlineStr">
        <is>
          <t>KINDA</t>
        </is>
      </c>
      <c r="G321" t="n">
        <v>6.2</v>
      </c>
      <c r="H321" t="n">
        <v>0</v>
      </c>
      <c r="I321" t="n">
        <v>0</v>
      </c>
      <c r="J321" t="n">
        <v>0</v>
      </c>
      <c r="K321" t="n">
        <v>0</v>
      </c>
      <c r="L321" t="n">
        <v>0</v>
      </c>
      <c r="M321" t="n">
        <v>0</v>
      </c>
      <c r="N321" t="n">
        <v>0</v>
      </c>
      <c r="O321" t="n">
        <v>0</v>
      </c>
      <c r="P321" t="n">
        <v>0</v>
      </c>
      <c r="Q321" t="n">
        <v>0</v>
      </c>
      <c r="R321" s="2" t="inlineStr"/>
    </row>
    <row r="322" ht="15" customHeight="1">
      <c r="A322" t="inlineStr">
        <is>
          <t>A 915-2024</t>
        </is>
      </c>
      <c r="B322" s="1" t="n">
        <v>45301.47129629629</v>
      </c>
      <c r="C322" s="1" t="n">
        <v>46083</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43760-2025</t>
        </is>
      </c>
      <c r="B323" s="1" t="n">
        <v>45912.47875</v>
      </c>
      <c r="C323" s="1" t="n">
        <v>46083</v>
      </c>
      <c r="D323" t="inlineStr">
        <is>
          <t>ÖSTERGÖTLANDS LÄN</t>
        </is>
      </c>
      <c r="E323" t="inlineStr">
        <is>
          <t>KINDA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5707-2024</t>
        </is>
      </c>
      <c r="B324" s="1" t="n">
        <v>45334</v>
      </c>
      <c r="C324" s="1" t="n">
        <v>46083</v>
      </c>
      <c r="D324" t="inlineStr">
        <is>
          <t>ÖSTERGÖTLANDS LÄN</t>
        </is>
      </c>
      <c r="E324" t="inlineStr">
        <is>
          <t>KINDA</t>
        </is>
      </c>
      <c r="G324" t="n">
        <v>6.2</v>
      </c>
      <c r="H324" t="n">
        <v>0</v>
      </c>
      <c r="I324" t="n">
        <v>0</v>
      </c>
      <c r="J324" t="n">
        <v>0</v>
      </c>
      <c r="K324" t="n">
        <v>0</v>
      </c>
      <c r="L324" t="n">
        <v>0</v>
      </c>
      <c r="M324" t="n">
        <v>0</v>
      </c>
      <c r="N324" t="n">
        <v>0</v>
      </c>
      <c r="O324" t="n">
        <v>0</v>
      </c>
      <c r="P324" t="n">
        <v>0</v>
      </c>
      <c r="Q324" t="n">
        <v>0</v>
      </c>
      <c r="R324" s="2" t="inlineStr"/>
    </row>
    <row r="325" ht="15" customHeight="1">
      <c r="A325" t="inlineStr">
        <is>
          <t>A 34123-2025</t>
        </is>
      </c>
      <c r="B325" s="1" t="n">
        <v>45845.52050925926</v>
      </c>
      <c r="C325" s="1" t="n">
        <v>46083</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6409-2025</t>
        </is>
      </c>
      <c r="B326" s="1" t="n">
        <v>45699.45700231481</v>
      </c>
      <c r="C326" s="1" t="n">
        <v>46083</v>
      </c>
      <c r="D326" t="inlineStr">
        <is>
          <t>ÖSTERGÖTLANDS LÄN</t>
        </is>
      </c>
      <c r="E326" t="inlineStr">
        <is>
          <t>KINDA</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48386-2024</t>
        </is>
      </c>
      <c r="B327" s="1" t="n">
        <v>45590.59793981481</v>
      </c>
      <c r="C327" s="1" t="n">
        <v>46083</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53239-2023</t>
        </is>
      </c>
      <c r="B328" s="1" t="n">
        <v>45229</v>
      </c>
      <c r="C328" s="1" t="n">
        <v>46083</v>
      </c>
      <c r="D328" t="inlineStr">
        <is>
          <t>ÖSTERGÖTLANDS LÄN</t>
        </is>
      </c>
      <c r="E328" t="inlineStr">
        <is>
          <t>KINDA</t>
        </is>
      </c>
      <c r="F328" t="inlineStr">
        <is>
          <t>Allmännings- och besparingsskogar</t>
        </is>
      </c>
      <c r="G328" t="n">
        <v>10.3</v>
      </c>
      <c r="H328" t="n">
        <v>0</v>
      </c>
      <c r="I328" t="n">
        <v>0</v>
      </c>
      <c r="J328" t="n">
        <v>0</v>
      </c>
      <c r="K328" t="n">
        <v>0</v>
      </c>
      <c r="L328" t="n">
        <v>0</v>
      </c>
      <c r="M328" t="n">
        <v>0</v>
      </c>
      <c r="N328" t="n">
        <v>0</v>
      </c>
      <c r="O328" t="n">
        <v>0</v>
      </c>
      <c r="P328" t="n">
        <v>0</v>
      </c>
      <c r="Q328" t="n">
        <v>0</v>
      </c>
      <c r="R328" s="2" t="inlineStr"/>
    </row>
    <row r="329" ht="15" customHeight="1">
      <c r="A329" t="inlineStr">
        <is>
          <t>A 62565-2021</t>
        </is>
      </c>
      <c r="B329" s="1" t="n">
        <v>44502</v>
      </c>
      <c r="C329" s="1" t="n">
        <v>46083</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24711-2023</t>
        </is>
      </c>
      <c r="B330" s="1" t="n">
        <v>45078</v>
      </c>
      <c r="C330" s="1" t="n">
        <v>46083</v>
      </c>
      <c r="D330" t="inlineStr">
        <is>
          <t>ÖSTERGÖTLANDS LÄN</t>
        </is>
      </c>
      <c r="E330" t="inlineStr">
        <is>
          <t>KINDA</t>
        </is>
      </c>
      <c r="G330" t="n">
        <v>0.6</v>
      </c>
      <c r="H330" t="n">
        <v>0</v>
      </c>
      <c r="I330" t="n">
        <v>0</v>
      </c>
      <c r="J330" t="n">
        <v>0</v>
      </c>
      <c r="K330" t="n">
        <v>0</v>
      </c>
      <c r="L330" t="n">
        <v>0</v>
      </c>
      <c r="M330" t="n">
        <v>0</v>
      </c>
      <c r="N330" t="n">
        <v>0</v>
      </c>
      <c r="O330" t="n">
        <v>0</v>
      </c>
      <c r="P330" t="n">
        <v>0</v>
      </c>
      <c r="Q330" t="n">
        <v>0</v>
      </c>
      <c r="R330" s="2" t="inlineStr"/>
    </row>
    <row r="331" ht="15" customHeight="1">
      <c r="A331" t="inlineStr">
        <is>
          <t>A 57449-2021</t>
        </is>
      </c>
      <c r="B331" s="1" t="n">
        <v>44483</v>
      </c>
      <c r="C331" s="1" t="n">
        <v>46083</v>
      </c>
      <c r="D331" t="inlineStr">
        <is>
          <t>ÖSTERGÖTLANDS LÄN</t>
        </is>
      </c>
      <c r="E331" t="inlineStr">
        <is>
          <t>KINDA</t>
        </is>
      </c>
      <c r="G331" t="n">
        <v>5.3</v>
      </c>
      <c r="H331" t="n">
        <v>0</v>
      </c>
      <c r="I331" t="n">
        <v>0</v>
      </c>
      <c r="J331" t="n">
        <v>0</v>
      </c>
      <c r="K331" t="n">
        <v>0</v>
      </c>
      <c r="L331" t="n">
        <v>0</v>
      </c>
      <c r="M331" t="n">
        <v>0</v>
      </c>
      <c r="N331" t="n">
        <v>0</v>
      </c>
      <c r="O331" t="n">
        <v>0</v>
      </c>
      <c r="P331" t="n">
        <v>0</v>
      </c>
      <c r="Q331" t="n">
        <v>0</v>
      </c>
      <c r="R331" s="2" t="inlineStr"/>
    </row>
    <row r="332" ht="15" customHeight="1">
      <c r="A332" t="inlineStr">
        <is>
          <t>A 2430-2025</t>
        </is>
      </c>
      <c r="B332" s="1" t="n">
        <v>45674.40616898148</v>
      </c>
      <c r="C332" s="1" t="n">
        <v>46083</v>
      </c>
      <c r="D332" t="inlineStr">
        <is>
          <t>ÖSTERGÖTLANDS LÄN</t>
        </is>
      </c>
      <c r="E332" t="inlineStr">
        <is>
          <t>KINDA</t>
        </is>
      </c>
      <c r="F332" t="inlineStr">
        <is>
          <t>Kommuner</t>
        </is>
      </c>
      <c r="G332" t="n">
        <v>2</v>
      </c>
      <c r="H332" t="n">
        <v>0</v>
      </c>
      <c r="I332" t="n">
        <v>0</v>
      </c>
      <c r="J332" t="n">
        <v>0</v>
      </c>
      <c r="K332" t="n">
        <v>0</v>
      </c>
      <c r="L332" t="n">
        <v>0</v>
      </c>
      <c r="M332" t="n">
        <v>0</v>
      </c>
      <c r="N332" t="n">
        <v>0</v>
      </c>
      <c r="O332" t="n">
        <v>0</v>
      </c>
      <c r="P332" t="n">
        <v>0</v>
      </c>
      <c r="Q332" t="n">
        <v>0</v>
      </c>
      <c r="R332" s="2" t="inlineStr"/>
    </row>
    <row r="333" ht="15" customHeight="1">
      <c r="A333" t="inlineStr">
        <is>
          <t>A 61544-2024</t>
        </is>
      </c>
      <c r="B333" s="1" t="n">
        <v>45646.5981712963</v>
      </c>
      <c r="C333" s="1" t="n">
        <v>46083</v>
      </c>
      <c r="D333" t="inlineStr">
        <is>
          <t>ÖSTERGÖTLANDS LÄN</t>
        </is>
      </c>
      <c r="E333" t="inlineStr">
        <is>
          <t>KINDA</t>
        </is>
      </c>
      <c r="G333" t="n">
        <v>0.9</v>
      </c>
      <c r="H333" t="n">
        <v>0</v>
      </c>
      <c r="I333" t="n">
        <v>0</v>
      </c>
      <c r="J333" t="n">
        <v>0</v>
      </c>
      <c r="K333" t="n">
        <v>0</v>
      </c>
      <c r="L333" t="n">
        <v>0</v>
      </c>
      <c r="M333" t="n">
        <v>0</v>
      </c>
      <c r="N333" t="n">
        <v>0</v>
      </c>
      <c r="O333" t="n">
        <v>0</v>
      </c>
      <c r="P333" t="n">
        <v>0</v>
      </c>
      <c r="Q333" t="n">
        <v>0</v>
      </c>
      <c r="R333" s="2" t="inlineStr"/>
    </row>
    <row r="334" ht="15" customHeight="1">
      <c r="A334" t="inlineStr">
        <is>
          <t>A 13661-2021</t>
        </is>
      </c>
      <c r="B334" s="1" t="n">
        <v>44274</v>
      </c>
      <c r="C334" s="1" t="n">
        <v>46083</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19324-2021</t>
        </is>
      </c>
      <c r="B335" s="1" t="n">
        <v>44309</v>
      </c>
      <c r="C335" s="1" t="n">
        <v>46083</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44633-2025</t>
        </is>
      </c>
      <c r="B336" s="1" t="n">
        <v>45917</v>
      </c>
      <c r="C336" s="1" t="n">
        <v>46083</v>
      </c>
      <c r="D336" t="inlineStr">
        <is>
          <t>ÖSTERGÖTLANDS LÄN</t>
        </is>
      </c>
      <c r="E336" t="inlineStr">
        <is>
          <t>KINDA</t>
        </is>
      </c>
      <c r="G336" t="n">
        <v>5.1</v>
      </c>
      <c r="H336" t="n">
        <v>0</v>
      </c>
      <c r="I336" t="n">
        <v>0</v>
      </c>
      <c r="J336" t="n">
        <v>0</v>
      </c>
      <c r="K336" t="n">
        <v>0</v>
      </c>
      <c r="L336" t="n">
        <v>0</v>
      </c>
      <c r="M336" t="n">
        <v>0</v>
      </c>
      <c r="N336" t="n">
        <v>0</v>
      </c>
      <c r="O336" t="n">
        <v>0</v>
      </c>
      <c r="P336" t="n">
        <v>0</v>
      </c>
      <c r="Q336" t="n">
        <v>0</v>
      </c>
      <c r="R336" s="2" t="inlineStr"/>
    </row>
    <row r="337" ht="15" customHeight="1">
      <c r="A337" t="inlineStr">
        <is>
          <t>A 35982-2025</t>
        </is>
      </c>
      <c r="B337" s="1" t="n">
        <v>45863.44907407407</v>
      </c>
      <c r="C337" s="1" t="n">
        <v>46083</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35986-2025</t>
        </is>
      </c>
      <c r="B338" s="1" t="n">
        <v>45863</v>
      </c>
      <c r="C338" s="1" t="n">
        <v>46083</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26625-2022</t>
        </is>
      </c>
      <c r="B339" s="1" t="n">
        <v>44739.5850462963</v>
      </c>
      <c r="C339" s="1" t="n">
        <v>46083</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36173-2025</t>
        </is>
      </c>
      <c r="B340" s="1" t="n">
        <v>45866</v>
      </c>
      <c r="C340" s="1" t="n">
        <v>46083</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36000-2025</t>
        </is>
      </c>
      <c r="B341" s="1" t="n">
        <v>45863.51805555556</v>
      </c>
      <c r="C341" s="1" t="n">
        <v>46083</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22002-2025</t>
        </is>
      </c>
      <c r="B342" s="1" t="n">
        <v>45784.70443287037</v>
      </c>
      <c r="C342" s="1" t="n">
        <v>46083</v>
      </c>
      <c r="D342" t="inlineStr">
        <is>
          <t>ÖSTERGÖTLANDS LÄN</t>
        </is>
      </c>
      <c r="E342" t="inlineStr">
        <is>
          <t>KINDA</t>
        </is>
      </c>
      <c r="G342" t="n">
        <v>3.7</v>
      </c>
      <c r="H342" t="n">
        <v>0</v>
      </c>
      <c r="I342" t="n">
        <v>0</v>
      </c>
      <c r="J342" t="n">
        <v>0</v>
      </c>
      <c r="K342" t="n">
        <v>0</v>
      </c>
      <c r="L342" t="n">
        <v>0</v>
      </c>
      <c r="M342" t="n">
        <v>0</v>
      </c>
      <c r="N342" t="n">
        <v>0</v>
      </c>
      <c r="O342" t="n">
        <v>0</v>
      </c>
      <c r="P342" t="n">
        <v>0</v>
      </c>
      <c r="Q342" t="n">
        <v>0</v>
      </c>
      <c r="R342" s="2" t="inlineStr"/>
    </row>
    <row r="343" ht="15" customHeight="1">
      <c r="A343" t="inlineStr">
        <is>
          <t>A 23883-2023</t>
        </is>
      </c>
      <c r="B343" s="1" t="n">
        <v>45078.51806712963</v>
      </c>
      <c r="C343" s="1" t="n">
        <v>46083</v>
      </c>
      <c r="D343" t="inlineStr">
        <is>
          <t>ÖSTERGÖTLANDS LÄN</t>
        </is>
      </c>
      <c r="E343" t="inlineStr">
        <is>
          <t>KINDA</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35975-2025</t>
        </is>
      </c>
      <c r="B344" s="1" t="n">
        <v>45863.43395833333</v>
      </c>
      <c r="C344" s="1" t="n">
        <v>46083</v>
      </c>
      <c r="D344" t="inlineStr">
        <is>
          <t>ÖSTERGÖTLANDS LÄN</t>
        </is>
      </c>
      <c r="E344" t="inlineStr">
        <is>
          <t>KINDA</t>
        </is>
      </c>
      <c r="G344" t="n">
        <v>4.9</v>
      </c>
      <c r="H344" t="n">
        <v>0</v>
      </c>
      <c r="I344" t="n">
        <v>0</v>
      </c>
      <c r="J344" t="n">
        <v>0</v>
      </c>
      <c r="K344" t="n">
        <v>0</v>
      </c>
      <c r="L344" t="n">
        <v>0</v>
      </c>
      <c r="M344" t="n">
        <v>0</v>
      </c>
      <c r="N344" t="n">
        <v>0</v>
      </c>
      <c r="O344" t="n">
        <v>0</v>
      </c>
      <c r="P344" t="n">
        <v>0</v>
      </c>
      <c r="Q344" t="n">
        <v>0</v>
      </c>
      <c r="R344" s="2" t="inlineStr"/>
    </row>
    <row r="345" ht="15" customHeight="1">
      <c r="A345" t="inlineStr">
        <is>
          <t>A 22443-2025</t>
        </is>
      </c>
      <c r="B345" s="1" t="n">
        <v>45786</v>
      </c>
      <c r="C345" s="1" t="n">
        <v>46083</v>
      </c>
      <c r="D345" t="inlineStr">
        <is>
          <t>ÖSTERGÖTLANDS LÄN</t>
        </is>
      </c>
      <c r="E345" t="inlineStr">
        <is>
          <t>KINDA</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49798-2024</t>
        </is>
      </c>
      <c r="B346" s="1" t="n">
        <v>45597.37384259259</v>
      </c>
      <c r="C346" s="1" t="n">
        <v>46083</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58738-2024</t>
        </is>
      </c>
      <c r="B347" s="1" t="n">
        <v>45635.6921875</v>
      </c>
      <c r="C347" s="1" t="n">
        <v>46083</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c r="U347">
        <f>HYPERLINK("https://klasma.github.io/Logging_0513/knärot/A 58738-2024 karta knärot.png", "A 58738-2024")</f>
        <v/>
      </c>
      <c r="V347">
        <f>HYPERLINK("https://klasma.github.io/Logging_0513/klagomål/A 58738-2024 FSC-klagomål.docx", "A 58738-2024")</f>
        <v/>
      </c>
      <c r="W347">
        <f>HYPERLINK("https://klasma.github.io/Logging_0513/klagomålsmail/A 58738-2024 FSC-klagomål mail.docx", "A 58738-2024")</f>
        <v/>
      </c>
      <c r="X347">
        <f>HYPERLINK("https://klasma.github.io/Logging_0513/tillsyn/A 58738-2024 tillsynsbegäran.docx", "A 58738-2024")</f>
        <v/>
      </c>
      <c r="Y347">
        <f>HYPERLINK("https://klasma.github.io/Logging_0513/tillsynsmail/A 58738-2024 tillsynsbegäran mail.docx", "A 58738-2024")</f>
        <v/>
      </c>
    </row>
    <row r="348" ht="15" customHeight="1">
      <c r="A348" t="inlineStr">
        <is>
          <t>A 3988-2025</t>
        </is>
      </c>
      <c r="B348" s="1" t="n">
        <v>45684.55570601852</v>
      </c>
      <c r="C348" s="1" t="n">
        <v>46083</v>
      </c>
      <c r="D348" t="inlineStr">
        <is>
          <t>ÖSTERGÖTLANDS LÄN</t>
        </is>
      </c>
      <c r="E348" t="inlineStr">
        <is>
          <t>KINDA</t>
        </is>
      </c>
      <c r="G348" t="n">
        <v>2.7</v>
      </c>
      <c r="H348" t="n">
        <v>0</v>
      </c>
      <c r="I348" t="n">
        <v>0</v>
      </c>
      <c r="J348" t="n">
        <v>0</v>
      </c>
      <c r="K348" t="n">
        <v>0</v>
      </c>
      <c r="L348" t="n">
        <v>0</v>
      </c>
      <c r="M348" t="n">
        <v>0</v>
      </c>
      <c r="N348" t="n">
        <v>0</v>
      </c>
      <c r="O348" t="n">
        <v>0</v>
      </c>
      <c r="P348" t="n">
        <v>0</v>
      </c>
      <c r="Q348" t="n">
        <v>0</v>
      </c>
      <c r="R348" s="2" t="inlineStr"/>
    </row>
    <row r="349" ht="15" customHeight="1">
      <c r="A349" t="inlineStr">
        <is>
          <t>A 45674-2025</t>
        </is>
      </c>
      <c r="B349" s="1" t="n">
        <v>45923.3625</v>
      </c>
      <c r="C349" s="1" t="n">
        <v>46083</v>
      </c>
      <c r="D349" t="inlineStr">
        <is>
          <t>ÖSTERGÖTLANDS LÄN</t>
        </is>
      </c>
      <c r="E349" t="inlineStr">
        <is>
          <t>KINDA</t>
        </is>
      </c>
      <c r="G349" t="n">
        <v>2.5</v>
      </c>
      <c r="H349" t="n">
        <v>0</v>
      </c>
      <c r="I349" t="n">
        <v>0</v>
      </c>
      <c r="J349" t="n">
        <v>0</v>
      </c>
      <c r="K349" t="n">
        <v>0</v>
      </c>
      <c r="L349" t="n">
        <v>0</v>
      </c>
      <c r="M349" t="n">
        <v>0</v>
      </c>
      <c r="N349" t="n">
        <v>0</v>
      </c>
      <c r="O349" t="n">
        <v>0</v>
      </c>
      <c r="P349" t="n">
        <v>0</v>
      </c>
      <c r="Q349" t="n">
        <v>0</v>
      </c>
      <c r="R349" s="2" t="inlineStr"/>
    </row>
    <row r="350" ht="15" customHeight="1">
      <c r="A350" t="inlineStr">
        <is>
          <t>A 36172-2025</t>
        </is>
      </c>
      <c r="B350" s="1" t="n">
        <v>45866</v>
      </c>
      <c r="C350" s="1" t="n">
        <v>46083</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16585-2021</t>
        </is>
      </c>
      <c r="B351" s="1" t="n">
        <v>44294.33396990741</v>
      </c>
      <c r="C351" s="1" t="n">
        <v>46083</v>
      </c>
      <c r="D351" t="inlineStr">
        <is>
          <t>ÖSTERGÖTLANDS LÄN</t>
        </is>
      </c>
      <c r="E351" t="inlineStr">
        <is>
          <t>KINDA</t>
        </is>
      </c>
      <c r="G351" t="n">
        <v>0.6</v>
      </c>
      <c r="H351" t="n">
        <v>0</v>
      </c>
      <c r="I351" t="n">
        <v>0</v>
      </c>
      <c r="J351" t="n">
        <v>0</v>
      </c>
      <c r="K351" t="n">
        <v>0</v>
      </c>
      <c r="L351" t="n">
        <v>0</v>
      </c>
      <c r="M351" t="n">
        <v>0</v>
      </c>
      <c r="N351" t="n">
        <v>0</v>
      </c>
      <c r="O351" t="n">
        <v>0</v>
      </c>
      <c r="P351" t="n">
        <v>0</v>
      </c>
      <c r="Q351" t="n">
        <v>0</v>
      </c>
      <c r="R351" s="2" t="inlineStr"/>
    </row>
    <row r="352" ht="15" customHeight="1">
      <c r="A352" t="inlineStr">
        <is>
          <t>A 6404-2025</t>
        </is>
      </c>
      <c r="B352" s="1" t="n">
        <v>45699.45336805555</v>
      </c>
      <c r="C352" s="1" t="n">
        <v>46083</v>
      </c>
      <c r="D352" t="inlineStr">
        <is>
          <t>ÖSTERGÖTLANDS LÄN</t>
        </is>
      </c>
      <c r="E352" t="inlineStr">
        <is>
          <t>KINDA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6406-2025</t>
        </is>
      </c>
      <c r="B353" s="1" t="n">
        <v>45699.45508101852</v>
      </c>
      <c r="C353" s="1" t="n">
        <v>46083</v>
      </c>
      <c r="D353" t="inlineStr">
        <is>
          <t>ÖSTERGÖTLANDS LÄN</t>
        </is>
      </c>
      <c r="E353" t="inlineStr">
        <is>
          <t>KINDA</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36942-2023</t>
        </is>
      </c>
      <c r="B354" s="1" t="n">
        <v>45154.72465277778</v>
      </c>
      <c r="C354" s="1" t="n">
        <v>46083</v>
      </c>
      <c r="D354" t="inlineStr">
        <is>
          <t>ÖSTERGÖTLANDS LÄN</t>
        </is>
      </c>
      <c r="E354" t="inlineStr">
        <is>
          <t>KINDA</t>
        </is>
      </c>
      <c r="F354" t="inlineStr">
        <is>
          <t>Allmännings- och besparingsskogar</t>
        </is>
      </c>
      <c r="G354" t="n">
        <v>14.8</v>
      </c>
      <c r="H354" t="n">
        <v>0</v>
      </c>
      <c r="I354" t="n">
        <v>0</v>
      </c>
      <c r="J354" t="n">
        <v>0</v>
      </c>
      <c r="K354" t="n">
        <v>0</v>
      </c>
      <c r="L354" t="n">
        <v>0</v>
      </c>
      <c r="M354" t="n">
        <v>0</v>
      </c>
      <c r="N354" t="n">
        <v>0</v>
      </c>
      <c r="O354" t="n">
        <v>0</v>
      </c>
      <c r="P354" t="n">
        <v>0</v>
      </c>
      <c r="Q354" t="n">
        <v>0</v>
      </c>
      <c r="R354" s="2" t="inlineStr"/>
    </row>
    <row r="355" ht="15" customHeight="1">
      <c r="A355" t="inlineStr">
        <is>
          <t>A 20083-2021</t>
        </is>
      </c>
      <c r="B355" s="1" t="n">
        <v>44314</v>
      </c>
      <c r="C355" s="1" t="n">
        <v>46083</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46890-2025</t>
        </is>
      </c>
      <c r="B356" s="1" t="n">
        <v>45929</v>
      </c>
      <c r="C356" s="1" t="n">
        <v>46083</v>
      </c>
      <c r="D356" t="inlineStr">
        <is>
          <t>ÖSTERGÖTLANDS LÄN</t>
        </is>
      </c>
      <c r="E356" t="inlineStr">
        <is>
          <t>KINDA</t>
        </is>
      </c>
      <c r="G356" t="n">
        <v>3.8</v>
      </c>
      <c r="H356" t="n">
        <v>0</v>
      </c>
      <c r="I356" t="n">
        <v>0</v>
      </c>
      <c r="J356" t="n">
        <v>0</v>
      </c>
      <c r="K356" t="n">
        <v>0</v>
      </c>
      <c r="L356" t="n">
        <v>0</v>
      </c>
      <c r="M356" t="n">
        <v>0</v>
      </c>
      <c r="N356" t="n">
        <v>0</v>
      </c>
      <c r="O356" t="n">
        <v>0</v>
      </c>
      <c r="P356" t="n">
        <v>0</v>
      </c>
      <c r="Q356" t="n">
        <v>0</v>
      </c>
      <c r="R356" s="2" t="inlineStr"/>
    </row>
    <row r="357" ht="15" customHeight="1">
      <c r="A357" t="inlineStr">
        <is>
          <t>A 46901-2025</t>
        </is>
      </c>
      <c r="B357" s="1" t="n">
        <v>45929.39244212963</v>
      </c>
      <c r="C357" s="1" t="n">
        <v>46083</v>
      </c>
      <c r="D357" t="inlineStr">
        <is>
          <t>ÖSTERGÖTLANDS LÄN</t>
        </is>
      </c>
      <c r="E357" t="inlineStr">
        <is>
          <t>KINDA</t>
        </is>
      </c>
      <c r="G357" t="n">
        <v>3.1</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46083</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8889-2025</t>
        </is>
      </c>
      <c r="B359" s="1" t="n">
        <v>45713.39555555556</v>
      </c>
      <c r="C359" s="1" t="n">
        <v>46083</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46919-2025</t>
        </is>
      </c>
      <c r="B360" s="1" t="n">
        <v>45929.43230324074</v>
      </c>
      <c r="C360" s="1" t="n">
        <v>46083</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46944-2025</t>
        </is>
      </c>
      <c r="B361" s="1" t="n">
        <v>45929.45878472222</v>
      </c>
      <c r="C361" s="1" t="n">
        <v>46083</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57500-2024</t>
        </is>
      </c>
      <c r="B362" s="1" t="n">
        <v>45629</v>
      </c>
      <c r="C362" s="1" t="n">
        <v>46083</v>
      </c>
      <c r="D362" t="inlineStr">
        <is>
          <t>ÖSTERGÖTLANDS LÄN</t>
        </is>
      </c>
      <c r="E362" t="inlineStr">
        <is>
          <t>KINDA</t>
        </is>
      </c>
      <c r="G362" t="n">
        <v>1.2</v>
      </c>
      <c r="H362" t="n">
        <v>0</v>
      </c>
      <c r="I362" t="n">
        <v>0</v>
      </c>
      <c r="J362" t="n">
        <v>0</v>
      </c>
      <c r="K362" t="n">
        <v>0</v>
      </c>
      <c r="L362" t="n">
        <v>0</v>
      </c>
      <c r="M362" t="n">
        <v>0</v>
      </c>
      <c r="N362" t="n">
        <v>0</v>
      </c>
      <c r="O362" t="n">
        <v>0</v>
      </c>
      <c r="P362" t="n">
        <v>0</v>
      </c>
      <c r="Q362" t="n">
        <v>0</v>
      </c>
      <c r="R362" s="2" t="inlineStr"/>
    </row>
    <row r="363" ht="15" customHeight="1">
      <c r="A363" t="inlineStr">
        <is>
          <t>A 46914-2025</t>
        </is>
      </c>
      <c r="B363" s="1" t="n">
        <v>45929.41962962963</v>
      </c>
      <c r="C363" s="1" t="n">
        <v>46083</v>
      </c>
      <c r="D363" t="inlineStr">
        <is>
          <t>ÖSTERGÖTLANDS LÄN</t>
        </is>
      </c>
      <c r="E363" t="inlineStr">
        <is>
          <t>KINDA</t>
        </is>
      </c>
      <c r="G363" t="n">
        <v>4.4</v>
      </c>
      <c r="H363" t="n">
        <v>0</v>
      </c>
      <c r="I363" t="n">
        <v>0</v>
      </c>
      <c r="J363" t="n">
        <v>0</v>
      </c>
      <c r="K363" t="n">
        <v>0</v>
      </c>
      <c r="L363" t="n">
        <v>0</v>
      </c>
      <c r="M363" t="n">
        <v>0</v>
      </c>
      <c r="N363" t="n">
        <v>0</v>
      </c>
      <c r="O363" t="n">
        <v>0</v>
      </c>
      <c r="P363" t="n">
        <v>0</v>
      </c>
      <c r="Q363" t="n">
        <v>0</v>
      </c>
      <c r="R363" s="2" t="inlineStr"/>
    </row>
    <row r="364" ht="15" customHeight="1">
      <c r="A364" t="inlineStr">
        <is>
          <t>A 46916-2025</t>
        </is>
      </c>
      <c r="B364" s="1" t="n">
        <v>45929.42545138889</v>
      </c>
      <c r="C364" s="1" t="n">
        <v>46083</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46926-2025</t>
        </is>
      </c>
      <c r="B365" s="1" t="n">
        <v>45929.43957175926</v>
      </c>
      <c r="C365" s="1" t="n">
        <v>46083</v>
      </c>
      <c r="D365" t="inlineStr">
        <is>
          <t>ÖSTERGÖTLANDS LÄN</t>
        </is>
      </c>
      <c r="E365" t="inlineStr">
        <is>
          <t>KINDA</t>
        </is>
      </c>
      <c r="G365" t="n">
        <v>2.1</v>
      </c>
      <c r="H365" t="n">
        <v>0</v>
      </c>
      <c r="I365" t="n">
        <v>0</v>
      </c>
      <c r="J365" t="n">
        <v>0</v>
      </c>
      <c r="K365" t="n">
        <v>0</v>
      </c>
      <c r="L365" t="n">
        <v>0</v>
      </c>
      <c r="M365" t="n">
        <v>0</v>
      </c>
      <c r="N365" t="n">
        <v>0</v>
      </c>
      <c r="O365" t="n">
        <v>0</v>
      </c>
      <c r="P365" t="n">
        <v>0</v>
      </c>
      <c r="Q365" t="n">
        <v>0</v>
      </c>
      <c r="R365" s="2" t="inlineStr"/>
    </row>
    <row r="366" ht="15" customHeight="1">
      <c r="A366" t="inlineStr">
        <is>
          <t>A 11479-2025</t>
        </is>
      </c>
      <c r="B366" s="1" t="n">
        <v>45726.6749537037</v>
      </c>
      <c r="C366" s="1" t="n">
        <v>46083</v>
      </c>
      <c r="D366" t="inlineStr">
        <is>
          <t>ÖSTERGÖTLANDS LÄN</t>
        </is>
      </c>
      <c r="E366" t="inlineStr">
        <is>
          <t>KINDA</t>
        </is>
      </c>
      <c r="G366" t="n">
        <v>4</v>
      </c>
      <c r="H366" t="n">
        <v>0</v>
      </c>
      <c r="I366" t="n">
        <v>0</v>
      </c>
      <c r="J366" t="n">
        <v>0</v>
      </c>
      <c r="K366" t="n">
        <v>0</v>
      </c>
      <c r="L366" t="n">
        <v>0</v>
      </c>
      <c r="M366" t="n">
        <v>0</v>
      </c>
      <c r="N366" t="n">
        <v>0</v>
      </c>
      <c r="O366" t="n">
        <v>0</v>
      </c>
      <c r="P366" t="n">
        <v>0</v>
      </c>
      <c r="Q366" t="n">
        <v>0</v>
      </c>
      <c r="R366" s="2" t="inlineStr"/>
    </row>
    <row r="367" ht="15" customHeight="1">
      <c r="A367" t="inlineStr">
        <is>
          <t>A 47958-2025</t>
        </is>
      </c>
      <c r="B367" s="1" t="n">
        <v>45932.59138888889</v>
      </c>
      <c r="C367" s="1" t="n">
        <v>46083</v>
      </c>
      <c r="D367" t="inlineStr">
        <is>
          <t>ÖSTERGÖTLANDS LÄN</t>
        </is>
      </c>
      <c r="E367" t="inlineStr">
        <is>
          <t>KINDA</t>
        </is>
      </c>
      <c r="G367" t="n">
        <v>5.5</v>
      </c>
      <c r="H367" t="n">
        <v>0</v>
      </c>
      <c r="I367" t="n">
        <v>0</v>
      </c>
      <c r="J367" t="n">
        <v>0</v>
      </c>
      <c r="K367" t="n">
        <v>0</v>
      </c>
      <c r="L367" t="n">
        <v>0</v>
      </c>
      <c r="M367" t="n">
        <v>0</v>
      </c>
      <c r="N367" t="n">
        <v>0</v>
      </c>
      <c r="O367" t="n">
        <v>0</v>
      </c>
      <c r="P367" t="n">
        <v>0</v>
      </c>
      <c r="Q367" t="n">
        <v>0</v>
      </c>
      <c r="R367" s="2" t="inlineStr"/>
    </row>
    <row r="368" ht="15" customHeight="1">
      <c r="A368" t="inlineStr">
        <is>
          <t>A 43432-2023</t>
        </is>
      </c>
      <c r="B368" s="1" t="n">
        <v>45184.40974537037</v>
      </c>
      <c r="C368" s="1" t="n">
        <v>46083</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9399-2023</t>
        </is>
      </c>
      <c r="B369" s="1" t="n">
        <v>44981</v>
      </c>
      <c r="C369" s="1" t="n">
        <v>46083</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15568-2023</t>
        </is>
      </c>
      <c r="B370" s="1" t="n">
        <v>45020.61570601852</v>
      </c>
      <c r="C370" s="1" t="n">
        <v>46083</v>
      </c>
      <c r="D370" t="inlineStr">
        <is>
          <t>ÖSTERGÖTLANDS LÄN</t>
        </is>
      </c>
      <c r="E370" t="inlineStr">
        <is>
          <t>KINDA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37014-2025</t>
        </is>
      </c>
      <c r="B371" s="1" t="n">
        <v>45874</v>
      </c>
      <c r="C371" s="1" t="n">
        <v>46083</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37069-2025</t>
        </is>
      </c>
      <c r="B372" s="1" t="n">
        <v>45875</v>
      </c>
      <c r="C372" s="1" t="n">
        <v>46083</v>
      </c>
      <c r="D372" t="inlineStr">
        <is>
          <t>ÖSTERGÖTLANDS LÄN</t>
        </is>
      </c>
      <c r="E372" t="inlineStr">
        <is>
          <t>KINDA</t>
        </is>
      </c>
      <c r="G372" t="n">
        <v>1</v>
      </c>
      <c r="H372" t="n">
        <v>0</v>
      </c>
      <c r="I372" t="n">
        <v>0</v>
      </c>
      <c r="J372" t="n">
        <v>0</v>
      </c>
      <c r="K372" t="n">
        <v>0</v>
      </c>
      <c r="L372" t="n">
        <v>0</v>
      </c>
      <c r="M372" t="n">
        <v>0</v>
      </c>
      <c r="N372" t="n">
        <v>0</v>
      </c>
      <c r="O372" t="n">
        <v>0</v>
      </c>
      <c r="P372" t="n">
        <v>0</v>
      </c>
      <c r="Q372" t="n">
        <v>0</v>
      </c>
      <c r="R372" s="2" t="inlineStr"/>
    </row>
    <row r="373" ht="15" customHeight="1">
      <c r="A373" t="inlineStr">
        <is>
          <t>A 54484-2022</t>
        </is>
      </c>
      <c r="B373" s="1" t="n">
        <v>44882</v>
      </c>
      <c r="C373" s="1" t="n">
        <v>46083</v>
      </c>
      <c r="D373" t="inlineStr">
        <is>
          <t>ÖSTERGÖTLANDS LÄN</t>
        </is>
      </c>
      <c r="E373" t="inlineStr">
        <is>
          <t>KINDA</t>
        </is>
      </c>
      <c r="G373" t="n">
        <v>0.3</v>
      </c>
      <c r="H373" t="n">
        <v>0</v>
      </c>
      <c r="I373" t="n">
        <v>0</v>
      </c>
      <c r="J373" t="n">
        <v>0</v>
      </c>
      <c r="K373" t="n">
        <v>0</v>
      </c>
      <c r="L373" t="n">
        <v>0</v>
      </c>
      <c r="M373" t="n">
        <v>0</v>
      </c>
      <c r="N373" t="n">
        <v>0</v>
      </c>
      <c r="O373" t="n">
        <v>0</v>
      </c>
      <c r="P373" t="n">
        <v>0</v>
      </c>
      <c r="Q373" t="n">
        <v>0</v>
      </c>
      <c r="R373" s="2" t="inlineStr"/>
    </row>
    <row r="374" ht="15" customHeight="1">
      <c r="A374" t="inlineStr">
        <is>
          <t>A 47956-2025</t>
        </is>
      </c>
      <c r="B374" s="1" t="n">
        <v>45932.59002314815</v>
      </c>
      <c r="C374" s="1" t="n">
        <v>46083</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32825-2021</t>
        </is>
      </c>
      <c r="B375" s="1" t="n">
        <v>44375.6209837963</v>
      </c>
      <c r="C375" s="1" t="n">
        <v>46083</v>
      </c>
      <c r="D375" t="inlineStr">
        <is>
          <t>ÖSTERGÖTLANDS LÄN</t>
        </is>
      </c>
      <c r="E375" t="inlineStr">
        <is>
          <t>KINDA</t>
        </is>
      </c>
      <c r="G375" t="n">
        <v>0.7</v>
      </c>
      <c r="H375" t="n">
        <v>0</v>
      </c>
      <c r="I375" t="n">
        <v>0</v>
      </c>
      <c r="J375" t="n">
        <v>0</v>
      </c>
      <c r="K375" t="n">
        <v>0</v>
      </c>
      <c r="L375" t="n">
        <v>0</v>
      </c>
      <c r="M375" t="n">
        <v>0</v>
      </c>
      <c r="N375" t="n">
        <v>0</v>
      </c>
      <c r="O375" t="n">
        <v>0</v>
      </c>
      <c r="P375" t="n">
        <v>0</v>
      </c>
      <c r="Q375" t="n">
        <v>0</v>
      </c>
      <c r="R375" s="2" t="inlineStr"/>
    </row>
    <row r="376" ht="15" customHeight="1">
      <c r="A376" t="inlineStr">
        <is>
          <t>A 13273-2021</t>
        </is>
      </c>
      <c r="B376" s="1" t="n">
        <v>44272</v>
      </c>
      <c r="C376" s="1" t="n">
        <v>46083</v>
      </c>
      <c r="D376" t="inlineStr">
        <is>
          <t>ÖSTERGÖTLANDS LÄN</t>
        </is>
      </c>
      <c r="E376" t="inlineStr">
        <is>
          <t>KINDA</t>
        </is>
      </c>
      <c r="G376" t="n">
        <v>3.4</v>
      </c>
      <c r="H376" t="n">
        <v>0</v>
      </c>
      <c r="I376" t="n">
        <v>0</v>
      </c>
      <c r="J376" t="n">
        <v>0</v>
      </c>
      <c r="K376" t="n">
        <v>0</v>
      </c>
      <c r="L376" t="n">
        <v>0</v>
      </c>
      <c r="M376" t="n">
        <v>0</v>
      </c>
      <c r="N376" t="n">
        <v>0</v>
      </c>
      <c r="O376" t="n">
        <v>0</v>
      </c>
      <c r="P376" t="n">
        <v>0</v>
      </c>
      <c r="Q376" t="n">
        <v>0</v>
      </c>
      <c r="R376" s="2" t="inlineStr"/>
    </row>
    <row r="377" ht="15" customHeight="1">
      <c r="A377" t="inlineStr">
        <is>
          <t>A 34127-2021</t>
        </is>
      </c>
      <c r="B377" s="1" t="n">
        <v>44379</v>
      </c>
      <c r="C377" s="1" t="n">
        <v>46083</v>
      </c>
      <c r="D377" t="inlineStr">
        <is>
          <t>ÖSTERGÖTLANDS LÄN</t>
        </is>
      </c>
      <c r="E377" t="inlineStr">
        <is>
          <t>KINDA</t>
        </is>
      </c>
      <c r="G377" t="n">
        <v>1.1</v>
      </c>
      <c r="H377" t="n">
        <v>0</v>
      </c>
      <c r="I377" t="n">
        <v>0</v>
      </c>
      <c r="J377" t="n">
        <v>0</v>
      </c>
      <c r="K377" t="n">
        <v>0</v>
      </c>
      <c r="L377" t="n">
        <v>0</v>
      </c>
      <c r="M377" t="n">
        <v>0</v>
      </c>
      <c r="N377" t="n">
        <v>0</v>
      </c>
      <c r="O377" t="n">
        <v>0</v>
      </c>
      <c r="P377" t="n">
        <v>0</v>
      </c>
      <c r="Q377" t="n">
        <v>0</v>
      </c>
      <c r="R377" s="2" t="inlineStr"/>
    </row>
    <row r="378" ht="15" customHeight="1">
      <c r="A378" t="inlineStr">
        <is>
          <t>A 22151-2024</t>
        </is>
      </c>
      <c r="B378" s="1" t="n">
        <v>45445.39447916667</v>
      </c>
      <c r="C378" s="1" t="n">
        <v>46083</v>
      </c>
      <c r="D378" t="inlineStr">
        <is>
          <t>ÖSTERGÖTLANDS LÄN</t>
        </is>
      </c>
      <c r="E378" t="inlineStr">
        <is>
          <t>KINDA</t>
        </is>
      </c>
      <c r="G378" t="n">
        <v>1.7</v>
      </c>
      <c r="H378" t="n">
        <v>0</v>
      </c>
      <c r="I378" t="n">
        <v>0</v>
      </c>
      <c r="J378" t="n">
        <v>0</v>
      </c>
      <c r="K378" t="n">
        <v>0</v>
      </c>
      <c r="L378" t="n">
        <v>0</v>
      </c>
      <c r="M378" t="n">
        <v>0</v>
      </c>
      <c r="N378" t="n">
        <v>0</v>
      </c>
      <c r="O378" t="n">
        <v>0</v>
      </c>
      <c r="P378" t="n">
        <v>0</v>
      </c>
      <c r="Q378" t="n">
        <v>0</v>
      </c>
      <c r="R378" s="2" t="inlineStr"/>
    </row>
    <row r="379" ht="15" customHeight="1">
      <c r="A379" t="inlineStr">
        <is>
          <t>A 35152-2024</t>
        </is>
      </c>
      <c r="B379" s="1" t="n">
        <v>45530.38082175926</v>
      </c>
      <c r="C379" s="1" t="n">
        <v>46083</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37670-2025</t>
        </is>
      </c>
      <c r="B380" s="1" t="n">
        <v>45880</v>
      </c>
      <c r="C380" s="1" t="n">
        <v>46083</v>
      </c>
      <c r="D380" t="inlineStr">
        <is>
          <t>ÖSTERGÖTLANDS LÄN</t>
        </is>
      </c>
      <c r="E380" t="inlineStr">
        <is>
          <t>KINDA</t>
        </is>
      </c>
      <c r="G380" t="n">
        <v>1.2</v>
      </c>
      <c r="H380" t="n">
        <v>0</v>
      </c>
      <c r="I380" t="n">
        <v>0</v>
      </c>
      <c r="J380" t="n">
        <v>0</v>
      </c>
      <c r="K380" t="n">
        <v>0</v>
      </c>
      <c r="L380" t="n">
        <v>0</v>
      </c>
      <c r="M380" t="n">
        <v>0</v>
      </c>
      <c r="N380" t="n">
        <v>0</v>
      </c>
      <c r="O380" t="n">
        <v>0</v>
      </c>
      <c r="P380" t="n">
        <v>0</v>
      </c>
      <c r="Q380" t="n">
        <v>0</v>
      </c>
      <c r="R380" s="2" t="inlineStr"/>
    </row>
    <row r="381" ht="15" customHeight="1">
      <c r="A381" t="inlineStr">
        <is>
          <t>A 42956-2023</t>
        </is>
      </c>
      <c r="B381" s="1" t="n">
        <v>45182</v>
      </c>
      <c r="C381" s="1" t="n">
        <v>46083</v>
      </c>
      <c r="D381" t="inlineStr">
        <is>
          <t>ÖSTERGÖTLANDS LÄN</t>
        </is>
      </c>
      <c r="E381" t="inlineStr">
        <is>
          <t>KINDA</t>
        </is>
      </c>
      <c r="G381" t="n">
        <v>1.5</v>
      </c>
      <c r="H381" t="n">
        <v>0</v>
      </c>
      <c r="I381" t="n">
        <v>0</v>
      </c>
      <c r="J381" t="n">
        <v>0</v>
      </c>
      <c r="K381" t="n">
        <v>0</v>
      </c>
      <c r="L381" t="n">
        <v>0</v>
      </c>
      <c r="M381" t="n">
        <v>0</v>
      </c>
      <c r="N381" t="n">
        <v>0</v>
      </c>
      <c r="O381" t="n">
        <v>0</v>
      </c>
      <c r="P381" t="n">
        <v>0</v>
      </c>
      <c r="Q381" t="n">
        <v>0</v>
      </c>
      <c r="R381" s="2" t="inlineStr"/>
    </row>
    <row r="382" ht="15" customHeight="1">
      <c r="A382" t="inlineStr">
        <is>
          <t>A 16607-2023</t>
        </is>
      </c>
      <c r="B382" s="1" t="n">
        <v>45030</v>
      </c>
      <c r="C382" s="1" t="n">
        <v>46083</v>
      </c>
      <c r="D382" t="inlineStr">
        <is>
          <t>ÖSTERGÖTLANDS LÄN</t>
        </is>
      </c>
      <c r="E382" t="inlineStr">
        <is>
          <t>KINDA</t>
        </is>
      </c>
      <c r="G382" t="n">
        <v>4.7</v>
      </c>
      <c r="H382" t="n">
        <v>0</v>
      </c>
      <c r="I382" t="n">
        <v>0</v>
      </c>
      <c r="J382" t="n">
        <v>0</v>
      </c>
      <c r="K382" t="n">
        <v>0</v>
      </c>
      <c r="L382" t="n">
        <v>0</v>
      </c>
      <c r="M382" t="n">
        <v>0</v>
      </c>
      <c r="N382" t="n">
        <v>0</v>
      </c>
      <c r="O382" t="n">
        <v>0</v>
      </c>
      <c r="P382" t="n">
        <v>0</v>
      </c>
      <c r="Q382" t="n">
        <v>0</v>
      </c>
      <c r="R382" s="2" t="inlineStr"/>
    </row>
    <row r="383" ht="15" customHeight="1">
      <c r="A383" t="inlineStr">
        <is>
          <t>A 16609-2023</t>
        </is>
      </c>
      <c r="B383" s="1" t="n">
        <v>45030</v>
      </c>
      <c r="C383" s="1" t="n">
        <v>46083</v>
      </c>
      <c r="D383" t="inlineStr">
        <is>
          <t>ÖSTERGÖTLANDS LÄN</t>
        </is>
      </c>
      <c r="E383" t="inlineStr">
        <is>
          <t>KINDA</t>
        </is>
      </c>
      <c r="G383" t="n">
        <v>5.5</v>
      </c>
      <c r="H383" t="n">
        <v>0</v>
      </c>
      <c r="I383" t="n">
        <v>0</v>
      </c>
      <c r="J383" t="n">
        <v>0</v>
      </c>
      <c r="K383" t="n">
        <v>0</v>
      </c>
      <c r="L383" t="n">
        <v>0</v>
      </c>
      <c r="M383" t="n">
        <v>0</v>
      </c>
      <c r="N383" t="n">
        <v>0</v>
      </c>
      <c r="O383" t="n">
        <v>0</v>
      </c>
      <c r="P383" t="n">
        <v>0</v>
      </c>
      <c r="Q383" t="n">
        <v>0</v>
      </c>
      <c r="R383" s="2" t="inlineStr"/>
    </row>
    <row r="384" ht="15" customHeight="1">
      <c r="A384" t="inlineStr">
        <is>
          <t>A 16610-2023</t>
        </is>
      </c>
      <c r="B384" s="1" t="n">
        <v>45030</v>
      </c>
      <c r="C384" s="1" t="n">
        <v>46083</v>
      </c>
      <c r="D384" t="inlineStr">
        <is>
          <t>ÖSTERGÖTLANDS LÄN</t>
        </is>
      </c>
      <c r="E384" t="inlineStr">
        <is>
          <t>KINDA</t>
        </is>
      </c>
      <c r="G384" t="n">
        <v>3.4</v>
      </c>
      <c r="H384" t="n">
        <v>0</v>
      </c>
      <c r="I384" t="n">
        <v>0</v>
      </c>
      <c r="J384" t="n">
        <v>0</v>
      </c>
      <c r="K384" t="n">
        <v>0</v>
      </c>
      <c r="L384" t="n">
        <v>0</v>
      </c>
      <c r="M384" t="n">
        <v>0</v>
      </c>
      <c r="N384" t="n">
        <v>0</v>
      </c>
      <c r="O384" t="n">
        <v>0</v>
      </c>
      <c r="P384" t="n">
        <v>0</v>
      </c>
      <c r="Q384" t="n">
        <v>0</v>
      </c>
      <c r="R384" s="2" t="inlineStr"/>
    </row>
    <row r="385" ht="15" customHeight="1">
      <c r="A385" t="inlineStr">
        <is>
          <t>A 24748-2023</t>
        </is>
      </c>
      <c r="B385" s="1" t="n">
        <v>45078</v>
      </c>
      <c r="C385" s="1" t="n">
        <v>46083</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47936-2025</t>
        </is>
      </c>
      <c r="B386" s="1" t="n">
        <v>45932.55936342593</v>
      </c>
      <c r="C386" s="1" t="n">
        <v>46083</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38134-2025</t>
        </is>
      </c>
      <c r="B387" s="1" t="n">
        <v>45882.56501157407</v>
      </c>
      <c r="C387" s="1" t="n">
        <v>46083</v>
      </c>
      <c r="D387" t="inlineStr">
        <is>
          <t>ÖSTERGÖTLANDS LÄN</t>
        </is>
      </c>
      <c r="E387" t="inlineStr">
        <is>
          <t>KINDA</t>
        </is>
      </c>
      <c r="G387" t="n">
        <v>2</v>
      </c>
      <c r="H387" t="n">
        <v>0</v>
      </c>
      <c r="I387" t="n">
        <v>0</v>
      </c>
      <c r="J387" t="n">
        <v>0</v>
      </c>
      <c r="K387" t="n">
        <v>0</v>
      </c>
      <c r="L387" t="n">
        <v>0</v>
      </c>
      <c r="M387" t="n">
        <v>0</v>
      </c>
      <c r="N387" t="n">
        <v>0</v>
      </c>
      <c r="O387" t="n">
        <v>0</v>
      </c>
      <c r="P387" t="n">
        <v>0</v>
      </c>
      <c r="Q387" t="n">
        <v>0</v>
      </c>
      <c r="R387" s="2" t="inlineStr"/>
    </row>
    <row r="388" ht="15" customHeight="1">
      <c r="A388" t="inlineStr">
        <is>
          <t>A 38138-2025</t>
        </is>
      </c>
      <c r="B388" s="1" t="n">
        <v>45882.57047453704</v>
      </c>
      <c r="C388" s="1" t="n">
        <v>46083</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24075-2025</t>
        </is>
      </c>
      <c r="B389" s="1" t="n">
        <v>45796.54888888889</v>
      </c>
      <c r="C389" s="1" t="n">
        <v>46083</v>
      </c>
      <c r="D389" t="inlineStr">
        <is>
          <t>ÖSTERGÖTLANDS LÄN</t>
        </is>
      </c>
      <c r="E389" t="inlineStr">
        <is>
          <t>KINDA</t>
        </is>
      </c>
      <c r="G389" t="n">
        <v>1.7</v>
      </c>
      <c r="H389" t="n">
        <v>0</v>
      </c>
      <c r="I389" t="n">
        <v>0</v>
      </c>
      <c r="J389" t="n">
        <v>0</v>
      </c>
      <c r="K389" t="n">
        <v>0</v>
      </c>
      <c r="L389" t="n">
        <v>0</v>
      </c>
      <c r="M389" t="n">
        <v>0</v>
      </c>
      <c r="N389" t="n">
        <v>0</v>
      </c>
      <c r="O389" t="n">
        <v>0</v>
      </c>
      <c r="P389" t="n">
        <v>0</v>
      </c>
      <c r="Q389" t="n">
        <v>0</v>
      </c>
      <c r="R389" s="2" t="inlineStr"/>
    </row>
    <row r="390" ht="15" customHeight="1">
      <c r="A390" t="inlineStr">
        <is>
          <t>A 38131-2025</t>
        </is>
      </c>
      <c r="B390" s="1" t="n">
        <v>45882.56136574074</v>
      </c>
      <c r="C390" s="1" t="n">
        <v>46083</v>
      </c>
      <c r="D390" t="inlineStr">
        <is>
          <t>ÖSTERGÖTLANDS LÄN</t>
        </is>
      </c>
      <c r="E390" t="inlineStr">
        <is>
          <t>KINDA</t>
        </is>
      </c>
      <c r="G390" t="n">
        <v>3.9</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46083</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38142-2025</t>
        </is>
      </c>
      <c r="B392" s="1" t="n">
        <v>45882.58010416666</v>
      </c>
      <c r="C392" s="1" t="n">
        <v>46083</v>
      </c>
      <c r="D392" t="inlineStr">
        <is>
          <t>ÖSTERGÖTLANDS LÄN</t>
        </is>
      </c>
      <c r="E392" t="inlineStr">
        <is>
          <t>KINDA</t>
        </is>
      </c>
      <c r="G392" t="n">
        <v>4.2</v>
      </c>
      <c r="H392" t="n">
        <v>0</v>
      </c>
      <c r="I392" t="n">
        <v>0</v>
      </c>
      <c r="J392" t="n">
        <v>0</v>
      </c>
      <c r="K392" t="n">
        <v>0</v>
      </c>
      <c r="L392" t="n">
        <v>0</v>
      </c>
      <c r="M392" t="n">
        <v>0</v>
      </c>
      <c r="N392" t="n">
        <v>0</v>
      </c>
      <c r="O392" t="n">
        <v>0</v>
      </c>
      <c r="P392" t="n">
        <v>0</v>
      </c>
      <c r="Q392" t="n">
        <v>0</v>
      </c>
      <c r="R392" s="2" t="inlineStr"/>
    </row>
    <row r="393" ht="15" customHeight="1">
      <c r="A393" t="inlineStr">
        <is>
          <t>A 767-2025</t>
        </is>
      </c>
      <c r="B393" s="1" t="n">
        <v>45665.45471064815</v>
      </c>
      <c r="C393" s="1" t="n">
        <v>46083</v>
      </c>
      <c r="D393" t="inlineStr">
        <is>
          <t>ÖSTERGÖTLANDS LÄN</t>
        </is>
      </c>
      <c r="E393" t="inlineStr">
        <is>
          <t>KINDA</t>
        </is>
      </c>
      <c r="G393" t="n">
        <v>5</v>
      </c>
      <c r="H393" t="n">
        <v>0</v>
      </c>
      <c r="I393" t="n">
        <v>0</v>
      </c>
      <c r="J393" t="n">
        <v>0</v>
      </c>
      <c r="K393" t="n">
        <v>0</v>
      </c>
      <c r="L393" t="n">
        <v>0</v>
      </c>
      <c r="M393" t="n">
        <v>0</v>
      </c>
      <c r="N393" t="n">
        <v>0</v>
      </c>
      <c r="O393" t="n">
        <v>0</v>
      </c>
      <c r="P393" t="n">
        <v>0</v>
      </c>
      <c r="Q393" t="n">
        <v>0</v>
      </c>
      <c r="R393" s="2" t="inlineStr"/>
    </row>
    <row r="394" ht="15" customHeight="1">
      <c r="A394" t="inlineStr">
        <is>
          <t>A 20325-2025</t>
        </is>
      </c>
      <c r="B394" s="1" t="n">
        <v>45775</v>
      </c>
      <c r="C394" s="1" t="n">
        <v>46083</v>
      </c>
      <c r="D394" t="inlineStr">
        <is>
          <t>ÖSTERGÖTLANDS LÄN</t>
        </is>
      </c>
      <c r="E394" t="inlineStr">
        <is>
          <t>KINDA</t>
        </is>
      </c>
      <c r="G394" t="n">
        <v>3.6</v>
      </c>
      <c r="H394" t="n">
        <v>0</v>
      </c>
      <c r="I394" t="n">
        <v>0</v>
      </c>
      <c r="J394" t="n">
        <v>0</v>
      </c>
      <c r="K394" t="n">
        <v>0</v>
      </c>
      <c r="L394" t="n">
        <v>0</v>
      </c>
      <c r="M394" t="n">
        <v>0</v>
      </c>
      <c r="N394" t="n">
        <v>0</v>
      </c>
      <c r="O394" t="n">
        <v>0</v>
      </c>
      <c r="P394" t="n">
        <v>0</v>
      </c>
      <c r="Q394" t="n">
        <v>0</v>
      </c>
      <c r="R394" s="2" t="inlineStr"/>
    </row>
    <row r="395" ht="15" customHeight="1">
      <c r="A395" t="inlineStr">
        <is>
          <t>A 41450-2022</t>
        </is>
      </c>
      <c r="B395" s="1" t="n">
        <v>44826</v>
      </c>
      <c r="C395" s="1" t="n">
        <v>46083</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48194-2025</t>
        </is>
      </c>
      <c r="B396" s="1" t="n">
        <v>45933.47111111111</v>
      </c>
      <c r="C396" s="1" t="n">
        <v>46083</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46083</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5903-2025</t>
        </is>
      </c>
      <c r="B398" s="1" t="n">
        <v>45695.40054398148</v>
      </c>
      <c r="C398" s="1" t="n">
        <v>46083</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23717-2021</t>
        </is>
      </c>
      <c r="B399" s="1" t="n">
        <v>44334.71728009259</v>
      </c>
      <c r="C399" s="1" t="n">
        <v>46083</v>
      </c>
      <c r="D399" t="inlineStr">
        <is>
          <t>ÖSTERGÖTLANDS LÄN</t>
        </is>
      </c>
      <c r="E399" t="inlineStr">
        <is>
          <t>KINDA</t>
        </is>
      </c>
      <c r="G399" t="n">
        <v>1.8</v>
      </c>
      <c r="H399" t="n">
        <v>0</v>
      </c>
      <c r="I399" t="n">
        <v>0</v>
      </c>
      <c r="J399" t="n">
        <v>0</v>
      </c>
      <c r="K399" t="n">
        <v>0</v>
      </c>
      <c r="L399" t="n">
        <v>0</v>
      </c>
      <c r="M399" t="n">
        <v>0</v>
      </c>
      <c r="N399" t="n">
        <v>0</v>
      </c>
      <c r="O399" t="n">
        <v>0</v>
      </c>
      <c r="P399" t="n">
        <v>0</v>
      </c>
      <c r="Q399" t="n">
        <v>0</v>
      </c>
      <c r="R399" s="2" t="inlineStr"/>
    </row>
    <row r="400" ht="15" customHeight="1">
      <c r="A400" t="inlineStr">
        <is>
          <t>A 54345-2022</t>
        </is>
      </c>
      <c r="B400" s="1" t="n">
        <v>44882</v>
      </c>
      <c r="C400" s="1" t="n">
        <v>46083</v>
      </c>
      <c r="D400" t="inlineStr">
        <is>
          <t>ÖSTERGÖTLANDS LÄN</t>
        </is>
      </c>
      <c r="E400" t="inlineStr">
        <is>
          <t>KINDA</t>
        </is>
      </c>
      <c r="G400" t="n">
        <v>0.1</v>
      </c>
      <c r="H400" t="n">
        <v>0</v>
      </c>
      <c r="I400" t="n">
        <v>0</v>
      </c>
      <c r="J400" t="n">
        <v>0</v>
      </c>
      <c r="K400" t="n">
        <v>0</v>
      </c>
      <c r="L400" t="n">
        <v>0</v>
      </c>
      <c r="M400" t="n">
        <v>0</v>
      </c>
      <c r="N400" t="n">
        <v>0</v>
      </c>
      <c r="O400" t="n">
        <v>0</v>
      </c>
      <c r="P400" t="n">
        <v>0</v>
      </c>
      <c r="Q400" t="n">
        <v>0</v>
      </c>
      <c r="R400" s="2" t="inlineStr"/>
    </row>
    <row r="401" ht="15" customHeight="1">
      <c r="A401" t="inlineStr">
        <is>
          <t>A 1503-2023</t>
        </is>
      </c>
      <c r="B401" s="1" t="n">
        <v>44935</v>
      </c>
      <c r="C401" s="1" t="n">
        <v>46083</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9702-2022</t>
        </is>
      </c>
      <c r="B402" s="1" t="n">
        <v>44617.6878125</v>
      </c>
      <c r="C402" s="1" t="n">
        <v>46083</v>
      </c>
      <c r="D402" t="inlineStr">
        <is>
          <t>ÖSTERGÖTLANDS LÄN</t>
        </is>
      </c>
      <c r="E402" t="inlineStr">
        <is>
          <t>KINDA</t>
        </is>
      </c>
      <c r="G402" t="n">
        <v>2.8</v>
      </c>
      <c r="H402" t="n">
        <v>0</v>
      </c>
      <c r="I402" t="n">
        <v>0</v>
      </c>
      <c r="J402" t="n">
        <v>0</v>
      </c>
      <c r="K402" t="n">
        <v>0</v>
      </c>
      <c r="L402" t="n">
        <v>0</v>
      </c>
      <c r="M402" t="n">
        <v>0</v>
      </c>
      <c r="N402" t="n">
        <v>0</v>
      </c>
      <c r="O402" t="n">
        <v>0</v>
      </c>
      <c r="P402" t="n">
        <v>0</v>
      </c>
      <c r="Q402" t="n">
        <v>0</v>
      </c>
      <c r="R402" s="2" t="inlineStr"/>
    </row>
    <row r="403" ht="15" customHeight="1">
      <c r="A403" t="inlineStr">
        <is>
          <t>A 18410-2023</t>
        </is>
      </c>
      <c r="B403" s="1" t="n">
        <v>45042.40232638889</v>
      </c>
      <c r="C403" s="1" t="n">
        <v>46083</v>
      </c>
      <c r="D403" t="inlineStr">
        <is>
          <t>ÖSTERGÖTLANDS LÄN</t>
        </is>
      </c>
      <c r="E403" t="inlineStr">
        <is>
          <t>KINDA</t>
        </is>
      </c>
      <c r="G403" t="n">
        <v>5.6</v>
      </c>
      <c r="H403" t="n">
        <v>0</v>
      </c>
      <c r="I403" t="n">
        <v>0</v>
      </c>
      <c r="J403" t="n">
        <v>0</v>
      </c>
      <c r="K403" t="n">
        <v>0</v>
      </c>
      <c r="L403" t="n">
        <v>0</v>
      </c>
      <c r="M403" t="n">
        <v>0</v>
      </c>
      <c r="N403" t="n">
        <v>0</v>
      </c>
      <c r="O403" t="n">
        <v>0</v>
      </c>
      <c r="P403" t="n">
        <v>0</v>
      </c>
      <c r="Q403" t="n">
        <v>0</v>
      </c>
      <c r="R403" s="2" t="inlineStr"/>
    </row>
    <row r="404" ht="15" customHeight="1">
      <c r="A404" t="inlineStr">
        <is>
          <t>A 4659-2023</t>
        </is>
      </c>
      <c r="B404" s="1" t="n">
        <v>44952</v>
      </c>
      <c r="C404" s="1" t="n">
        <v>46083</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48193-2025</t>
        </is>
      </c>
      <c r="B405" s="1" t="n">
        <v>45933.46984953704</v>
      </c>
      <c r="C405" s="1" t="n">
        <v>46083</v>
      </c>
      <c r="D405" t="inlineStr">
        <is>
          <t>ÖSTERGÖTLANDS LÄN</t>
        </is>
      </c>
      <c r="E405" t="inlineStr">
        <is>
          <t>KINDA</t>
        </is>
      </c>
      <c r="G405" t="n">
        <v>1.2</v>
      </c>
      <c r="H405" t="n">
        <v>0</v>
      </c>
      <c r="I405" t="n">
        <v>0</v>
      </c>
      <c r="J405" t="n">
        <v>0</v>
      </c>
      <c r="K405" t="n">
        <v>0</v>
      </c>
      <c r="L405" t="n">
        <v>0</v>
      </c>
      <c r="M405" t="n">
        <v>0</v>
      </c>
      <c r="N405" t="n">
        <v>0</v>
      </c>
      <c r="O405" t="n">
        <v>0</v>
      </c>
      <c r="P405" t="n">
        <v>0</v>
      </c>
      <c r="Q405" t="n">
        <v>0</v>
      </c>
      <c r="R405" s="2" t="inlineStr"/>
    </row>
    <row r="406" ht="15" customHeight="1">
      <c r="A406" t="inlineStr">
        <is>
          <t>A 48592-2025</t>
        </is>
      </c>
      <c r="B406" s="1" t="n">
        <v>45935</v>
      </c>
      <c r="C406" s="1" t="n">
        <v>46083</v>
      </c>
      <c r="D406" t="inlineStr">
        <is>
          <t>ÖSTERGÖTLANDS LÄN</t>
        </is>
      </c>
      <c r="E406" t="inlineStr">
        <is>
          <t>KINDA</t>
        </is>
      </c>
      <c r="G406" t="n">
        <v>4.2</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46083</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46918-2022</t>
        </is>
      </c>
      <c r="B408" s="1" t="n">
        <v>44851.67681712963</v>
      </c>
      <c r="C408" s="1" t="n">
        <v>46083</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650-2023</t>
        </is>
      </c>
      <c r="B409" s="1" t="n">
        <v>44930.64962962963</v>
      </c>
      <c r="C409" s="1" t="n">
        <v>46083</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45119-2023</t>
        </is>
      </c>
      <c r="B410" s="1" t="n">
        <v>45187</v>
      </c>
      <c r="C410" s="1" t="n">
        <v>46083</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32781-2021</t>
        </is>
      </c>
      <c r="B411" s="1" t="n">
        <v>44375</v>
      </c>
      <c r="C411" s="1" t="n">
        <v>46083</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c r="U411">
        <f>HYPERLINK("https://klasma.github.io/Logging_0513/knärot/A 32781-2021 karta knärot.png", "A 32781-2021")</f>
        <v/>
      </c>
      <c r="V411">
        <f>HYPERLINK("https://klasma.github.io/Logging_0513/klagomål/A 32781-2021 FSC-klagomål.docx", "A 32781-2021")</f>
        <v/>
      </c>
      <c r="W411">
        <f>HYPERLINK("https://klasma.github.io/Logging_0513/klagomålsmail/A 32781-2021 FSC-klagomål mail.docx", "A 32781-2021")</f>
        <v/>
      </c>
      <c r="X411">
        <f>HYPERLINK("https://klasma.github.io/Logging_0513/tillsyn/A 32781-2021 tillsynsbegäran.docx", "A 32781-2021")</f>
        <v/>
      </c>
      <c r="Y411">
        <f>HYPERLINK("https://klasma.github.io/Logging_0513/tillsynsmail/A 32781-2021 tillsynsbegäran mail.docx", "A 32781-2021")</f>
        <v/>
      </c>
    </row>
    <row r="412" ht="15" customHeight="1">
      <c r="A412" t="inlineStr">
        <is>
          <t>A 38136-2025</t>
        </is>
      </c>
      <c r="B412" s="1" t="n">
        <v>45882.56710648148</v>
      </c>
      <c r="C412" s="1" t="n">
        <v>46083</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8318-2025</t>
        </is>
      </c>
      <c r="B413" s="1" t="n">
        <v>45708.62505787037</v>
      </c>
      <c r="C413" s="1" t="n">
        <v>46083</v>
      </c>
      <c r="D413" t="inlineStr">
        <is>
          <t>ÖSTERGÖTLANDS LÄN</t>
        </is>
      </c>
      <c r="E413" t="inlineStr">
        <is>
          <t>KINDA</t>
        </is>
      </c>
      <c r="G413" t="n">
        <v>2.9</v>
      </c>
      <c r="H413" t="n">
        <v>0</v>
      </c>
      <c r="I413" t="n">
        <v>0</v>
      </c>
      <c r="J413" t="n">
        <v>0</v>
      </c>
      <c r="K413" t="n">
        <v>0</v>
      </c>
      <c r="L413" t="n">
        <v>0</v>
      </c>
      <c r="M413" t="n">
        <v>0</v>
      </c>
      <c r="N413" t="n">
        <v>0</v>
      </c>
      <c r="O413" t="n">
        <v>0</v>
      </c>
      <c r="P413" t="n">
        <v>0</v>
      </c>
      <c r="Q413" t="n">
        <v>0</v>
      </c>
      <c r="R413" s="2" t="inlineStr"/>
    </row>
    <row r="414" ht="15" customHeight="1">
      <c r="A414" t="inlineStr">
        <is>
          <t>A 38250-2025</t>
        </is>
      </c>
      <c r="B414" s="1" t="n">
        <v>45883.3749537037</v>
      </c>
      <c r="C414" s="1" t="n">
        <v>46083</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46083</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49834-2025</t>
        </is>
      </c>
      <c r="B416" s="1" t="n">
        <v>45940.46385416666</v>
      </c>
      <c r="C416" s="1" t="n">
        <v>46083</v>
      </c>
      <c r="D416" t="inlineStr">
        <is>
          <t>ÖSTERGÖTLANDS LÄN</t>
        </is>
      </c>
      <c r="E416" t="inlineStr">
        <is>
          <t>KINDA</t>
        </is>
      </c>
      <c r="G416" t="n">
        <v>1.4</v>
      </c>
      <c r="H416" t="n">
        <v>0</v>
      </c>
      <c r="I416" t="n">
        <v>0</v>
      </c>
      <c r="J416" t="n">
        <v>0</v>
      </c>
      <c r="K416" t="n">
        <v>0</v>
      </c>
      <c r="L416" t="n">
        <v>0</v>
      </c>
      <c r="M416" t="n">
        <v>0</v>
      </c>
      <c r="N416" t="n">
        <v>0</v>
      </c>
      <c r="O416" t="n">
        <v>0</v>
      </c>
      <c r="P416" t="n">
        <v>0</v>
      </c>
      <c r="Q416" t="n">
        <v>0</v>
      </c>
      <c r="R416" s="2" t="inlineStr"/>
    </row>
    <row r="417" ht="15" customHeight="1">
      <c r="A417" t="inlineStr">
        <is>
          <t>A 59573-2022</t>
        </is>
      </c>
      <c r="B417" s="1" t="n">
        <v>44907</v>
      </c>
      <c r="C417" s="1" t="n">
        <v>46083</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50179-2025</t>
        </is>
      </c>
      <c r="B418" s="1" t="n">
        <v>45943.61493055556</v>
      </c>
      <c r="C418" s="1" t="n">
        <v>46083</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20350-2025</t>
        </is>
      </c>
      <c r="B419" s="1" t="n">
        <v>45775</v>
      </c>
      <c r="C419" s="1" t="n">
        <v>46083</v>
      </c>
      <c r="D419" t="inlineStr">
        <is>
          <t>ÖSTERGÖTLANDS LÄN</t>
        </is>
      </c>
      <c r="E419" t="inlineStr">
        <is>
          <t>KINDA</t>
        </is>
      </c>
      <c r="G419" t="n">
        <v>2</v>
      </c>
      <c r="H419" t="n">
        <v>0</v>
      </c>
      <c r="I419" t="n">
        <v>0</v>
      </c>
      <c r="J419" t="n">
        <v>0</v>
      </c>
      <c r="K419" t="n">
        <v>0</v>
      </c>
      <c r="L419" t="n">
        <v>0</v>
      </c>
      <c r="M419" t="n">
        <v>0</v>
      </c>
      <c r="N419" t="n">
        <v>0</v>
      </c>
      <c r="O419" t="n">
        <v>0</v>
      </c>
      <c r="P419" t="n">
        <v>0</v>
      </c>
      <c r="Q419" t="n">
        <v>0</v>
      </c>
      <c r="R419" s="2" t="inlineStr"/>
    </row>
    <row r="420" ht="15" customHeight="1">
      <c r="A420" t="inlineStr">
        <is>
          <t>A 24367-2023</t>
        </is>
      </c>
      <c r="B420" s="1" t="n">
        <v>45082.34861111111</v>
      </c>
      <c r="C420" s="1" t="n">
        <v>46083</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50741-2025</t>
        </is>
      </c>
      <c r="B421" s="1" t="n">
        <v>45946.3800462963</v>
      </c>
      <c r="C421" s="1" t="n">
        <v>46083</v>
      </c>
      <c r="D421" t="inlineStr">
        <is>
          <t>ÖSTERGÖTLANDS LÄN</t>
        </is>
      </c>
      <c r="E421" t="inlineStr">
        <is>
          <t>KINDA</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50619-2025</t>
        </is>
      </c>
      <c r="B422" s="1" t="n">
        <v>45945.63074074074</v>
      </c>
      <c r="C422" s="1" t="n">
        <v>46083</v>
      </c>
      <c r="D422" t="inlineStr">
        <is>
          <t>ÖSTERGÖTLANDS LÄN</t>
        </is>
      </c>
      <c r="E422" t="inlineStr">
        <is>
          <t>KINDA</t>
        </is>
      </c>
      <c r="G422" t="n">
        <v>1.7</v>
      </c>
      <c r="H422" t="n">
        <v>0</v>
      </c>
      <c r="I422" t="n">
        <v>0</v>
      </c>
      <c r="J422" t="n">
        <v>0</v>
      </c>
      <c r="K422" t="n">
        <v>0</v>
      </c>
      <c r="L422" t="n">
        <v>0</v>
      </c>
      <c r="M422" t="n">
        <v>0</v>
      </c>
      <c r="N422" t="n">
        <v>0</v>
      </c>
      <c r="O422" t="n">
        <v>0</v>
      </c>
      <c r="P422" t="n">
        <v>0</v>
      </c>
      <c r="Q422" t="n">
        <v>0</v>
      </c>
      <c r="R422" s="2" t="inlineStr"/>
    </row>
    <row r="423" ht="15" customHeight="1">
      <c r="A423" t="inlineStr">
        <is>
          <t>A 46262-2021</t>
        </is>
      </c>
      <c r="B423" s="1" t="n">
        <v>44442.55604166666</v>
      </c>
      <c r="C423" s="1" t="n">
        <v>46083</v>
      </c>
      <c r="D423" t="inlineStr">
        <is>
          <t>ÖSTERGÖTLANDS LÄN</t>
        </is>
      </c>
      <c r="E423" t="inlineStr">
        <is>
          <t>KINDA</t>
        </is>
      </c>
      <c r="G423" t="n">
        <v>1.5</v>
      </c>
      <c r="H423" t="n">
        <v>0</v>
      </c>
      <c r="I423" t="n">
        <v>0</v>
      </c>
      <c r="J423" t="n">
        <v>0</v>
      </c>
      <c r="K423" t="n">
        <v>0</v>
      </c>
      <c r="L423" t="n">
        <v>0</v>
      </c>
      <c r="M423" t="n">
        <v>0</v>
      </c>
      <c r="N423" t="n">
        <v>0</v>
      </c>
      <c r="O423" t="n">
        <v>0</v>
      </c>
      <c r="P423" t="n">
        <v>0</v>
      </c>
      <c r="Q423" t="n">
        <v>0</v>
      </c>
      <c r="R423" s="2" t="inlineStr"/>
    </row>
    <row r="424" ht="15" customHeight="1">
      <c r="A424" t="inlineStr">
        <is>
          <t>A 35947-2023</t>
        </is>
      </c>
      <c r="B424" s="1" t="n">
        <v>45148.70342592592</v>
      </c>
      <c r="C424" s="1" t="n">
        <v>46083</v>
      </c>
      <c r="D424" t="inlineStr">
        <is>
          <t>ÖSTERGÖTLANDS LÄN</t>
        </is>
      </c>
      <c r="E424" t="inlineStr">
        <is>
          <t>KINDA</t>
        </is>
      </c>
      <c r="G424" t="n">
        <v>0.4</v>
      </c>
      <c r="H424" t="n">
        <v>0</v>
      </c>
      <c r="I424" t="n">
        <v>0</v>
      </c>
      <c r="J424" t="n">
        <v>0</v>
      </c>
      <c r="K424" t="n">
        <v>0</v>
      </c>
      <c r="L424" t="n">
        <v>0</v>
      </c>
      <c r="M424" t="n">
        <v>0</v>
      </c>
      <c r="N424" t="n">
        <v>0</v>
      </c>
      <c r="O424" t="n">
        <v>0</v>
      </c>
      <c r="P424" t="n">
        <v>0</v>
      </c>
      <c r="Q424" t="n">
        <v>0</v>
      </c>
      <c r="R424" s="2" t="inlineStr"/>
    </row>
    <row r="425" ht="15" customHeight="1">
      <c r="A425" t="inlineStr">
        <is>
          <t>A 47003-2025</t>
        </is>
      </c>
      <c r="B425" s="1" t="n">
        <v>45929</v>
      </c>
      <c r="C425" s="1" t="n">
        <v>46083</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15349-2024</t>
        </is>
      </c>
      <c r="B426" s="1" t="n">
        <v>45400.7590162037</v>
      </c>
      <c r="C426" s="1" t="n">
        <v>46083</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13845-2025</t>
        </is>
      </c>
      <c r="B427" s="1" t="n">
        <v>45737.5596875</v>
      </c>
      <c r="C427" s="1" t="n">
        <v>46083</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17480-2025</t>
        </is>
      </c>
      <c r="B428" s="1" t="n">
        <v>45757.48918981481</v>
      </c>
      <c r="C428" s="1" t="n">
        <v>46083</v>
      </c>
      <c r="D428" t="inlineStr">
        <is>
          <t>ÖSTERGÖTLANDS LÄN</t>
        </is>
      </c>
      <c r="E428" t="inlineStr">
        <is>
          <t>KINDA</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2969-2024</t>
        </is>
      </c>
      <c r="B429" s="1" t="n">
        <v>45315.66914351852</v>
      </c>
      <c r="C429" s="1" t="n">
        <v>46083</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23886-2023</t>
        </is>
      </c>
      <c r="B430" s="1" t="n">
        <v>45078.5274537037</v>
      </c>
      <c r="C430" s="1" t="n">
        <v>46083</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17666-2025</t>
        </is>
      </c>
      <c r="B431" s="1" t="n">
        <v>45758.36324074074</v>
      </c>
      <c r="C431" s="1" t="n">
        <v>46083</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57455-2021</t>
        </is>
      </c>
      <c r="B432" s="1" t="n">
        <v>44483.65453703704</v>
      </c>
      <c r="C432" s="1" t="n">
        <v>46083</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66100-2021</t>
        </is>
      </c>
      <c r="B433" s="1" t="n">
        <v>44517</v>
      </c>
      <c r="C433" s="1" t="n">
        <v>46083</v>
      </c>
      <c r="D433" t="inlineStr">
        <is>
          <t>ÖSTERGÖTLANDS LÄN</t>
        </is>
      </c>
      <c r="E433" t="inlineStr">
        <is>
          <t>KINDA</t>
        </is>
      </c>
      <c r="G433" t="n">
        <v>2.5</v>
      </c>
      <c r="H433" t="n">
        <v>0</v>
      </c>
      <c r="I433" t="n">
        <v>0</v>
      </c>
      <c r="J433" t="n">
        <v>0</v>
      </c>
      <c r="K433" t="n">
        <v>0</v>
      </c>
      <c r="L433" t="n">
        <v>0</v>
      </c>
      <c r="M433" t="n">
        <v>0</v>
      </c>
      <c r="N433" t="n">
        <v>0</v>
      </c>
      <c r="O433" t="n">
        <v>0</v>
      </c>
      <c r="P433" t="n">
        <v>0</v>
      </c>
      <c r="Q433" t="n">
        <v>0</v>
      </c>
      <c r="R433" s="2" t="inlineStr"/>
    </row>
    <row r="434" ht="15" customHeight="1">
      <c r="A434" t="inlineStr">
        <is>
          <t>A 5184-2023</t>
        </is>
      </c>
      <c r="B434" s="1" t="n">
        <v>44959.3233912037</v>
      </c>
      <c r="C434" s="1" t="n">
        <v>46083</v>
      </c>
      <c r="D434" t="inlineStr">
        <is>
          <t>ÖSTERGÖTLANDS LÄN</t>
        </is>
      </c>
      <c r="E434" t="inlineStr">
        <is>
          <t>KINDA</t>
        </is>
      </c>
      <c r="G434" t="n">
        <v>3.4</v>
      </c>
      <c r="H434" t="n">
        <v>0</v>
      </c>
      <c r="I434" t="n">
        <v>0</v>
      </c>
      <c r="J434" t="n">
        <v>0</v>
      </c>
      <c r="K434" t="n">
        <v>0</v>
      </c>
      <c r="L434" t="n">
        <v>0</v>
      </c>
      <c r="M434" t="n">
        <v>0</v>
      </c>
      <c r="N434" t="n">
        <v>0</v>
      </c>
      <c r="O434" t="n">
        <v>0</v>
      </c>
      <c r="P434" t="n">
        <v>0</v>
      </c>
      <c r="Q434" t="n">
        <v>0</v>
      </c>
      <c r="R434" s="2" t="inlineStr"/>
    </row>
    <row r="435" ht="15" customHeight="1">
      <c r="A435" t="inlineStr">
        <is>
          <t>A 19296-2023</t>
        </is>
      </c>
      <c r="B435" s="1" t="n">
        <v>45048</v>
      </c>
      <c r="C435" s="1" t="n">
        <v>46083</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52766-2025</t>
        </is>
      </c>
      <c r="B436" s="1" t="n">
        <v>45957.4008912037</v>
      </c>
      <c r="C436" s="1" t="n">
        <v>46083</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12128-2021</t>
        </is>
      </c>
      <c r="B437" s="1" t="n">
        <v>44266</v>
      </c>
      <c r="C437" s="1" t="n">
        <v>46083</v>
      </c>
      <c r="D437" t="inlineStr">
        <is>
          <t>ÖSTERGÖTLANDS LÄN</t>
        </is>
      </c>
      <c r="E437" t="inlineStr">
        <is>
          <t>KINDA</t>
        </is>
      </c>
      <c r="G437" t="n">
        <v>4.1</v>
      </c>
      <c r="H437" t="n">
        <v>0</v>
      </c>
      <c r="I437" t="n">
        <v>0</v>
      </c>
      <c r="J437" t="n">
        <v>0</v>
      </c>
      <c r="K437" t="n">
        <v>0</v>
      </c>
      <c r="L437" t="n">
        <v>0</v>
      </c>
      <c r="M437" t="n">
        <v>0</v>
      </c>
      <c r="N437" t="n">
        <v>0</v>
      </c>
      <c r="O437" t="n">
        <v>0</v>
      </c>
      <c r="P437" t="n">
        <v>0</v>
      </c>
      <c r="Q437" t="n">
        <v>0</v>
      </c>
      <c r="R437" s="2" t="inlineStr"/>
    </row>
    <row r="438" ht="15" customHeight="1">
      <c r="A438" t="inlineStr">
        <is>
          <t>A 53417-2025</t>
        </is>
      </c>
      <c r="B438" s="1" t="n">
        <v>45959.58710648148</v>
      </c>
      <c r="C438" s="1" t="n">
        <v>46083</v>
      </c>
      <c r="D438" t="inlineStr">
        <is>
          <t>ÖSTERGÖTLANDS LÄN</t>
        </is>
      </c>
      <c r="E438" t="inlineStr">
        <is>
          <t>KINDA</t>
        </is>
      </c>
      <c r="G438" t="n">
        <v>4.5</v>
      </c>
      <c r="H438" t="n">
        <v>0</v>
      </c>
      <c r="I438" t="n">
        <v>0</v>
      </c>
      <c r="J438" t="n">
        <v>0</v>
      </c>
      <c r="K438" t="n">
        <v>0</v>
      </c>
      <c r="L438" t="n">
        <v>0</v>
      </c>
      <c r="M438" t="n">
        <v>0</v>
      </c>
      <c r="N438" t="n">
        <v>0</v>
      </c>
      <c r="O438" t="n">
        <v>0</v>
      </c>
      <c r="P438" t="n">
        <v>0</v>
      </c>
      <c r="Q438" t="n">
        <v>0</v>
      </c>
      <c r="R438" s="2" t="inlineStr"/>
    </row>
    <row r="439" ht="15" customHeight="1">
      <c r="A439" t="inlineStr">
        <is>
          <t>A 12948-2023</t>
        </is>
      </c>
      <c r="B439" s="1" t="n">
        <v>45001.72512731481</v>
      </c>
      <c r="C439" s="1" t="n">
        <v>46083</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6404-2023</t>
        </is>
      </c>
      <c r="B440" s="1" t="n">
        <v>44965.67148148148</v>
      </c>
      <c r="C440" s="1" t="n">
        <v>46083</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25268-2023</t>
        </is>
      </c>
      <c r="B441" s="1" t="n">
        <v>45086.66693287037</v>
      </c>
      <c r="C441" s="1" t="n">
        <v>46083</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1881-2025</t>
        </is>
      </c>
      <c r="B442" s="1" t="n">
        <v>45671.62480324074</v>
      </c>
      <c r="C442" s="1" t="n">
        <v>46083</v>
      </c>
      <c r="D442" t="inlineStr">
        <is>
          <t>ÖSTERGÖTLANDS LÄN</t>
        </is>
      </c>
      <c r="E442" t="inlineStr">
        <is>
          <t>KINDA</t>
        </is>
      </c>
      <c r="G442" t="n">
        <v>2.4</v>
      </c>
      <c r="H442" t="n">
        <v>0</v>
      </c>
      <c r="I442" t="n">
        <v>0</v>
      </c>
      <c r="J442" t="n">
        <v>0</v>
      </c>
      <c r="K442" t="n">
        <v>0</v>
      </c>
      <c r="L442" t="n">
        <v>0</v>
      </c>
      <c r="M442" t="n">
        <v>0</v>
      </c>
      <c r="N442" t="n">
        <v>0</v>
      </c>
      <c r="O442" t="n">
        <v>0</v>
      </c>
      <c r="P442" t="n">
        <v>0</v>
      </c>
      <c r="Q442" t="n">
        <v>0</v>
      </c>
      <c r="R442" s="2" t="inlineStr"/>
    </row>
    <row r="443" ht="15" customHeight="1">
      <c r="A443" t="inlineStr">
        <is>
          <t>A 14244-2024</t>
        </is>
      </c>
      <c r="B443" s="1" t="n">
        <v>45393</v>
      </c>
      <c r="C443" s="1" t="n">
        <v>46083</v>
      </c>
      <c r="D443" t="inlineStr">
        <is>
          <t>ÖSTERGÖTLANDS LÄN</t>
        </is>
      </c>
      <c r="E443" t="inlineStr">
        <is>
          <t>KINDA</t>
        </is>
      </c>
      <c r="G443" t="n">
        <v>2.1</v>
      </c>
      <c r="H443" t="n">
        <v>0</v>
      </c>
      <c r="I443" t="n">
        <v>0</v>
      </c>
      <c r="J443" t="n">
        <v>0</v>
      </c>
      <c r="K443" t="n">
        <v>0</v>
      </c>
      <c r="L443" t="n">
        <v>0</v>
      </c>
      <c r="M443" t="n">
        <v>0</v>
      </c>
      <c r="N443" t="n">
        <v>0</v>
      </c>
      <c r="O443" t="n">
        <v>0</v>
      </c>
      <c r="P443" t="n">
        <v>0</v>
      </c>
      <c r="Q443" t="n">
        <v>0</v>
      </c>
      <c r="R443" s="2" t="inlineStr"/>
    </row>
    <row r="444" ht="15" customHeight="1">
      <c r="A444" t="inlineStr">
        <is>
          <t>A 53808-2025</t>
        </is>
      </c>
      <c r="B444" s="1" t="n">
        <v>45960.86200231482</v>
      </c>
      <c r="C444" s="1" t="n">
        <v>46083</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54403-2025</t>
        </is>
      </c>
      <c r="B445" s="1" t="n">
        <v>45965.45344907408</v>
      </c>
      <c r="C445" s="1" t="n">
        <v>46083</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19654-2025</t>
        </is>
      </c>
      <c r="B446" s="1" t="n">
        <v>45770.67305555556</v>
      </c>
      <c r="C446" s="1" t="n">
        <v>46083</v>
      </c>
      <c r="D446" t="inlineStr">
        <is>
          <t>ÖSTERGÖTLANDS LÄN</t>
        </is>
      </c>
      <c r="E446" t="inlineStr">
        <is>
          <t>KINDA</t>
        </is>
      </c>
      <c r="F446" t="inlineStr">
        <is>
          <t>Allmännings- och besparingsskogar</t>
        </is>
      </c>
      <c r="G446" t="n">
        <v>10.7</v>
      </c>
      <c r="H446" t="n">
        <v>0</v>
      </c>
      <c r="I446" t="n">
        <v>0</v>
      </c>
      <c r="J446" t="n">
        <v>0</v>
      </c>
      <c r="K446" t="n">
        <v>0</v>
      </c>
      <c r="L446" t="n">
        <v>0</v>
      </c>
      <c r="M446" t="n">
        <v>0</v>
      </c>
      <c r="N446" t="n">
        <v>0</v>
      </c>
      <c r="O446" t="n">
        <v>0</v>
      </c>
      <c r="P446" t="n">
        <v>0</v>
      </c>
      <c r="Q446" t="n">
        <v>0</v>
      </c>
      <c r="R446" s="2" t="inlineStr"/>
    </row>
    <row r="447" ht="15" customHeight="1">
      <c r="A447" t="inlineStr">
        <is>
          <t>A 6561-2024</t>
        </is>
      </c>
      <c r="B447" s="1" t="n">
        <v>45341</v>
      </c>
      <c r="C447" s="1" t="n">
        <v>46083</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5371-2024</t>
        </is>
      </c>
      <c r="B448" s="1" t="n">
        <v>45331</v>
      </c>
      <c r="C448" s="1" t="n">
        <v>46083</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54870-2025</t>
        </is>
      </c>
      <c r="B449" s="1" t="n">
        <v>45966.87212962963</v>
      </c>
      <c r="C449" s="1" t="n">
        <v>46083</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35203-2023</t>
        </is>
      </c>
      <c r="B450" s="1" t="n">
        <v>45145</v>
      </c>
      <c r="C450" s="1" t="n">
        <v>46083</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55000-2025</t>
        </is>
      </c>
      <c r="B451" s="1" t="n">
        <v>45967.60479166666</v>
      </c>
      <c r="C451" s="1" t="n">
        <v>46083</v>
      </c>
      <c r="D451" t="inlineStr">
        <is>
          <t>ÖSTERGÖTLANDS LÄN</t>
        </is>
      </c>
      <c r="E451" t="inlineStr">
        <is>
          <t>KINDA</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27099-2023</t>
        </is>
      </c>
      <c r="B452" s="1" t="n">
        <v>45096</v>
      </c>
      <c r="C452" s="1" t="n">
        <v>46083</v>
      </c>
      <c r="D452" t="inlineStr">
        <is>
          <t>ÖSTERGÖTLANDS LÄN</t>
        </is>
      </c>
      <c r="E452" t="inlineStr">
        <is>
          <t>KINDA</t>
        </is>
      </c>
      <c r="G452" t="n">
        <v>4.2</v>
      </c>
      <c r="H452" t="n">
        <v>0</v>
      </c>
      <c r="I452" t="n">
        <v>0</v>
      </c>
      <c r="J452" t="n">
        <v>0</v>
      </c>
      <c r="K452" t="n">
        <v>0</v>
      </c>
      <c r="L452" t="n">
        <v>0</v>
      </c>
      <c r="M452" t="n">
        <v>0</v>
      </c>
      <c r="N452" t="n">
        <v>0</v>
      </c>
      <c r="O452" t="n">
        <v>0</v>
      </c>
      <c r="P452" t="n">
        <v>0</v>
      </c>
      <c r="Q452" t="n">
        <v>0</v>
      </c>
      <c r="R452" s="2" t="inlineStr"/>
    </row>
    <row r="453" ht="15" customHeight="1">
      <c r="A453" t="inlineStr">
        <is>
          <t>A 55531-2025</t>
        </is>
      </c>
      <c r="B453" s="1" t="n">
        <v>45971.62304398148</v>
      </c>
      <c r="C453" s="1" t="n">
        <v>46083</v>
      </c>
      <c r="D453" t="inlineStr">
        <is>
          <t>ÖSTERGÖTLANDS LÄN</t>
        </is>
      </c>
      <c r="E453" t="inlineStr">
        <is>
          <t>KINDA</t>
        </is>
      </c>
      <c r="F453" t="inlineStr">
        <is>
          <t>Övriga Aktiebolag</t>
        </is>
      </c>
      <c r="G453" t="n">
        <v>1.1</v>
      </c>
      <c r="H453" t="n">
        <v>0</v>
      </c>
      <c r="I453" t="n">
        <v>0</v>
      </c>
      <c r="J453" t="n">
        <v>0</v>
      </c>
      <c r="K453" t="n">
        <v>0</v>
      </c>
      <c r="L453" t="n">
        <v>0</v>
      </c>
      <c r="M453" t="n">
        <v>0</v>
      </c>
      <c r="N453" t="n">
        <v>0</v>
      </c>
      <c r="O453" t="n">
        <v>0</v>
      </c>
      <c r="P453" t="n">
        <v>0</v>
      </c>
      <c r="Q453" t="n">
        <v>0</v>
      </c>
      <c r="R453" s="2" t="inlineStr"/>
    </row>
    <row r="454" ht="15" customHeight="1">
      <c r="A454" t="inlineStr">
        <is>
          <t>A 55521-2025</t>
        </is>
      </c>
      <c r="B454" s="1" t="n">
        <v>45971.60863425926</v>
      </c>
      <c r="C454" s="1" t="n">
        <v>46083</v>
      </c>
      <c r="D454" t="inlineStr">
        <is>
          <t>ÖSTERGÖTLANDS LÄN</t>
        </is>
      </c>
      <c r="E454" t="inlineStr">
        <is>
          <t>KINDA</t>
        </is>
      </c>
      <c r="F454" t="inlineStr">
        <is>
          <t>Övriga Aktiebolag</t>
        </is>
      </c>
      <c r="G454" t="n">
        <v>5.4</v>
      </c>
      <c r="H454" t="n">
        <v>0</v>
      </c>
      <c r="I454" t="n">
        <v>0</v>
      </c>
      <c r="J454" t="n">
        <v>0</v>
      </c>
      <c r="K454" t="n">
        <v>0</v>
      </c>
      <c r="L454" t="n">
        <v>0</v>
      </c>
      <c r="M454" t="n">
        <v>0</v>
      </c>
      <c r="N454" t="n">
        <v>0</v>
      </c>
      <c r="O454" t="n">
        <v>0</v>
      </c>
      <c r="P454" t="n">
        <v>0</v>
      </c>
      <c r="Q454" t="n">
        <v>0</v>
      </c>
      <c r="R454" s="2" t="inlineStr"/>
    </row>
    <row r="455" ht="15" customHeight="1">
      <c r="A455" t="inlineStr">
        <is>
          <t>A 53306-2024</t>
        </is>
      </c>
      <c r="B455" s="1" t="n">
        <v>45614.39091435185</v>
      </c>
      <c r="C455" s="1" t="n">
        <v>46083</v>
      </c>
      <c r="D455" t="inlineStr">
        <is>
          <t>ÖSTERGÖTLANDS LÄN</t>
        </is>
      </c>
      <c r="E455" t="inlineStr">
        <is>
          <t>KINDA</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55511-2025</t>
        </is>
      </c>
      <c r="B456" s="1" t="n">
        <v>45971.60042824074</v>
      </c>
      <c r="C456" s="1" t="n">
        <v>46083</v>
      </c>
      <c r="D456" t="inlineStr">
        <is>
          <t>ÖSTERGÖTLANDS LÄN</t>
        </is>
      </c>
      <c r="E456" t="inlineStr">
        <is>
          <t>KINDA</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41379-2024</t>
        </is>
      </c>
      <c r="B457" s="1" t="n">
        <v>45560.2703125</v>
      </c>
      <c r="C457" s="1" t="n">
        <v>46083</v>
      </c>
      <c r="D457" t="inlineStr">
        <is>
          <t>ÖSTERGÖTLANDS LÄN</t>
        </is>
      </c>
      <c r="E457" t="inlineStr">
        <is>
          <t>KINDA</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55800-2025</t>
        </is>
      </c>
      <c r="B458" s="1" t="n">
        <v>45972</v>
      </c>
      <c r="C458" s="1" t="n">
        <v>46083</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1885-2022</t>
        </is>
      </c>
      <c r="B459" s="1" t="n">
        <v>44575</v>
      </c>
      <c r="C459" s="1" t="n">
        <v>46083</v>
      </c>
      <c r="D459" t="inlineStr">
        <is>
          <t>ÖSTERGÖTLANDS LÄN</t>
        </is>
      </c>
      <c r="E459" t="inlineStr">
        <is>
          <t>KINDA</t>
        </is>
      </c>
      <c r="G459" t="n">
        <v>1.7</v>
      </c>
      <c r="H459" t="n">
        <v>0</v>
      </c>
      <c r="I459" t="n">
        <v>0</v>
      </c>
      <c r="J459" t="n">
        <v>0</v>
      </c>
      <c r="K459" t="n">
        <v>0</v>
      </c>
      <c r="L459" t="n">
        <v>0</v>
      </c>
      <c r="M459" t="n">
        <v>0</v>
      </c>
      <c r="N459" t="n">
        <v>0</v>
      </c>
      <c r="O459" t="n">
        <v>0</v>
      </c>
      <c r="P459" t="n">
        <v>0</v>
      </c>
      <c r="Q459" t="n">
        <v>0</v>
      </c>
      <c r="R459" s="2" t="inlineStr"/>
    </row>
    <row r="460" ht="15" customHeight="1">
      <c r="A460" t="inlineStr">
        <is>
          <t>A 27809-2024</t>
        </is>
      </c>
      <c r="B460" s="1" t="n">
        <v>45475</v>
      </c>
      <c r="C460" s="1" t="n">
        <v>46083</v>
      </c>
      <c r="D460" t="inlineStr">
        <is>
          <t>ÖSTERGÖTLANDS LÄN</t>
        </is>
      </c>
      <c r="E460" t="inlineStr">
        <is>
          <t>KINDA</t>
        </is>
      </c>
      <c r="G460" t="n">
        <v>2.7</v>
      </c>
      <c r="H460" t="n">
        <v>0</v>
      </c>
      <c r="I460" t="n">
        <v>0</v>
      </c>
      <c r="J460" t="n">
        <v>0</v>
      </c>
      <c r="K460" t="n">
        <v>0</v>
      </c>
      <c r="L460" t="n">
        <v>0</v>
      </c>
      <c r="M460" t="n">
        <v>0</v>
      </c>
      <c r="N460" t="n">
        <v>0</v>
      </c>
      <c r="O460" t="n">
        <v>0</v>
      </c>
      <c r="P460" t="n">
        <v>0</v>
      </c>
      <c r="Q460" t="n">
        <v>0</v>
      </c>
      <c r="R460" s="2" t="inlineStr"/>
    </row>
    <row r="461" ht="15" customHeight="1">
      <c r="A461" t="inlineStr">
        <is>
          <t>A 7631-2024</t>
        </is>
      </c>
      <c r="B461" s="1" t="n">
        <v>45348.6147337963</v>
      </c>
      <c r="C461" s="1" t="n">
        <v>46083</v>
      </c>
      <c r="D461" t="inlineStr">
        <is>
          <t>ÖSTERGÖTLANDS LÄN</t>
        </is>
      </c>
      <c r="E461" t="inlineStr">
        <is>
          <t>KINDA</t>
        </is>
      </c>
      <c r="G461" t="n">
        <v>3.2</v>
      </c>
      <c r="H461" t="n">
        <v>0</v>
      </c>
      <c r="I461" t="n">
        <v>0</v>
      </c>
      <c r="J461" t="n">
        <v>0</v>
      </c>
      <c r="K461" t="n">
        <v>0</v>
      </c>
      <c r="L461" t="n">
        <v>0</v>
      </c>
      <c r="M461" t="n">
        <v>0</v>
      </c>
      <c r="N461" t="n">
        <v>0</v>
      </c>
      <c r="O461" t="n">
        <v>0</v>
      </c>
      <c r="P461" t="n">
        <v>0</v>
      </c>
      <c r="Q461" t="n">
        <v>0</v>
      </c>
      <c r="R461" s="2" t="inlineStr"/>
    </row>
    <row r="462" ht="15" customHeight="1">
      <c r="A462" t="inlineStr">
        <is>
          <t>A 35588-2024</t>
        </is>
      </c>
      <c r="B462" s="1" t="n">
        <v>45531.64934027778</v>
      </c>
      <c r="C462" s="1" t="n">
        <v>46083</v>
      </c>
      <c r="D462" t="inlineStr">
        <is>
          <t>ÖSTERGÖTLANDS LÄN</t>
        </is>
      </c>
      <c r="E462" t="inlineStr">
        <is>
          <t>KINDA</t>
        </is>
      </c>
      <c r="G462" t="n">
        <v>0.5</v>
      </c>
      <c r="H462" t="n">
        <v>0</v>
      </c>
      <c r="I462" t="n">
        <v>0</v>
      </c>
      <c r="J462" t="n">
        <v>0</v>
      </c>
      <c r="K462" t="n">
        <v>0</v>
      </c>
      <c r="L462" t="n">
        <v>0</v>
      </c>
      <c r="M462" t="n">
        <v>0</v>
      </c>
      <c r="N462" t="n">
        <v>0</v>
      </c>
      <c r="O462" t="n">
        <v>0</v>
      </c>
      <c r="P462" t="n">
        <v>0</v>
      </c>
      <c r="Q462" t="n">
        <v>0</v>
      </c>
      <c r="R462" s="2" t="inlineStr"/>
    </row>
    <row r="463" ht="15" customHeight="1">
      <c r="A463" t="inlineStr">
        <is>
          <t>A 56003-2025</t>
        </is>
      </c>
      <c r="B463" s="1" t="n">
        <v>45973</v>
      </c>
      <c r="C463" s="1" t="n">
        <v>46083</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56006-2025</t>
        </is>
      </c>
      <c r="B464" s="1" t="n">
        <v>45973</v>
      </c>
      <c r="C464" s="1" t="n">
        <v>46083</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610-2022</t>
        </is>
      </c>
      <c r="B465" s="1" t="n">
        <v>44567.77518518519</v>
      </c>
      <c r="C465" s="1" t="n">
        <v>46083</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56007-2025</t>
        </is>
      </c>
      <c r="B466" s="1" t="n">
        <v>45973</v>
      </c>
      <c r="C466" s="1" t="n">
        <v>46083</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62254-2023</t>
        </is>
      </c>
      <c r="B467" s="1" t="n">
        <v>45267.61618055555</v>
      </c>
      <c r="C467" s="1" t="n">
        <v>46083</v>
      </c>
      <c r="D467" t="inlineStr">
        <is>
          <t>ÖSTERGÖTLANDS LÄN</t>
        </is>
      </c>
      <c r="E467" t="inlineStr">
        <is>
          <t>KINDA</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46083</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56710-2025</t>
        </is>
      </c>
      <c r="B469" s="1" t="n">
        <v>45977.81061342593</v>
      </c>
      <c r="C469" s="1" t="n">
        <v>46083</v>
      </c>
      <c r="D469" t="inlineStr">
        <is>
          <t>ÖSTERGÖTLANDS LÄN</t>
        </is>
      </c>
      <c r="E469" t="inlineStr">
        <is>
          <t>KINDA</t>
        </is>
      </c>
      <c r="G469" t="n">
        <v>4.8</v>
      </c>
      <c r="H469" t="n">
        <v>0</v>
      </c>
      <c r="I469" t="n">
        <v>0</v>
      </c>
      <c r="J469" t="n">
        <v>0</v>
      </c>
      <c r="K469" t="n">
        <v>0</v>
      </c>
      <c r="L469" t="n">
        <v>0</v>
      </c>
      <c r="M469" t="n">
        <v>0</v>
      </c>
      <c r="N469" t="n">
        <v>0</v>
      </c>
      <c r="O469" t="n">
        <v>0</v>
      </c>
      <c r="P469" t="n">
        <v>0</v>
      </c>
      <c r="Q469" t="n">
        <v>0</v>
      </c>
      <c r="R469" s="2" t="inlineStr"/>
    </row>
    <row r="470" ht="15" customHeight="1">
      <c r="A470" t="inlineStr">
        <is>
          <t>A 58875-2023</t>
        </is>
      </c>
      <c r="B470" s="1" t="n">
        <v>45250</v>
      </c>
      <c r="C470" s="1" t="n">
        <v>46083</v>
      </c>
      <c r="D470" t="inlineStr">
        <is>
          <t>ÖSTERGÖTLANDS LÄN</t>
        </is>
      </c>
      <c r="E470" t="inlineStr">
        <is>
          <t>KINDA</t>
        </is>
      </c>
      <c r="G470" t="n">
        <v>1.3</v>
      </c>
      <c r="H470" t="n">
        <v>0</v>
      </c>
      <c r="I470" t="n">
        <v>0</v>
      </c>
      <c r="J470" t="n">
        <v>0</v>
      </c>
      <c r="K470" t="n">
        <v>0</v>
      </c>
      <c r="L470" t="n">
        <v>0</v>
      </c>
      <c r="M470" t="n">
        <v>0</v>
      </c>
      <c r="N470" t="n">
        <v>0</v>
      </c>
      <c r="O470" t="n">
        <v>0</v>
      </c>
      <c r="P470" t="n">
        <v>0</v>
      </c>
      <c r="Q470" t="n">
        <v>0</v>
      </c>
      <c r="R470" s="2" t="inlineStr"/>
    </row>
    <row r="471" ht="15" customHeight="1">
      <c r="A471" t="inlineStr">
        <is>
          <t>A 24110-2024</t>
        </is>
      </c>
      <c r="B471" s="1" t="n">
        <v>45456.61288194444</v>
      </c>
      <c r="C471" s="1" t="n">
        <v>46083</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15599-2023</t>
        </is>
      </c>
      <c r="B472" s="1" t="n">
        <v>45020.71773148148</v>
      </c>
      <c r="C472" s="1" t="n">
        <v>46083</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1157-2024</t>
        </is>
      </c>
      <c r="B473" s="1" t="n">
        <v>45302.51340277777</v>
      </c>
      <c r="C473" s="1" t="n">
        <v>46083</v>
      </c>
      <c r="D473" t="inlineStr">
        <is>
          <t>ÖSTERGÖTLANDS LÄN</t>
        </is>
      </c>
      <c r="E473" t="inlineStr">
        <is>
          <t>KINDA</t>
        </is>
      </c>
      <c r="G473" t="n">
        <v>1</v>
      </c>
      <c r="H473" t="n">
        <v>0</v>
      </c>
      <c r="I473" t="n">
        <v>0</v>
      </c>
      <c r="J473" t="n">
        <v>0</v>
      </c>
      <c r="K473" t="n">
        <v>0</v>
      </c>
      <c r="L473" t="n">
        <v>0</v>
      </c>
      <c r="M473" t="n">
        <v>0</v>
      </c>
      <c r="N473" t="n">
        <v>0</v>
      </c>
      <c r="O473" t="n">
        <v>0</v>
      </c>
      <c r="P473" t="n">
        <v>0</v>
      </c>
      <c r="Q473" t="n">
        <v>0</v>
      </c>
      <c r="R473" s="2" t="inlineStr"/>
    </row>
    <row r="474" ht="15" customHeight="1">
      <c r="A474" t="inlineStr">
        <is>
          <t>A 32764-2023</t>
        </is>
      </c>
      <c r="B474" s="1" t="n">
        <v>45123.60599537037</v>
      </c>
      <c r="C474" s="1" t="n">
        <v>46083</v>
      </c>
      <c r="D474" t="inlineStr">
        <is>
          <t>ÖSTERGÖTLANDS LÄN</t>
        </is>
      </c>
      <c r="E474" t="inlineStr">
        <is>
          <t>KINDA</t>
        </is>
      </c>
      <c r="G474" t="n">
        <v>3.7</v>
      </c>
      <c r="H474" t="n">
        <v>0</v>
      </c>
      <c r="I474" t="n">
        <v>0</v>
      </c>
      <c r="J474" t="n">
        <v>0</v>
      </c>
      <c r="K474" t="n">
        <v>0</v>
      </c>
      <c r="L474" t="n">
        <v>0</v>
      </c>
      <c r="M474" t="n">
        <v>0</v>
      </c>
      <c r="N474" t="n">
        <v>0</v>
      </c>
      <c r="O474" t="n">
        <v>0</v>
      </c>
      <c r="P474" t="n">
        <v>0</v>
      </c>
      <c r="Q474" t="n">
        <v>0</v>
      </c>
      <c r="R474" s="2" t="inlineStr"/>
    </row>
    <row r="475" ht="15" customHeight="1">
      <c r="A475" t="inlineStr">
        <is>
          <t>A 12623-2024</t>
        </is>
      </c>
      <c r="B475" s="1" t="n">
        <v>45383</v>
      </c>
      <c r="C475" s="1" t="n">
        <v>46083</v>
      </c>
      <c r="D475" t="inlineStr">
        <is>
          <t>ÖSTERGÖTLANDS LÄN</t>
        </is>
      </c>
      <c r="E475" t="inlineStr">
        <is>
          <t>KINDA</t>
        </is>
      </c>
      <c r="G475" t="n">
        <v>2.4</v>
      </c>
      <c r="H475" t="n">
        <v>0</v>
      </c>
      <c r="I475" t="n">
        <v>0</v>
      </c>
      <c r="J475" t="n">
        <v>0</v>
      </c>
      <c r="K475" t="n">
        <v>0</v>
      </c>
      <c r="L475" t="n">
        <v>0</v>
      </c>
      <c r="M475" t="n">
        <v>0</v>
      </c>
      <c r="N475" t="n">
        <v>0</v>
      </c>
      <c r="O475" t="n">
        <v>0</v>
      </c>
      <c r="P475" t="n">
        <v>0</v>
      </c>
      <c r="Q475" t="n">
        <v>0</v>
      </c>
      <c r="R475" s="2" t="inlineStr"/>
    </row>
    <row r="476" ht="15" customHeight="1">
      <c r="A476" t="inlineStr">
        <is>
          <t>A 36005-2024</t>
        </is>
      </c>
      <c r="B476" s="1" t="n">
        <v>45533.54908564815</v>
      </c>
      <c r="C476" s="1" t="n">
        <v>46083</v>
      </c>
      <c r="D476" t="inlineStr">
        <is>
          <t>ÖSTERGÖTLANDS LÄN</t>
        </is>
      </c>
      <c r="E476" t="inlineStr">
        <is>
          <t>KINDA</t>
        </is>
      </c>
      <c r="G476" t="n">
        <v>1.8</v>
      </c>
      <c r="H476" t="n">
        <v>0</v>
      </c>
      <c r="I476" t="n">
        <v>0</v>
      </c>
      <c r="J476" t="n">
        <v>0</v>
      </c>
      <c r="K476" t="n">
        <v>0</v>
      </c>
      <c r="L476" t="n">
        <v>0</v>
      </c>
      <c r="M476" t="n">
        <v>0</v>
      </c>
      <c r="N476" t="n">
        <v>0</v>
      </c>
      <c r="O476" t="n">
        <v>0</v>
      </c>
      <c r="P476" t="n">
        <v>0</v>
      </c>
      <c r="Q476" t="n">
        <v>0</v>
      </c>
      <c r="R476" s="2" t="inlineStr"/>
    </row>
    <row r="477" ht="15" customHeight="1">
      <c r="A477" t="inlineStr">
        <is>
          <t>A 26917-2024</t>
        </is>
      </c>
      <c r="B477" s="1" t="n">
        <v>45470.88379629629</v>
      </c>
      <c r="C477" s="1" t="n">
        <v>46083</v>
      </c>
      <c r="D477" t="inlineStr">
        <is>
          <t>ÖSTERGÖTLANDS LÄN</t>
        </is>
      </c>
      <c r="E477" t="inlineStr">
        <is>
          <t>KINDA</t>
        </is>
      </c>
      <c r="G477" t="n">
        <v>6.4</v>
      </c>
      <c r="H477" t="n">
        <v>0</v>
      </c>
      <c r="I477" t="n">
        <v>0</v>
      </c>
      <c r="J477" t="n">
        <v>0</v>
      </c>
      <c r="K477" t="n">
        <v>0</v>
      </c>
      <c r="L477" t="n">
        <v>0</v>
      </c>
      <c r="M477" t="n">
        <v>0</v>
      </c>
      <c r="N477" t="n">
        <v>0</v>
      </c>
      <c r="O477" t="n">
        <v>0</v>
      </c>
      <c r="P477" t="n">
        <v>0</v>
      </c>
      <c r="Q477" t="n">
        <v>0</v>
      </c>
      <c r="R477" s="2" t="inlineStr"/>
    </row>
    <row r="478" ht="15" customHeight="1">
      <c r="A478" t="inlineStr">
        <is>
          <t>A 29516-2024</t>
        </is>
      </c>
      <c r="B478" s="1" t="n">
        <v>45484</v>
      </c>
      <c r="C478" s="1" t="n">
        <v>46083</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5479-2024</t>
        </is>
      </c>
      <c r="B479" s="1" t="n">
        <v>45333.84959490741</v>
      </c>
      <c r="C479" s="1" t="n">
        <v>46083</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8088-2024</t>
        </is>
      </c>
      <c r="B480" s="1" t="n">
        <v>45351</v>
      </c>
      <c r="C480" s="1" t="n">
        <v>46083</v>
      </c>
      <c r="D480" t="inlineStr">
        <is>
          <t>ÖSTERGÖTLANDS LÄN</t>
        </is>
      </c>
      <c r="E480" t="inlineStr">
        <is>
          <t>KINDA</t>
        </is>
      </c>
      <c r="G480" t="n">
        <v>1.5</v>
      </c>
      <c r="H480" t="n">
        <v>0</v>
      </c>
      <c r="I480" t="n">
        <v>0</v>
      </c>
      <c r="J480" t="n">
        <v>0</v>
      </c>
      <c r="K480" t="n">
        <v>0</v>
      </c>
      <c r="L480" t="n">
        <v>0</v>
      </c>
      <c r="M480" t="n">
        <v>0</v>
      </c>
      <c r="N480" t="n">
        <v>0</v>
      </c>
      <c r="O480" t="n">
        <v>0</v>
      </c>
      <c r="P480" t="n">
        <v>0</v>
      </c>
      <c r="Q480" t="n">
        <v>0</v>
      </c>
      <c r="R480" s="2" t="inlineStr"/>
    </row>
    <row r="481" ht="15" customHeight="1">
      <c r="A481" t="inlineStr">
        <is>
          <t>A 10035-2025</t>
        </is>
      </c>
      <c r="B481" s="1" t="n">
        <v>45719.49922453704</v>
      </c>
      <c r="C481" s="1" t="n">
        <v>46083</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c r="U481">
        <f>HYPERLINK("https://klasma.github.io/Logging_0513/knärot/A 10035-2025 karta knärot.png", "A 10035-2025")</f>
        <v/>
      </c>
      <c r="V481">
        <f>HYPERLINK("https://klasma.github.io/Logging_0513/klagomål/A 10035-2025 FSC-klagomål.docx", "A 10035-2025")</f>
        <v/>
      </c>
      <c r="W481">
        <f>HYPERLINK("https://klasma.github.io/Logging_0513/klagomålsmail/A 10035-2025 FSC-klagomål mail.docx", "A 10035-2025")</f>
        <v/>
      </c>
      <c r="X481">
        <f>HYPERLINK("https://klasma.github.io/Logging_0513/tillsyn/A 10035-2025 tillsynsbegäran.docx", "A 10035-2025")</f>
        <v/>
      </c>
      <c r="Y481">
        <f>HYPERLINK("https://klasma.github.io/Logging_0513/tillsynsmail/A 10035-2025 tillsynsbegäran mail.docx", "A 10035-2025")</f>
        <v/>
      </c>
    </row>
    <row r="482" ht="15" customHeight="1">
      <c r="A482" t="inlineStr">
        <is>
          <t>A 59079-2025</t>
        </is>
      </c>
      <c r="B482" s="1" t="n">
        <v>45988.43372685185</v>
      </c>
      <c r="C482" s="1" t="n">
        <v>46083</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59040-2025</t>
        </is>
      </c>
      <c r="B483" s="1" t="n">
        <v>45988.36878472222</v>
      </c>
      <c r="C483" s="1" t="n">
        <v>46083</v>
      </c>
      <c r="D483" t="inlineStr">
        <is>
          <t>ÖSTERGÖTLANDS LÄN</t>
        </is>
      </c>
      <c r="E483" t="inlineStr">
        <is>
          <t>KINDA</t>
        </is>
      </c>
      <c r="F483" t="inlineStr">
        <is>
          <t>Sveaskog</t>
        </is>
      </c>
      <c r="G483" t="n">
        <v>9.1</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46083</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46083</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50403-2024</t>
        </is>
      </c>
      <c r="B486" s="1" t="n">
        <v>45601.35335648148</v>
      </c>
      <c r="C486" s="1" t="n">
        <v>46083</v>
      </c>
      <c r="D486" t="inlineStr">
        <is>
          <t>ÖSTERGÖTLANDS LÄN</t>
        </is>
      </c>
      <c r="E486" t="inlineStr">
        <is>
          <t>KINDA</t>
        </is>
      </c>
      <c r="F486" t="inlineStr">
        <is>
          <t>Sveaskog</t>
        </is>
      </c>
      <c r="G486" t="n">
        <v>4.4</v>
      </c>
      <c r="H486" t="n">
        <v>0</v>
      </c>
      <c r="I486" t="n">
        <v>0</v>
      </c>
      <c r="J486" t="n">
        <v>0</v>
      </c>
      <c r="K486" t="n">
        <v>0</v>
      </c>
      <c r="L486" t="n">
        <v>0</v>
      </c>
      <c r="M486" t="n">
        <v>0</v>
      </c>
      <c r="N486" t="n">
        <v>0</v>
      </c>
      <c r="O486" t="n">
        <v>0</v>
      </c>
      <c r="P486" t="n">
        <v>0</v>
      </c>
      <c r="Q486" t="n">
        <v>0</v>
      </c>
      <c r="R486" s="2" t="inlineStr"/>
    </row>
    <row r="487" ht="15" customHeight="1">
      <c r="A487" t="inlineStr">
        <is>
          <t>A 59100-2025</t>
        </is>
      </c>
      <c r="B487" s="1" t="n">
        <v>45988.45670138889</v>
      </c>
      <c r="C487" s="1" t="n">
        <v>46083</v>
      </c>
      <c r="D487" t="inlineStr">
        <is>
          <t>ÖSTERGÖTLANDS LÄN</t>
        </is>
      </c>
      <c r="E487" t="inlineStr">
        <is>
          <t>KINDA</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59101-2025</t>
        </is>
      </c>
      <c r="B488" s="1" t="n">
        <v>45988.45870370371</v>
      </c>
      <c r="C488" s="1" t="n">
        <v>46083</v>
      </c>
      <c r="D488" t="inlineStr">
        <is>
          <t>ÖSTERGÖTLANDS LÄN</t>
        </is>
      </c>
      <c r="E488" t="inlineStr">
        <is>
          <t>KINDA</t>
        </is>
      </c>
      <c r="F488" t="inlineStr">
        <is>
          <t>Sveaskog</t>
        </is>
      </c>
      <c r="G488" t="n">
        <v>5.6</v>
      </c>
      <c r="H488" t="n">
        <v>0</v>
      </c>
      <c r="I488" t="n">
        <v>0</v>
      </c>
      <c r="J488" t="n">
        <v>0</v>
      </c>
      <c r="K488" t="n">
        <v>0</v>
      </c>
      <c r="L488" t="n">
        <v>0</v>
      </c>
      <c r="M488" t="n">
        <v>0</v>
      </c>
      <c r="N488" t="n">
        <v>0</v>
      </c>
      <c r="O488" t="n">
        <v>0</v>
      </c>
      <c r="P488" t="n">
        <v>0</v>
      </c>
      <c r="Q488" t="n">
        <v>0</v>
      </c>
      <c r="R488" s="2" t="inlineStr"/>
    </row>
    <row r="489" ht="15" customHeight="1">
      <c r="A489" t="inlineStr">
        <is>
          <t>A 44329-2023</t>
        </is>
      </c>
      <c r="B489" s="1" t="n">
        <v>45188.66209490741</v>
      </c>
      <c r="C489" s="1" t="n">
        <v>46083</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12706-2023</t>
        </is>
      </c>
      <c r="B490" s="1" t="n">
        <v>45000.65476851852</v>
      </c>
      <c r="C490" s="1" t="n">
        <v>46083</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22694-2023</t>
        </is>
      </c>
      <c r="B491" s="1" t="n">
        <v>45071</v>
      </c>
      <c r="C491" s="1" t="n">
        <v>46083</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38015-2023</t>
        </is>
      </c>
      <c r="B492" s="1" t="n">
        <v>45160</v>
      </c>
      <c r="C492" s="1" t="n">
        <v>46083</v>
      </c>
      <c r="D492" t="inlineStr">
        <is>
          <t>ÖSTERGÖTLANDS LÄN</t>
        </is>
      </c>
      <c r="E492" t="inlineStr">
        <is>
          <t>KINDA</t>
        </is>
      </c>
      <c r="F492" t="inlineStr">
        <is>
          <t>Allmännings- och besparingsskogar</t>
        </is>
      </c>
      <c r="G492" t="n">
        <v>11.5</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46083</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58737-2024</t>
        </is>
      </c>
      <c r="B494" s="1" t="n">
        <v>45635.68952546296</v>
      </c>
      <c r="C494" s="1" t="n">
        <v>46083</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45108-2023</t>
        </is>
      </c>
      <c r="B495" s="1" t="n">
        <v>45187</v>
      </c>
      <c r="C495" s="1" t="n">
        <v>46083</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56129-2024</t>
        </is>
      </c>
      <c r="B496" s="1" t="n">
        <v>45624</v>
      </c>
      <c r="C496" s="1" t="n">
        <v>46083</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49337-2024</t>
        </is>
      </c>
      <c r="B497" s="1" t="n">
        <v>45595.59052083334</v>
      </c>
      <c r="C497" s="1" t="n">
        <v>46083</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59462-2025</t>
        </is>
      </c>
      <c r="B498" s="1" t="n">
        <v>45989</v>
      </c>
      <c r="C498" s="1" t="n">
        <v>46083</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3217-2026</t>
        </is>
      </c>
      <c r="B499" s="1" t="n">
        <v>46041.50924768519</v>
      </c>
      <c r="C499" s="1" t="n">
        <v>46083</v>
      </c>
      <c r="D499" t="inlineStr">
        <is>
          <t>ÖSTERGÖTLANDS LÄN</t>
        </is>
      </c>
      <c r="E499" t="inlineStr">
        <is>
          <t>KINDA</t>
        </is>
      </c>
      <c r="G499" t="n">
        <v>7.9</v>
      </c>
      <c r="H499" t="n">
        <v>0</v>
      </c>
      <c r="I499" t="n">
        <v>0</v>
      </c>
      <c r="J499" t="n">
        <v>0</v>
      </c>
      <c r="K499" t="n">
        <v>0</v>
      </c>
      <c r="L499" t="n">
        <v>0</v>
      </c>
      <c r="M499" t="n">
        <v>0</v>
      </c>
      <c r="N499" t="n">
        <v>0</v>
      </c>
      <c r="O499" t="n">
        <v>0</v>
      </c>
      <c r="P499" t="n">
        <v>0</v>
      </c>
      <c r="Q499" t="n">
        <v>0</v>
      </c>
      <c r="R499" s="2" t="inlineStr"/>
    </row>
    <row r="500" ht="15" customHeight="1">
      <c r="A500" t="inlineStr">
        <is>
          <t>A 23887-2023</t>
        </is>
      </c>
      <c r="B500" s="1" t="n">
        <v>45078.52990740741</v>
      </c>
      <c r="C500" s="1" t="n">
        <v>46083</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23897-2023</t>
        </is>
      </c>
      <c r="B501" s="1" t="n">
        <v>45078</v>
      </c>
      <c r="C501" s="1" t="n">
        <v>46083</v>
      </c>
      <c r="D501" t="inlineStr">
        <is>
          <t>ÖSTERGÖTLANDS LÄN</t>
        </is>
      </c>
      <c r="E501" t="inlineStr">
        <is>
          <t>KINDA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37830-2023</t>
        </is>
      </c>
      <c r="B502" s="1" t="n">
        <v>45160.34069444444</v>
      </c>
      <c r="C502" s="1" t="n">
        <v>46083</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3953-2025</t>
        </is>
      </c>
      <c r="B503" s="1" t="n">
        <v>45684.49472222223</v>
      </c>
      <c r="C503" s="1" t="n">
        <v>46083</v>
      </c>
      <c r="D503" t="inlineStr">
        <is>
          <t>ÖSTERGÖTLANDS LÄN</t>
        </is>
      </c>
      <c r="E503" t="inlineStr">
        <is>
          <t>KINDA</t>
        </is>
      </c>
      <c r="G503" t="n">
        <v>4</v>
      </c>
      <c r="H503" t="n">
        <v>0</v>
      </c>
      <c r="I503" t="n">
        <v>0</v>
      </c>
      <c r="J503" t="n">
        <v>0</v>
      </c>
      <c r="K503" t="n">
        <v>0</v>
      </c>
      <c r="L503" t="n">
        <v>0</v>
      </c>
      <c r="M503" t="n">
        <v>0</v>
      </c>
      <c r="N503" t="n">
        <v>0</v>
      </c>
      <c r="O503" t="n">
        <v>0</v>
      </c>
      <c r="P503" t="n">
        <v>0</v>
      </c>
      <c r="Q503" t="n">
        <v>0</v>
      </c>
      <c r="R503" s="2" t="inlineStr"/>
    </row>
    <row r="504" ht="15" customHeight="1">
      <c r="A504" t="inlineStr">
        <is>
          <t>A 34730-2022</t>
        </is>
      </c>
      <c r="B504" s="1" t="n">
        <v>44795</v>
      </c>
      <c r="C504" s="1" t="n">
        <v>46083</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46083</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12997-2024</t>
        </is>
      </c>
      <c r="B506" s="1" t="n">
        <v>45385.56655092593</v>
      </c>
      <c r="C506" s="1" t="n">
        <v>46083</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15302-2025</t>
        </is>
      </c>
      <c r="B507" s="1" t="n">
        <v>45746.48921296297</v>
      </c>
      <c r="C507" s="1" t="n">
        <v>46083</v>
      </c>
      <c r="D507" t="inlineStr">
        <is>
          <t>ÖSTERGÖTLANDS LÄN</t>
        </is>
      </c>
      <c r="E507" t="inlineStr">
        <is>
          <t>KINDA</t>
        </is>
      </c>
      <c r="G507" t="n">
        <v>5.6</v>
      </c>
      <c r="H507" t="n">
        <v>0</v>
      </c>
      <c r="I507" t="n">
        <v>0</v>
      </c>
      <c r="J507" t="n">
        <v>0</v>
      </c>
      <c r="K507" t="n">
        <v>0</v>
      </c>
      <c r="L507" t="n">
        <v>0</v>
      </c>
      <c r="M507" t="n">
        <v>0</v>
      </c>
      <c r="N507" t="n">
        <v>0</v>
      </c>
      <c r="O507" t="n">
        <v>0</v>
      </c>
      <c r="P507" t="n">
        <v>0</v>
      </c>
      <c r="Q507" t="n">
        <v>0</v>
      </c>
      <c r="R507" s="2" t="inlineStr"/>
    </row>
    <row r="508" ht="15" customHeight="1">
      <c r="A508" t="inlineStr">
        <is>
          <t>A 7792-2022</t>
        </is>
      </c>
      <c r="B508" s="1" t="n">
        <v>44608.48450231482</v>
      </c>
      <c r="C508" s="1" t="n">
        <v>46083</v>
      </c>
      <c r="D508" t="inlineStr">
        <is>
          <t>ÖSTERGÖTLANDS LÄN</t>
        </is>
      </c>
      <c r="E508" t="inlineStr">
        <is>
          <t>KINDA</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61567-2025</t>
        </is>
      </c>
      <c r="B509" s="1" t="n">
        <v>46002.24141203704</v>
      </c>
      <c r="C509" s="1" t="n">
        <v>46083</v>
      </c>
      <c r="D509" t="inlineStr">
        <is>
          <t>ÖSTERGÖTLANDS LÄN</t>
        </is>
      </c>
      <c r="E509" t="inlineStr">
        <is>
          <t>KINDA</t>
        </is>
      </c>
      <c r="G509" t="n">
        <v>5.7</v>
      </c>
      <c r="H509" t="n">
        <v>0</v>
      </c>
      <c r="I509" t="n">
        <v>0</v>
      </c>
      <c r="J509" t="n">
        <v>0</v>
      </c>
      <c r="K509" t="n">
        <v>0</v>
      </c>
      <c r="L509" t="n">
        <v>0</v>
      </c>
      <c r="M509" t="n">
        <v>0</v>
      </c>
      <c r="N509" t="n">
        <v>0</v>
      </c>
      <c r="O509" t="n">
        <v>0</v>
      </c>
      <c r="P509" t="n">
        <v>0</v>
      </c>
      <c r="Q509" t="n">
        <v>0</v>
      </c>
      <c r="R509" s="2" t="inlineStr"/>
    </row>
    <row r="510" ht="15" customHeight="1">
      <c r="A510" t="inlineStr">
        <is>
          <t>A 4236-2024</t>
        </is>
      </c>
      <c r="B510" s="1" t="n">
        <v>45324.44579861111</v>
      </c>
      <c r="C510" s="1" t="n">
        <v>46083</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21244-2023</t>
        </is>
      </c>
      <c r="B511" s="1" t="n">
        <v>45062.57160879629</v>
      </c>
      <c r="C511" s="1" t="n">
        <v>46083</v>
      </c>
      <c r="D511" t="inlineStr">
        <is>
          <t>ÖSTERGÖTLANDS LÄN</t>
        </is>
      </c>
      <c r="E511" t="inlineStr">
        <is>
          <t>KINDA</t>
        </is>
      </c>
      <c r="G511" t="n">
        <v>5.5</v>
      </c>
      <c r="H511" t="n">
        <v>0</v>
      </c>
      <c r="I511" t="n">
        <v>0</v>
      </c>
      <c r="J511" t="n">
        <v>0</v>
      </c>
      <c r="K511" t="n">
        <v>0</v>
      </c>
      <c r="L511" t="n">
        <v>0</v>
      </c>
      <c r="M511" t="n">
        <v>0</v>
      </c>
      <c r="N511" t="n">
        <v>0</v>
      </c>
      <c r="O511" t="n">
        <v>0</v>
      </c>
      <c r="P511" t="n">
        <v>0</v>
      </c>
      <c r="Q511" t="n">
        <v>0</v>
      </c>
      <c r="R511" s="2" t="inlineStr"/>
    </row>
    <row r="512" ht="15" customHeight="1">
      <c r="A512" t="inlineStr">
        <is>
          <t>A 61742-2025</t>
        </is>
      </c>
      <c r="B512" s="1" t="n">
        <v>46002.60186342592</v>
      </c>
      <c r="C512" s="1" t="n">
        <v>46083</v>
      </c>
      <c r="D512" t="inlineStr">
        <is>
          <t>ÖSTERGÖTLANDS LÄN</t>
        </is>
      </c>
      <c r="E512" t="inlineStr">
        <is>
          <t>KINDA</t>
        </is>
      </c>
      <c r="G512" t="n">
        <v>2.3</v>
      </c>
      <c r="H512" t="n">
        <v>0</v>
      </c>
      <c r="I512" t="n">
        <v>0</v>
      </c>
      <c r="J512" t="n">
        <v>0</v>
      </c>
      <c r="K512" t="n">
        <v>0</v>
      </c>
      <c r="L512" t="n">
        <v>0</v>
      </c>
      <c r="M512" t="n">
        <v>0</v>
      </c>
      <c r="N512" t="n">
        <v>0</v>
      </c>
      <c r="O512" t="n">
        <v>0</v>
      </c>
      <c r="P512" t="n">
        <v>0</v>
      </c>
      <c r="Q512" t="n">
        <v>0</v>
      </c>
      <c r="R512" s="2" t="inlineStr"/>
    </row>
    <row r="513" ht="15" customHeight="1">
      <c r="A513" t="inlineStr">
        <is>
          <t>A 61776-2025</t>
        </is>
      </c>
      <c r="B513" s="1" t="n">
        <v>46002.6596875</v>
      </c>
      <c r="C513" s="1" t="n">
        <v>46083</v>
      </c>
      <c r="D513" t="inlineStr">
        <is>
          <t>ÖSTERGÖTLANDS LÄN</t>
        </is>
      </c>
      <c r="E513" t="inlineStr">
        <is>
          <t>KINDA</t>
        </is>
      </c>
      <c r="G513" t="n">
        <v>0.5</v>
      </c>
      <c r="H513" t="n">
        <v>0</v>
      </c>
      <c r="I513" t="n">
        <v>0</v>
      </c>
      <c r="J513" t="n">
        <v>0</v>
      </c>
      <c r="K513" t="n">
        <v>0</v>
      </c>
      <c r="L513" t="n">
        <v>0</v>
      </c>
      <c r="M513" t="n">
        <v>0</v>
      </c>
      <c r="N513" t="n">
        <v>0</v>
      </c>
      <c r="O513" t="n">
        <v>0</v>
      </c>
      <c r="P513" t="n">
        <v>0</v>
      </c>
      <c r="Q513" t="n">
        <v>0</v>
      </c>
      <c r="R513" s="2" t="inlineStr"/>
    </row>
    <row r="514" ht="15" customHeight="1">
      <c r="A514" t="inlineStr">
        <is>
          <t>A 61774-2025</t>
        </is>
      </c>
      <c r="B514" s="1" t="n">
        <v>46002.65667824074</v>
      </c>
      <c r="C514" s="1" t="n">
        <v>46083</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61572-2025</t>
        </is>
      </c>
      <c r="B515" s="1" t="n">
        <v>46002.30625</v>
      </c>
      <c r="C515" s="1" t="n">
        <v>46083</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17071-2025</t>
        </is>
      </c>
      <c r="B516" s="1" t="n">
        <v>45755.61784722222</v>
      </c>
      <c r="C516" s="1" t="n">
        <v>46083</v>
      </c>
      <c r="D516" t="inlineStr">
        <is>
          <t>ÖSTERGÖTLANDS LÄN</t>
        </is>
      </c>
      <c r="E516" t="inlineStr">
        <is>
          <t>KINDA</t>
        </is>
      </c>
      <c r="G516" t="n">
        <v>1.2</v>
      </c>
      <c r="H516" t="n">
        <v>0</v>
      </c>
      <c r="I516" t="n">
        <v>0</v>
      </c>
      <c r="J516" t="n">
        <v>0</v>
      </c>
      <c r="K516" t="n">
        <v>0</v>
      </c>
      <c r="L516" t="n">
        <v>0</v>
      </c>
      <c r="M516" t="n">
        <v>0</v>
      </c>
      <c r="N516" t="n">
        <v>0</v>
      </c>
      <c r="O516" t="n">
        <v>0</v>
      </c>
      <c r="P516" t="n">
        <v>0</v>
      </c>
      <c r="Q516" t="n">
        <v>0</v>
      </c>
      <c r="R516" s="2" t="inlineStr"/>
    </row>
    <row r="517" ht="15" customHeight="1">
      <c r="A517" t="inlineStr">
        <is>
          <t>A 61779-2025</t>
        </is>
      </c>
      <c r="B517" s="1" t="n">
        <v>46002.66668981482</v>
      </c>
      <c r="C517" s="1" t="n">
        <v>46083</v>
      </c>
      <c r="D517" t="inlineStr">
        <is>
          <t>ÖSTERGÖTLANDS LÄN</t>
        </is>
      </c>
      <c r="E517" t="inlineStr">
        <is>
          <t>KINDA</t>
        </is>
      </c>
      <c r="G517" t="n">
        <v>1.4</v>
      </c>
      <c r="H517" t="n">
        <v>0</v>
      </c>
      <c r="I517" t="n">
        <v>0</v>
      </c>
      <c r="J517" t="n">
        <v>0</v>
      </c>
      <c r="K517" t="n">
        <v>0</v>
      </c>
      <c r="L517" t="n">
        <v>0</v>
      </c>
      <c r="M517" t="n">
        <v>0</v>
      </c>
      <c r="N517" t="n">
        <v>0</v>
      </c>
      <c r="O517" t="n">
        <v>0</v>
      </c>
      <c r="P517" t="n">
        <v>0</v>
      </c>
      <c r="Q517" t="n">
        <v>0</v>
      </c>
      <c r="R517" s="2" t="inlineStr"/>
    </row>
    <row r="518" ht="15" customHeight="1">
      <c r="A518" t="inlineStr">
        <is>
          <t>A 3849-2026</t>
        </is>
      </c>
      <c r="B518" s="1" t="n">
        <v>46043.6057175926</v>
      </c>
      <c r="C518" s="1" t="n">
        <v>46083</v>
      </c>
      <c r="D518" t="inlineStr">
        <is>
          <t>ÖSTERGÖTLANDS LÄN</t>
        </is>
      </c>
      <c r="E518" t="inlineStr">
        <is>
          <t>KINDA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3752-2026</t>
        </is>
      </c>
      <c r="B519" s="1" t="n">
        <v>46043.54976851852</v>
      </c>
      <c r="C519" s="1" t="n">
        <v>46083</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61705-2025</t>
        </is>
      </c>
      <c r="B520" s="1" t="n">
        <v>46002.55034722222</v>
      </c>
      <c r="C520" s="1" t="n">
        <v>46083</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61901-2025</t>
        </is>
      </c>
      <c r="B521" s="1" t="n">
        <v>46003.46927083333</v>
      </c>
      <c r="C521" s="1" t="n">
        <v>46083</v>
      </c>
      <c r="D521" t="inlineStr">
        <is>
          <t>ÖSTERGÖTLANDS LÄN</t>
        </is>
      </c>
      <c r="E521" t="inlineStr">
        <is>
          <t>KINDA</t>
        </is>
      </c>
      <c r="G521" t="n">
        <v>2.1</v>
      </c>
      <c r="H521" t="n">
        <v>0</v>
      </c>
      <c r="I521" t="n">
        <v>0</v>
      </c>
      <c r="J521" t="n">
        <v>0</v>
      </c>
      <c r="K521" t="n">
        <v>0</v>
      </c>
      <c r="L521" t="n">
        <v>0</v>
      </c>
      <c r="M521" t="n">
        <v>0</v>
      </c>
      <c r="N521" t="n">
        <v>0</v>
      </c>
      <c r="O521" t="n">
        <v>0</v>
      </c>
      <c r="P521" t="n">
        <v>0</v>
      </c>
      <c r="Q521" t="n">
        <v>0</v>
      </c>
      <c r="R521" s="2" t="inlineStr"/>
    </row>
    <row r="522" ht="15" customHeight="1">
      <c r="A522" t="inlineStr">
        <is>
          <t>A 10477-2022</t>
        </is>
      </c>
      <c r="B522" s="1" t="n">
        <v>44623.61737268518</v>
      </c>
      <c r="C522" s="1" t="n">
        <v>46083</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12622-2024</t>
        </is>
      </c>
      <c r="B523" s="1" t="n">
        <v>45383</v>
      </c>
      <c r="C523" s="1" t="n">
        <v>46083</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8092-2024</t>
        </is>
      </c>
      <c r="B524" s="1" t="n">
        <v>45351.4491550926</v>
      </c>
      <c r="C524" s="1" t="n">
        <v>46083</v>
      </c>
      <c r="D524" t="inlineStr">
        <is>
          <t>ÖSTERGÖTLANDS LÄN</t>
        </is>
      </c>
      <c r="E524" t="inlineStr">
        <is>
          <t>KINDA</t>
        </is>
      </c>
      <c r="G524" t="n">
        <v>0</v>
      </c>
      <c r="H524" t="n">
        <v>0</v>
      </c>
      <c r="I524" t="n">
        <v>0</v>
      </c>
      <c r="J524" t="n">
        <v>0</v>
      </c>
      <c r="K524" t="n">
        <v>0</v>
      </c>
      <c r="L524" t="n">
        <v>0</v>
      </c>
      <c r="M524" t="n">
        <v>0</v>
      </c>
      <c r="N524" t="n">
        <v>0</v>
      </c>
      <c r="O524" t="n">
        <v>0</v>
      </c>
      <c r="P524" t="n">
        <v>0</v>
      </c>
      <c r="Q524" t="n">
        <v>0</v>
      </c>
      <c r="R524" s="2" t="inlineStr"/>
    </row>
    <row r="525" ht="15" customHeight="1">
      <c r="A525" t="inlineStr">
        <is>
          <t>A 15159-2022</t>
        </is>
      </c>
      <c r="B525" s="1" t="n">
        <v>44658.49030092593</v>
      </c>
      <c r="C525" s="1" t="n">
        <v>46083</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39774-2023</t>
        </is>
      </c>
      <c r="B526" s="1" t="n">
        <v>45167</v>
      </c>
      <c r="C526" s="1" t="n">
        <v>46083</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23613-2022</t>
        </is>
      </c>
      <c r="B527" s="1" t="n">
        <v>44721.61611111111</v>
      </c>
      <c r="C527" s="1" t="n">
        <v>46083</v>
      </c>
      <c r="D527" t="inlineStr">
        <is>
          <t>ÖSTERGÖTLANDS LÄN</t>
        </is>
      </c>
      <c r="E527" t="inlineStr">
        <is>
          <t>KINDA</t>
        </is>
      </c>
      <c r="G527" t="n">
        <v>2.6</v>
      </c>
      <c r="H527" t="n">
        <v>0</v>
      </c>
      <c r="I527" t="n">
        <v>0</v>
      </c>
      <c r="J527" t="n">
        <v>0</v>
      </c>
      <c r="K527" t="n">
        <v>0</v>
      </c>
      <c r="L527" t="n">
        <v>0</v>
      </c>
      <c r="M527" t="n">
        <v>0</v>
      </c>
      <c r="N527" t="n">
        <v>0</v>
      </c>
      <c r="O527" t="n">
        <v>0</v>
      </c>
      <c r="P527" t="n">
        <v>0</v>
      </c>
      <c r="Q527" t="n">
        <v>0</v>
      </c>
      <c r="R527" s="2" t="inlineStr"/>
    </row>
    <row r="528" ht="15" customHeight="1">
      <c r="A528" t="inlineStr">
        <is>
          <t>A 62008-2025</t>
        </is>
      </c>
      <c r="B528" s="1" t="n">
        <v>46003.66984953704</v>
      </c>
      <c r="C528" s="1" t="n">
        <v>46083</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4331-2026</t>
        </is>
      </c>
      <c r="B529" s="1" t="n">
        <v>46045.48028935185</v>
      </c>
      <c r="C529" s="1" t="n">
        <v>46083</v>
      </c>
      <c r="D529" t="inlineStr">
        <is>
          <t>ÖSTERGÖTLANDS LÄN</t>
        </is>
      </c>
      <c r="E529" t="inlineStr">
        <is>
          <t>KINDA</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24903-2022</t>
        </is>
      </c>
      <c r="B530" s="1" t="n">
        <v>44728.60424768519</v>
      </c>
      <c r="C530" s="1" t="n">
        <v>46083</v>
      </c>
      <c r="D530" t="inlineStr">
        <is>
          <t>ÖSTERGÖTLANDS LÄN</t>
        </is>
      </c>
      <c r="E530" t="inlineStr">
        <is>
          <t>KINDA</t>
        </is>
      </c>
      <c r="G530" t="n">
        <v>6.3</v>
      </c>
      <c r="H530" t="n">
        <v>0</v>
      </c>
      <c r="I530" t="n">
        <v>0</v>
      </c>
      <c r="J530" t="n">
        <v>0</v>
      </c>
      <c r="K530" t="n">
        <v>0</v>
      </c>
      <c r="L530" t="n">
        <v>0</v>
      </c>
      <c r="M530" t="n">
        <v>0</v>
      </c>
      <c r="N530" t="n">
        <v>0</v>
      </c>
      <c r="O530" t="n">
        <v>0</v>
      </c>
      <c r="P530" t="n">
        <v>0</v>
      </c>
      <c r="Q530" t="n">
        <v>0</v>
      </c>
      <c r="R530" s="2" t="inlineStr"/>
    </row>
    <row r="531" ht="15" customHeight="1">
      <c r="A531" t="inlineStr">
        <is>
          <t>A 17174-2022</t>
        </is>
      </c>
      <c r="B531" s="1" t="n">
        <v>44677</v>
      </c>
      <c r="C531" s="1" t="n">
        <v>46083</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61908-2025</t>
        </is>
      </c>
      <c r="B532" s="1" t="n">
        <v>46003.47145833333</v>
      </c>
      <c r="C532" s="1" t="n">
        <v>46083</v>
      </c>
      <c r="D532" t="inlineStr">
        <is>
          <t>ÖSTERGÖTLANDS LÄN</t>
        </is>
      </c>
      <c r="E532" t="inlineStr">
        <is>
          <t>KINDA</t>
        </is>
      </c>
      <c r="G532" t="n">
        <v>6.7</v>
      </c>
      <c r="H532" t="n">
        <v>0</v>
      </c>
      <c r="I532" t="n">
        <v>0</v>
      </c>
      <c r="J532" t="n">
        <v>0</v>
      </c>
      <c r="K532" t="n">
        <v>0</v>
      </c>
      <c r="L532" t="n">
        <v>0</v>
      </c>
      <c r="M532" t="n">
        <v>0</v>
      </c>
      <c r="N532" t="n">
        <v>0</v>
      </c>
      <c r="O532" t="n">
        <v>0</v>
      </c>
      <c r="P532" t="n">
        <v>0</v>
      </c>
      <c r="Q532" t="n">
        <v>0</v>
      </c>
      <c r="R532" s="2" t="inlineStr"/>
    </row>
    <row r="533" ht="15" customHeight="1">
      <c r="A533" t="inlineStr">
        <is>
          <t>A 62697-2025</t>
        </is>
      </c>
      <c r="B533" s="1" t="n">
        <v>46008.48805555556</v>
      </c>
      <c r="C533" s="1" t="n">
        <v>46083</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11881-2025</t>
        </is>
      </c>
      <c r="B534" s="1" t="n">
        <v>45728.44758101852</v>
      </c>
      <c r="C534" s="1" t="n">
        <v>46083</v>
      </c>
      <c r="D534" t="inlineStr">
        <is>
          <t>ÖSTERGÖTLANDS LÄN</t>
        </is>
      </c>
      <c r="E534" t="inlineStr">
        <is>
          <t>KINDA</t>
        </is>
      </c>
      <c r="G534" t="n">
        <v>1.8</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46083</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8413-2025</t>
        </is>
      </c>
      <c r="B536" s="1" t="n">
        <v>45709.39325231482</v>
      </c>
      <c r="C536" s="1" t="n">
        <v>46083</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43475-2023</t>
        </is>
      </c>
      <c r="B537" s="1" t="n">
        <v>45184.43140046296</v>
      </c>
      <c r="C537" s="1" t="n">
        <v>46083</v>
      </c>
      <c r="D537" t="inlineStr">
        <is>
          <t>ÖSTERGÖTLANDS LÄN</t>
        </is>
      </c>
      <c r="E537" t="inlineStr">
        <is>
          <t>KINDA</t>
        </is>
      </c>
      <c r="G537" t="n">
        <v>6.1</v>
      </c>
      <c r="H537" t="n">
        <v>0</v>
      </c>
      <c r="I537" t="n">
        <v>0</v>
      </c>
      <c r="J537" t="n">
        <v>0</v>
      </c>
      <c r="K537" t="n">
        <v>0</v>
      </c>
      <c r="L537" t="n">
        <v>0</v>
      </c>
      <c r="M537" t="n">
        <v>0</v>
      </c>
      <c r="N537" t="n">
        <v>0</v>
      </c>
      <c r="O537" t="n">
        <v>0</v>
      </c>
      <c r="P537" t="n">
        <v>0</v>
      </c>
      <c r="Q537" t="n">
        <v>0</v>
      </c>
      <c r="R537" s="2" t="inlineStr"/>
    </row>
    <row r="538" ht="15" customHeight="1">
      <c r="A538" t="inlineStr">
        <is>
          <t>A 62444-2025</t>
        </is>
      </c>
      <c r="B538" s="1" t="n">
        <v>46007.48309027778</v>
      </c>
      <c r="C538" s="1" t="n">
        <v>46083</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62443-2025</t>
        </is>
      </c>
      <c r="B539" s="1" t="n">
        <v>46007.48135416667</v>
      </c>
      <c r="C539" s="1" t="n">
        <v>46083</v>
      </c>
      <c r="D539" t="inlineStr">
        <is>
          <t>ÖSTERGÖTLANDS LÄN</t>
        </is>
      </c>
      <c r="E539" t="inlineStr">
        <is>
          <t>KINDA</t>
        </is>
      </c>
      <c r="G539" t="n">
        <v>1.9</v>
      </c>
      <c r="H539" t="n">
        <v>0</v>
      </c>
      <c r="I539" t="n">
        <v>0</v>
      </c>
      <c r="J539" t="n">
        <v>0</v>
      </c>
      <c r="K539" t="n">
        <v>0</v>
      </c>
      <c r="L539" t="n">
        <v>0</v>
      </c>
      <c r="M539" t="n">
        <v>0</v>
      </c>
      <c r="N539" t="n">
        <v>0</v>
      </c>
      <c r="O539" t="n">
        <v>0</v>
      </c>
      <c r="P539" t="n">
        <v>0</v>
      </c>
      <c r="Q539" t="n">
        <v>0</v>
      </c>
      <c r="R539" s="2" t="inlineStr"/>
    </row>
    <row r="540" ht="15" customHeight="1">
      <c r="A540" t="inlineStr">
        <is>
          <t>A 36126-2023</t>
        </is>
      </c>
      <c r="B540" s="1" t="n">
        <v>45149.57319444444</v>
      </c>
      <c r="C540" s="1" t="n">
        <v>46083</v>
      </c>
      <c r="D540" t="inlineStr">
        <is>
          <t>ÖSTERGÖTLANDS LÄN</t>
        </is>
      </c>
      <c r="E540" t="inlineStr">
        <is>
          <t>KINDA</t>
        </is>
      </c>
      <c r="G540" t="n">
        <v>3.8</v>
      </c>
      <c r="H540" t="n">
        <v>0</v>
      </c>
      <c r="I540" t="n">
        <v>0</v>
      </c>
      <c r="J540" t="n">
        <v>0</v>
      </c>
      <c r="K540" t="n">
        <v>0</v>
      </c>
      <c r="L540" t="n">
        <v>0</v>
      </c>
      <c r="M540" t="n">
        <v>0</v>
      </c>
      <c r="N540" t="n">
        <v>0</v>
      </c>
      <c r="O540" t="n">
        <v>0</v>
      </c>
      <c r="P540" t="n">
        <v>0</v>
      </c>
      <c r="Q540" t="n">
        <v>0</v>
      </c>
      <c r="R540" s="2" t="inlineStr"/>
    </row>
    <row r="541" ht="15" customHeight="1">
      <c r="A541" t="inlineStr">
        <is>
          <t>A 62703-2025</t>
        </is>
      </c>
      <c r="B541" s="1" t="n">
        <v>46008.49290509259</v>
      </c>
      <c r="C541" s="1" t="n">
        <v>46083</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62707-2025</t>
        </is>
      </c>
      <c r="B542" s="1" t="n">
        <v>46008.50423611111</v>
      </c>
      <c r="C542" s="1" t="n">
        <v>46083</v>
      </c>
      <c r="D542" t="inlineStr">
        <is>
          <t>ÖSTERGÖTLANDS LÄN</t>
        </is>
      </c>
      <c r="E542" t="inlineStr">
        <is>
          <t>KINDA</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57336-2023</t>
        </is>
      </c>
      <c r="B543" s="1" t="n">
        <v>45245.66636574074</v>
      </c>
      <c r="C543" s="1" t="n">
        <v>46083</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62415-2025</t>
        </is>
      </c>
      <c r="B544" s="1" t="n">
        <v>46007.44498842592</v>
      </c>
      <c r="C544" s="1" t="n">
        <v>46083</v>
      </c>
      <c r="D544" t="inlineStr">
        <is>
          <t>ÖSTERGÖTLANDS LÄN</t>
        </is>
      </c>
      <c r="E544" t="inlineStr">
        <is>
          <t>KINDA</t>
        </is>
      </c>
      <c r="G544" t="n">
        <v>0.4</v>
      </c>
      <c r="H544" t="n">
        <v>0</v>
      </c>
      <c r="I544" t="n">
        <v>0</v>
      </c>
      <c r="J544" t="n">
        <v>0</v>
      </c>
      <c r="K544" t="n">
        <v>0</v>
      </c>
      <c r="L544" t="n">
        <v>0</v>
      </c>
      <c r="M544" t="n">
        <v>0</v>
      </c>
      <c r="N544" t="n">
        <v>0</v>
      </c>
      <c r="O544" t="n">
        <v>0</v>
      </c>
      <c r="P544" t="n">
        <v>0</v>
      </c>
      <c r="Q544" t="n">
        <v>0</v>
      </c>
      <c r="R544" s="2" t="inlineStr"/>
    </row>
    <row r="545" ht="15" customHeight="1">
      <c r="A545" t="inlineStr">
        <is>
          <t>A 62694-2025</t>
        </is>
      </c>
      <c r="B545" s="1" t="n">
        <v>46008.4852662037</v>
      </c>
      <c r="C545" s="1" t="n">
        <v>46083</v>
      </c>
      <c r="D545" t="inlineStr">
        <is>
          <t>ÖSTERGÖTLANDS LÄN</t>
        </is>
      </c>
      <c r="E545" t="inlineStr">
        <is>
          <t>KINDA</t>
        </is>
      </c>
      <c r="G545" t="n">
        <v>5</v>
      </c>
      <c r="H545" t="n">
        <v>0</v>
      </c>
      <c r="I545" t="n">
        <v>0</v>
      </c>
      <c r="J545" t="n">
        <v>0</v>
      </c>
      <c r="K545" t="n">
        <v>0</v>
      </c>
      <c r="L545" t="n">
        <v>0</v>
      </c>
      <c r="M545" t="n">
        <v>0</v>
      </c>
      <c r="N545" t="n">
        <v>0</v>
      </c>
      <c r="O545" t="n">
        <v>0</v>
      </c>
      <c r="P545" t="n">
        <v>0</v>
      </c>
      <c r="Q545" t="n">
        <v>0</v>
      </c>
      <c r="R545" s="2" t="inlineStr"/>
    </row>
    <row r="546" ht="15" customHeight="1">
      <c r="A546" t="inlineStr">
        <is>
          <t>A 63139-2025</t>
        </is>
      </c>
      <c r="B546" s="1" t="n">
        <v>46010.34168981481</v>
      </c>
      <c r="C546" s="1" t="n">
        <v>46083</v>
      </c>
      <c r="D546" t="inlineStr">
        <is>
          <t>ÖSTERGÖTLANDS LÄN</t>
        </is>
      </c>
      <c r="E546" t="inlineStr">
        <is>
          <t>KINDA</t>
        </is>
      </c>
      <c r="F546" t="inlineStr">
        <is>
          <t>Kommuner</t>
        </is>
      </c>
      <c r="G546" t="n">
        <v>2.2</v>
      </c>
      <c r="H546" t="n">
        <v>0</v>
      </c>
      <c r="I546" t="n">
        <v>0</v>
      </c>
      <c r="J546" t="n">
        <v>0</v>
      </c>
      <c r="K546" t="n">
        <v>0</v>
      </c>
      <c r="L546" t="n">
        <v>0</v>
      </c>
      <c r="M546" t="n">
        <v>0</v>
      </c>
      <c r="N546" t="n">
        <v>0</v>
      </c>
      <c r="O546" t="n">
        <v>0</v>
      </c>
      <c r="P546" t="n">
        <v>0</v>
      </c>
      <c r="Q546" t="n">
        <v>0</v>
      </c>
      <c r="R546" s="2" t="inlineStr"/>
    </row>
    <row r="547" ht="15" customHeight="1">
      <c r="A547" t="inlineStr">
        <is>
          <t>A 46639-2023</t>
        </is>
      </c>
      <c r="B547" s="1" t="n">
        <v>45198.43638888889</v>
      </c>
      <c r="C547" s="1" t="n">
        <v>46083</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5935-2026</t>
        </is>
      </c>
      <c r="B548" s="1" t="n">
        <v>46052.47105324074</v>
      </c>
      <c r="C548" s="1" t="n">
        <v>46083</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35672-2022</t>
        </is>
      </c>
      <c r="B549" s="1" t="n">
        <v>44799.59876157407</v>
      </c>
      <c r="C549" s="1" t="n">
        <v>46083</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5899-2026</t>
        </is>
      </c>
      <c r="B550" s="1" t="n">
        <v>46052.42929398148</v>
      </c>
      <c r="C550" s="1" t="n">
        <v>46083</v>
      </c>
      <c r="D550" t="inlineStr">
        <is>
          <t>ÖSTERGÖTLANDS LÄN</t>
        </is>
      </c>
      <c r="E550" t="inlineStr">
        <is>
          <t>KINDA</t>
        </is>
      </c>
      <c r="G550" t="n">
        <v>3.8</v>
      </c>
      <c r="H550" t="n">
        <v>0</v>
      </c>
      <c r="I550" t="n">
        <v>0</v>
      </c>
      <c r="J550" t="n">
        <v>0</v>
      </c>
      <c r="K550" t="n">
        <v>0</v>
      </c>
      <c r="L550" t="n">
        <v>0</v>
      </c>
      <c r="M550" t="n">
        <v>0</v>
      </c>
      <c r="N550" t="n">
        <v>0</v>
      </c>
      <c r="O550" t="n">
        <v>0</v>
      </c>
      <c r="P550" t="n">
        <v>0</v>
      </c>
      <c r="Q550" t="n">
        <v>0</v>
      </c>
      <c r="R550" s="2" t="inlineStr"/>
    </row>
    <row r="551" ht="15" customHeight="1">
      <c r="A551" t="inlineStr">
        <is>
          <t>A 5943-2026</t>
        </is>
      </c>
      <c r="B551" s="1" t="n">
        <v>46052.48008101852</v>
      </c>
      <c r="C551" s="1" t="n">
        <v>46083</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5508-2025</t>
        </is>
      </c>
      <c r="B552" s="1" t="n">
        <v>45693.39354166666</v>
      </c>
      <c r="C552" s="1" t="n">
        <v>46083</v>
      </c>
      <c r="D552" t="inlineStr">
        <is>
          <t>ÖSTERGÖTLANDS LÄN</t>
        </is>
      </c>
      <c r="E552" t="inlineStr">
        <is>
          <t>KINDA</t>
        </is>
      </c>
      <c r="G552" t="n">
        <v>1.3</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46083</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6534-2026</t>
        </is>
      </c>
      <c r="B554" s="1" t="n">
        <v>46056.41675925926</v>
      </c>
      <c r="C554" s="1" t="n">
        <v>46083</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41331-2023</t>
        </is>
      </c>
      <c r="B555" s="1" t="n">
        <v>45174</v>
      </c>
      <c r="C555" s="1" t="n">
        <v>46083</v>
      </c>
      <c r="D555" t="inlineStr">
        <is>
          <t>ÖSTERGÖTLANDS LÄN</t>
        </is>
      </c>
      <c r="E555" t="inlineStr">
        <is>
          <t>KINDA</t>
        </is>
      </c>
      <c r="G555" t="n">
        <v>3.1</v>
      </c>
      <c r="H555" t="n">
        <v>0</v>
      </c>
      <c r="I555" t="n">
        <v>0</v>
      </c>
      <c r="J555" t="n">
        <v>0</v>
      </c>
      <c r="K555" t="n">
        <v>0</v>
      </c>
      <c r="L555" t="n">
        <v>0</v>
      </c>
      <c r="M555" t="n">
        <v>0</v>
      </c>
      <c r="N555" t="n">
        <v>0</v>
      </c>
      <c r="O555" t="n">
        <v>0</v>
      </c>
      <c r="P555" t="n">
        <v>0</v>
      </c>
      <c r="Q555" t="n">
        <v>0</v>
      </c>
      <c r="R555" s="2" t="inlineStr"/>
    </row>
    <row r="556" ht="15" customHeight="1">
      <c r="A556" t="inlineStr">
        <is>
          <t>A 33997-2023</t>
        </is>
      </c>
      <c r="B556" s="1" t="n">
        <v>45134</v>
      </c>
      <c r="C556" s="1" t="n">
        <v>46083</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54507-2022</t>
        </is>
      </c>
      <c r="B557" s="1" t="n">
        <v>44882</v>
      </c>
      <c r="C557" s="1" t="n">
        <v>46083</v>
      </c>
      <c r="D557" t="inlineStr">
        <is>
          <t>ÖSTERGÖTLANDS LÄN</t>
        </is>
      </c>
      <c r="E557" t="inlineStr">
        <is>
          <t>KINDA</t>
        </is>
      </c>
      <c r="G557" t="n">
        <v>0.1</v>
      </c>
      <c r="H557" t="n">
        <v>0</v>
      </c>
      <c r="I557" t="n">
        <v>0</v>
      </c>
      <c r="J557" t="n">
        <v>0</v>
      </c>
      <c r="K557" t="n">
        <v>0</v>
      </c>
      <c r="L557" t="n">
        <v>0</v>
      </c>
      <c r="M557" t="n">
        <v>0</v>
      </c>
      <c r="N557" t="n">
        <v>0</v>
      </c>
      <c r="O557" t="n">
        <v>0</v>
      </c>
      <c r="P557" t="n">
        <v>0</v>
      </c>
      <c r="Q557" t="n">
        <v>0</v>
      </c>
      <c r="R557" s="2" t="inlineStr"/>
    </row>
    <row r="558" ht="15" customHeight="1">
      <c r="A558" t="inlineStr">
        <is>
          <t>A 40850-2025</t>
        </is>
      </c>
      <c r="B558" s="1" t="n">
        <v>45897.55149305556</v>
      </c>
      <c r="C558" s="1" t="n">
        <v>46083</v>
      </c>
      <c r="D558" t="inlineStr">
        <is>
          <t>ÖSTERGÖTLANDS LÄN</t>
        </is>
      </c>
      <c r="E558" t="inlineStr">
        <is>
          <t>KINDA</t>
        </is>
      </c>
      <c r="G558" t="n">
        <v>3</v>
      </c>
      <c r="H558" t="n">
        <v>0</v>
      </c>
      <c r="I558" t="n">
        <v>0</v>
      </c>
      <c r="J558" t="n">
        <v>0</v>
      </c>
      <c r="K558" t="n">
        <v>0</v>
      </c>
      <c r="L558" t="n">
        <v>0</v>
      </c>
      <c r="M558" t="n">
        <v>0</v>
      </c>
      <c r="N558" t="n">
        <v>0</v>
      </c>
      <c r="O558" t="n">
        <v>0</v>
      </c>
      <c r="P558" t="n">
        <v>0</v>
      </c>
      <c r="Q558" t="n">
        <v>0</v>
      </c>
      <c r="R558" s="2" t="inlineStr"/>
    </row>
    <row r="559" ht="15" customHeight="1">
      <c r="A559" t="inlineStr">
        <is>
          <t>A 2952-2024</t>
        </is>
      </c>
      <c r="B559" s="1" t="n">
        <v>45315</v>
      </c>
      <c r="C559" s="1" t="n">
        <v>46083</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57342-2023</t>
        </is>
      </c>
      <c r="B560" s="1" t="n">
        <v>45245.67082175926</v>
      </c>
      <c r="C560" s="1" t="n">
        <v>46083</v>
      </c>
      <c r="D560" t="inlineStr">
        <is>
          <t>ÖSTERGÖTLANDS LÄN</t>
        </is>
      </c>
      <c r="E560" t="inlineStr">
        <is>
          <t>KINDA</t>
        </is>
      </c>
      <c r="G560" t="n">
        <v>2.7</v>
      </c>
      <c r="H560" t="n">
        <v>0</v>
      </c>
      <c r="I560" t="n">
        <v>0</v>
      </c>
      <c r="J560" t="n">
        <v>0</v>
      </c>
      <c r="K560" t="n">
        <v>0</v>
      </c>
      <c r="L560" t="n">
        <v>0</v>
      </c>
      <c r="M560" t="n">
        <v>0</v>
      </c>
      <c r="N560" t="n">
        <v>0</v>
      </c>
      <c r="O560" t="n">
        <v>0</v>
      </c>
      <c r="P560" t="n">
        <v>0</v>
      </c>
      <c r="Q560" t="n">
        <v>0</v>
      </c>
      <c r="R560" s="2" t="inlineStr"/>
    </row>
    <row r="561" ht="15" customHeight="1">
      <c r="A561" t="inlineStr">
        <is>
          <t>A 35662-2022</t>
        </is>
      </c>
      <c r="B561" s="1" t="n">
        <v>44799.58758101852</v>
      </c>
      <c r="C561" s="1" t="n">
        <v>46083</v>
      </c>
      <c r="D561" t="inlineStr">
        <is>
          <t>ÖSTERGÖTLANDS LÄN</t>
        </is>
      </c>
      <c r="E561" t="inlineStr">
        <is>
          <t>KINDA</t>
        </is>
      </c>
      <c r="G561" t="n">
        <v>1.2</v>
      </c>
      <c r="H561" t="n">
        <v>0</v>
      </c>
      <c r="I561" t="n">
        <v>0</v>
      </c>
      <c r="J561" t="n">
        <v>0</v>
      </c>
      <c r="K561" t="n">
        <v>0</v>
      </c>
      <c r="L561" t="n">
        <v>0</v>
      </c>
      <c r="M561" t="n">
        <v>0</v>
      </c>
      <c r="N561" t="n">
        <v>0</v>
      </c>
      <c r="O561" t="n">
        <v>0</v>
      </c>
      <c r="P561" t="n">
        <v>0</v>
      </c>
      <c r="Q561" t="n">
        <v>0</v>
      </c>
      <c r="R561" s="2" t="inlineStr"/>
    </row>
    <row r="562" ht="15" customHeight="1">
      <c r="A562" t="inlineStr">
        <is>
          <t>A 1739-2024</t>
        </is>
      </c>
      <c r="B562" s="1" t="n">
        <v>45307.44446759259</v>
      </c>
      <c r="C562" s="1" t="n">
        <v>46083</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47056-2022</t>
        </is>
      </c>
      <c r="B563" s="1" t="n">
        <v>44852</v>
      </c>
      <c r="C563" s="1" t="n">
        <v>46083</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14943-2024</t>
        </is>
      </c>
      <c r="B564" s="1" t="n">
        <v>45398.69101851852</v>
      </c>
      <c r="C564" s="1" t="n">
        <v>46083</v>
      </c>
      <c r="D564" t="inlineStr">
        <is>
          <t>ÖSTERGÖTLANDS LÄN</t>
        </is>
      </c>
      <c r="E564" t="inlineStr">
        <is>
          <t>KINDA</t>
        </is>
      </c>
      <c r="G564" t="n">
        <v>2.3</v>
      </c>
      <c r="H564" t="n">
        <v>0</v>
      </c>
      <c r="I564" t="n">
        <v>0</v>
      </c>
      <c r="J564" t="n">
        <v>0</v>
      </c>
      <c r="K564" t="n">
        <v>0</v>
      </c>
      <c r="L564" t="n">
        <v>0</v>
      </c>
      <c r="M564" t="n">
        <v>0</v>
      </c>
      <c r="N564" t="n">
        <v>0</v>
      </c>
      <c r="O564" t="n">
        <v>0</v>
      </c>
      <c r="P564" t="n">
        <v>0</v>
      </c>
      <c r="Q564" t="n">
        <v>0</v>
      </c>
      <c r="R564" s="2" t="inlineStr"/>
    </row>
    <row r="565" ht="15" customHeight="1">
      <c r="A565" t="inlineStr">
        <is>
          <t>A 36824-2022</t>
        </is>
      </c>
      <c r="B565" s="1" t="n">
        <v>44805.55975694444</v>
      </c>
      <c r="C565" s="1" t="n">
        <v>46083</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15029-2024</t>
        </is>
      </c>
      <c r="B566" s="1" t="n">
        <v>45399.46633101852</v>
      </c>
      <c r="C566" s="1" t="n">
        <v>46083</v>
      </c>
      <c r="D566" t="inlineStr">
        <is>
          <t>ÖSTERGÖTLANDS LÄN</t>
        </is>
      </c>
      <c r="E566" t="inlineStr">
        <is>
          <t>KINDA</t>
        </is>
      </c>
      <c r="G566" t="n">
        <v>2.6</v>
      </c>
      <c r="H566" t="n">
        <v>0</v>
      </c>
      <c r="I566" t="n">
        <v>0</v>
      </c>
      <c r="J566" t="n">
        <v>0</v>
      </c>
      <c r="K566" t="n">
        <v>0</v>
      </c>
      <c r="L566" t="n">
        <v>0</v>
      </c>
      <c r="M566" t="n">
        <v>0</v>
      </c>
      <c r="N566" t="n">
        <v>0</v>
      </c>
      <c r="O566" t="n">
        <v>0</v>
      </c>
      <c r="P566" t="n">
        <v>0</v>
      </c>
      <c r="Q566" t="n">
        <v>0</v>
      </c>
      <c r="R566" s="2" t="inlineStr"/>
    </row>
    <row r="567" ht="15" customHeight="1">
      <c r="A567" t="inlineStr">
        <is>
          <t>A 35572-2024</t>
        </is>
      </c>
      <c r="B567" s="1" t="n">
        <v>45531.64358796296</v>
      </c>
      <c r="C567" s="1" t="n">
        <v>46083</v>
      </c>
      <c r="D567" t="inlineStr">
        <is>
          <t>ÖSTERGÖTLANDS LÄN</t>
        </is>
      </c>
      <c r="E567" t="inlineStr">
        <is>
          <t>KINDA</t>
        </is>
      </c>
      <c r="G567" t="n">
        <v>2.1</v>
      </c>
      <c r="H567" t="n">
        <v>0</v>
      </c>
      <c r="I567" t="n">
        <v>0</v>
      </c>
      <c r="J567" t="n">
        <v>0</v>
      </c>
      <c r="K567" t="n">
        <v>0</v>
      </c>
      <c r="L567" t="n">
        <v>0</v>
      </c>
      <c r="M567" t="n">
        <v>0</v>
      </c>
      <c r="N567" t="n">
        <v>0</v>
      </c>
      <c r="O567" t="n">
        <v>0</v>
      </c>
      <c r="P567" t="n">
        <v>0</v>
      </c>
      <c r="Q567" t="n">
        <v>0</v>
      </c>
      <c r="R567" s="2" t="inlineStr"/>
    </row>
    <row r="568" ht="15" customHeight="1">
      <c r="A568" t="inlineStr">
        <is>
          <t>A 8590-2024</t>
        </is>
      </c>
      <c r="B568" s="1" t="n">
        <v>45352</v>
      </c>
      <c r="C568" s="1" t="n">
        <v>46083</v>
      </c>
      <c r="D568" t="inlineStr">
        <is>
          <t>ÖSTERGÖTLANDS LÄN</t>
        </is>
      </c>
      <c r="E568" t="inlineStr">
        <is>
          <t>KINDA</t>
        </is>
      </c>
      <c r="G568" t="n">
        <v>1.4</v>
      </c>
      <c r="H568" t="n">
        <v>0</v>
      </c>
      <c r="I568" t="n">
        <v>0</v>
      </c>
      <c r="J568" t="n">
        <v>0</v>
      </c>
      <c r="K568" t="n">
        <v>0</v>
      </c>
      <c r="L568" t="n">
        <v>0</v>
      </c>
      <c r="M568" t="n">
        <v>0</v>
      </c>
      <c r="N568" t="n">
        <v>0</v>
      </c>
      <c r="O568" t="n">
        <v>0</v>
      </c>
      <c r="P568" t="n">
        <v>0</v>
      </c>
      <c r="Q568" t="n">
        <v>0</v>
      </c>
      <c r="R568" s="2" t="inlineStr"/>
    </row>
    <row r="569" ht="15" customHeight="1">
      <c r="A569" t="inlineStr">
        <is>
          <t>A 8064-2024</t>
        </is>
      </c>
      <c r="B569" s="1" t="n">
        <v>45351.40523148148</v>
      </c>
      <c r="C569" s="1" t="n">
        <v>46083</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12568-2025</t>
        </is>
      </c>
      <c r="B570" s="1" t="n">
        <v>45731.65049768519</v>
      </c>
      <c r="C570" s="1" t="n">
        <v>46083</v>
      </c>
      <c r="D570" t="inlineStr">
        <is>
          <t>ÖSTERGÖTLANDS LÄN</t>
        </is>
      </c>
      <c r="E570" t="inlineStr">
        <is>
          <t>KINDA</t>
        </is>
      </c>
      <c r="G570" t="n">
        <v>3.9</v>
      </c>
      <c r="H570" t="n">
        <v>0</v>
      </c>
      <c r="I570" t="n">
        <v>0</v>
      </c>
      <c r="J570" t="n">
        <v>0</v>
      </c>
      <c r="K570" t="n">
        <v>0</v>
      </c>
      <c r="L570" t="n">
        <v>0</v>
      </c>
      <c r="M570" t="n">
        <v>0</v>
      </c>
      <c r="N570" t="n">
        <v>0</v>
      </c>
      <c r="O570" t="n">
        <v>0</v>
      </c>
      <c r="P570" t="n">
        <v>0</v>
      </c>
      <c r="Q570" t="n">
        <v>0</v>
      </c>
      <c r="R570" s="2" t="inlineStr"/>
    </row>
    <row r="571" ht="15" customHeight="1">
      <c r="A571" t="inlineStr">
        <is>
          <t>A 3486-2023</t>
        </is>
      </c>
      <c r="B571" s="1" t="n">
        <v>44949.73369212963</v>
      </c>
      <c r="C571" s="1" t="n">
        <v>46083</v>
      </c>
      <c r="D571" t="inlineStr">
        <is>
          <t>ÖSTERGÖTLANDS LÄN</t>
        </is>
      </c>
      <c r="E571" t="inlineStr">
        <is>
          <t>KINDA</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937-2024</t>
        </is>
      </c>
      <c r="B572" s="1" t="n">
        <v>45301</v>
      </c>
      <c r="C572" s="1" t="n">
        <v>46083</v>
      </c>
      <c r="D572" t="inlineStr">
        <is>
          <t>ÖSTERGÖTLANDS LÄN</t>
        </is>
      </c>
      <c r="E572" t="inlineStr">
        <is>
          <t>KINDA</t>
        </is>
      </c>
      <c r="G572" t="n">
        <v>1.4</v>
      </c>
      <c r="H572" t="n">
        <v>0</v>
      </c>
      <c r="I572" t="n">
        <v>0</v>
      </c>
      <c r="J572" t="n">
        <v>0</v>
      </c>
      <c r="K572" t="n">
        <v>0</v>
      </c>
      <c r="L572" t="n">
        <v>0</v>
      </c>
      <c r="M572" t="n">
        <v>0</v>
      </c>
      <c r="N572" t="n">
        <v>0</v>
      </c>
      <c r="O572" t="n">
        <v>0</v>
      </c>
      <c r="P572" t="n">
        <v>0</v>
      </c>
      <c r="Q572" t="n">
        <v>0</v>
      </c>
      <c r="R572" s="2" t="inlineStr"/>
    </row>
    <row r="573" ht="15" customHeight="1">
      <c r="A573" t="inlineStr">
        <is>
          <t>A 8387-2026</t>
        </is>
      </c>
      <c r="B573" s="1" t="n">
        <v>46064.90125</v>
      </c>
      <c r="C573" s="1" t="n">
        <v>46083</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44543-2021</t>
        </is>
      </c>
      <c r="B574" s="1" t="n">
        <v>44435</v>
      </c>
      <c r="C574" s="1" t="n">
        <v>46083</v>
      </c>
      <c r="D574" t="inlineStr">
        <is>
          <t>ÖSTERGÖTLANDS LÄN</t>
        </is>
      </c>
      <c r="E574" t="inlineStr">
        <is>
          <t>KINDA</t>
        </is>
      </c>
      <c r="G574" t="n">
        <v>10.2</v>
      </c>
      <c r="H574" t="n">
        <v>0</v>
      </c>
      <c r="I574" t="n">
        <v>0</v>
      </c>
      <c r="J574" t="n">
        <v>0</v>
      </c>
      <c r="K574" t="n">
        <v>0</v>
      </c>
      <c r="L574" t="n">
        <v>0</v>
      </c>
      <c r="M574" t="n">
        <v>0</v>
      </c>
      <c r="N574" t="n">
        <v>0</v>
      </c>
      <c r="O574" t="n">
        <v>0</v>
      </c>
      <c r="P574" t="n">
        <v>0</v>
      </c>
      <c r="Q574" t="n">
        <v>0</v>
      </c>
      <c r="R574" s="2" t="inlineStr"/>
    </row>
    <row r="575" ht="15" customHeight="1">
      <c r="A575" t="inlineStr">
        <is>
          <t>A 52861-2023</t>
        </is>
      </c>
      <c r="B575" s="1" t="n">
        <v>45219</v>
      </c>
      <c r="C575" s="1" t="n">
        <v>46083</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18198-2025</t>
        </is>
      </c>
      <c r="B576" s="1" t="n">
        <v>45761.68063657408</v>
      </c>
      <c r="C576" s="1" t="n">
        <v>46083</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46908-2022</t>
        </is>
      </c>
      <c r="B577" s="1" t="n">
        <v>44851</v>
      </c>
      <c r="C577" s="1" t="n">
        <v>46083</v>
      </c>
      <c r="D577" t="inlineStr">
        <is>
          <t>ÖSTERGÖTLANDS LÄN</t>
        </is>
      </c>
      <c r="E577" t="inlineStr">
        <is>
          <t>KINDA</t>
        </is>
      </c>
      <c r="G577" t="n">
        <v>1.8</v>
      </c>
      <c r="H577" t="n">
        <v>0</v>
      </c>
      <c r="I577" t="n">
        <v>0</v>
      </c>
      <c r="J577" t="n">
        <v>0</v>
      </c>
      <c r="K577" t="n">
        <v>0</v>
      </c>
      <c r="L577" t="n">
        <v>0</v>
      </c>
      <c r="M577" t="n">
        <v>0</v>
      </c>
      <c r="N577" t="n">
        <v>0</v>
      </c>
      <c r="O577" t="n">
        <v>0</v>
      </c>
      <c r="P577" t="n">
        <v>0</v>
      </c>
      <c r="Q577" t="n">
        <v>0</v>
      </c>
      <c r="R577" s="2" t="inlineStr"/>
    </row>
    <row r="578" ht="15" customHeight="1">
      <c r="A578" t="inlineStr">
        <is>
          <t>A 8987-2026</t>
        </is>
      </c>
      <c r="B578" s="1" t="n">
        <v>46069.455</v>
      </c>
      <c r="C578" s="1" t="n">
        <v>46083</v>
      </c>
      <c r="D578" t="inlineStr">
        <is>
          <t>ÖSTERGÖTLANDS LÄN</t>
        </is>
      </c>
      <c r="E578" t="inlineStr">
        <is>
          <t>KINDA</t>
        </is>
      </c>
      <c r="G578" t="n">
        <v>2.1</v>
      </c>
      <c r="H578" t="n">
        <v>0</v>
      </c>
      <c r="I578" t="n">
        <v>0</v>
      </c>
      <c r="J578" t="n">
        <v>0</v>
      </c>
      <c r="K578" t="n">
        <v>0</v>
      </c>
      <c r="L578" t="n">
        <v>0</v>
      </c>
      <c r="M578" t="n">
        <v>0</v>
      </c>
      <c r="N578" t="n">
        <v>0</v>
      </c>
      <c r="O578" t="n">
        <v>0</v>
      </c>
      <c r="P578" t="n">
        <v>0</v>
      </c>
      <c r="Q578" t="n">
        <v>0</v>
      </c>
      <c r="R578" s="2" t="inlineStr"/>
    </row>
    <row r="579" ht="15" customHeight="1">
      <c r="A579" t="inlineStr">
        <is>
          <t>A 41718-2023</t>
        </is>
      </c>
      <c r="B579" s="1" t="n">
        <v>45176.39657407408</v>
      </c>
      <c r="C579" s="1" t="n">
        <v>46083</v>
      </c>
      <c r="D579" t="inlineStr">
        <is>
          <t>ÖSTERGÖTLANDS LÄN</t>
        </is>
      </c>
      <c r="E579" t="inlineStr">
        <is>
          <t>KINDA</t>
        </is>
      </c>
      <c r="G579" t="n">
        <v>0.5</v>
      </c>
      <c r="H579" t="n">
        <v>0</v>
      </c>
      <c r="I579" t="n">
        <v>0</v>
      </c>
      <c r="J579" t="n">
        <v>0</v>
      </c>
      <c r="K579" t="n">
        <v>0</v>
      </c>
      <c r="L579" t="n">
        <v>0</v>
      </c>
      <c r="M579" t="n">
        <v>0</v>
      </c>
      <c r="N579" t="n">
        <v>0</v>
      </c>
      <c r="O579" t="n">
        <v>0</v>
      </c>
      <c r="P579" t="n">
        <v>0</v>
      </c>
      <c r="Q579" t="n">
        <v>0</v>
      </c>
      <c r="R579" s="2" t="inlineStr"/>
    </row>
    <row r="580" ht="15" customHeight="1">
      <c r="A580" t="inlineStr">
        <is>
          <t>A 28316-2023</t>
        </is>
      </c>
      <c r="B580" s="1" t="n">
        <v>45098</v>
      </c>
      <c r="C580" s="1" t="n">
        <v>46083</v>
      </c>
      <c r="D580" t="inlineStr">
        <is>
          <t>ÖSTERGÖTLANDS LÄN</t>
        </is>
      </c>
      <c r="E580" t="inlineStr">
        <is>
          <t>KINDA</t>
        </is>
      </c>
      <c r="G580" t="n">
        <v>2</v>
      </c>
      <c r="H580" t="n">
        <v>0</v>
      </c>
      <c r="I580" t="n">
        <v>0</v>
      </c>
      <c r="J580" t="n">
        <v>0</v>
      </c>
      <c r="K580" t="n">
        <v>0</v>
      </c>
      <c r="L580" t="n">
        <v>0</v>
      </c>
      <c r="M580" t="n">
        <v>0</v>
      </c>
      <c r="N580" t="n">
        <v>0</v>
      </c>
      <c r="O580" t="n">
        <v>0</v>
      </c>
      <c r="P580" t="n">
        <v>0</v>
      </c>
      <c r="Q580" t="n">
        <v>0</v>
      </c>
      <c r="R580" s="2" t="inlineStr"/>
    </row>
    <row r="581" ht="15" customHeight="1">
      <c r="A581" t="inlineStr">
        <is>
          <t>A 656-2026</t>
        </is>
      </c>
      <c r="B581" s="1" t="n">
        <v>46029.58138888889</v>
      </c>
      <c r="C581" s="1" t="n">
        <v>46083</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654-2026</t>
        </is>
      </c>
      <c r="B582" s="1" t="n">
        <v>46029.57982638889</v>
      </c>
      <c r="C582" s="1" t="n">
        <v>46083</v>
      </c>
      <c r="D582" t="inlineStr">
        <is>
          <t>ÖSTERGÖTLANDS LÄN</t>
        </is>
      </c>
      <c r="E582" t="inlineStr">
        <is>
          <t>KINDA</t>
        </is>
      </c>
      <c r="G582" t="n">
        <v>1.4</v>
      </c>
      <c r="H582" t="n">
        <v>0</v>
      </c>
      <c r="I582" t="n">
        <v>0</v>
      </c>
      <c r="J582" t="n">
        <v>0</v>
      </c>
      <c r="K582" t="n">
        <v>0</v>
      </c>
      <c r="L582" t="n">
        <v>0</v>
      </c>
      <c r="M582" t="n">
        <v>0</v>
      </c>
      <c r="N582" t="n">
        <v>0</v>
      </c>
      <c r="O582" t="n">
        <v>0</v>
      </c>
      <c r="P582" t="n">
        <v>0</v>
      </c>
      <c r="Q582" t="n">
        <v>0</v>
      </c>
      <c r="R582" s="2" t="inlineStr"/>
    </row>
    <row r="583" ht="15" customHeight="1">
      <c r="A583" t="inlineStr">
        <is>
          <t>A 10758-2022</t>
        </is>
      </c>
      <c r="B583" s="1" t="n">
        <v>44627</v>
      </c>
      <c r="C583" s="1" t="n">
        <v>46083</v>
      </c>
      <c r="D583" t="inlineStr">
        <is>
          <t>ÖSTERGÖTLANDS LÄN</t>
        </is>
      </c>
      <c r="E583" t="inlineStr">
        <is>
          <t>KINDA</t>
        </is>
      </c>
      <c r="G583" t="n">
        <v>0.1</v>
      </c>
      <c r="H583" t="n">
        <v>0</v>
      </c>
      <c r="I583" t="n">
        <v>0</v>
      </c>
      <c r="J583" t="n">
        <v>0</v>
      </c>
      <c r="K583" t="n">
        <v>0</v>
      </c>
      <c r="L583" t="n">
        <v>0</v>
      </c>
      <c r="M583" t="n">
        <v>0</v>
      </c>
      <c r="N583" t="n">
        <v>0</v>
      </c>
      <c r="O583" t="n">
        <v>0</v>
      </c>
      <c r="P583" t="n">
        <v>0</v>
      </c>
      <c r="Q583" t="n">
        <v>0</v>
      </c>
      <c r="R583" s="2" t="inlineStr"/>
    </row>
    <row r="584" ht="15" customHeight="1">
      <c r="A584" t="inlineStr">
        <is>
          <t>A 41580-2023</t>
        </is>
      </c>
      <c r="B584" s="1" t="n">
        <v>45175.62292824074</v>
      </c>
      <c r="C584" s="1" t="n">
        <v>46083</v>
      </c>
      <c r="D584" t="inlineStr">
        <is>
          <t>ÖSTERGÖTLANDS LÄN</t>
        </is>
      </c>
      <c r="E584" t="inlineStr">
        <is>
          <t>KINDA</t>
        </is>
      </c>
      <c r="G584" t="n">
        <v>0.4</v>
      </c>
      <c r="H584" t="n">
        <v>0</v>
      </c>
      <c r="I584" t="n">
        <v>0</v>
      </c>
      <c r="J584" t="n">
        <v>0</v>
      </c>
      <c r="K584" t="n">
        <v>0</v>
      </c>
      <c r="L584" t="n">
        <v>0</v>
      </c>
      <c r="M584" t="n">
        <v>0</v>
      </c>
      <c r="N584" t="n">
        <v>0</v>
      </c>
      <c r="O584" t="n">
        <v>0</v>
      </c>
      <c r="P584" t="n">
        <v>0</v>
      </c>
      <c r="Q584" t="n">
        <v>0</v>
      </c>
      <c r="R584" s="2" t="inlineStr"/>
    </row>
    <row r="585" ht="15" customHeight="1">
      <c r="A585" t="inlineStr">
        <is>
          <t>A 56317-2021</t>
        </is>
      </c>
      <c r="B585" s="1" t="n">
        <v>44480.3503587963</v>
      </c>
      <c r="C585" s="1" t="n">
        <v>46083</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31839-2023</t>
        </is>
      </c>
      <c r="B586" s="1" t="n">
        <v>45118.57342592593</v>
      </c>
      <c r="C586" s="1" t="n">
        <v>46083</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47000-2021</t>
        </is>
      </c>
      <c r="B587" s="1" t="n">
        <v>44446</v>
      </c>
      <c r="C587" s="1" t="n">
        <v>46083</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1896-2024</t>
        </is>
      </c>
      <c r="B588" s="1" t="n">
        <v>45308.33431712963</v>
      </c>
      <c r="C588" s="1" t="n">
        <v>46083</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1491-2026</t>
        </is>
      </c>
      <c r="B589" s="1" t="n">
        <v>46034.30648148148</v>
      </c>
      <c r="C589" s="1" t="n">
        <v>46083</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10095-2026</t>
        </is>
      </c>
      <c r="B590" s="1" t="n">
        <v>46073.72185185185</v>
      </c>
      <c r="C590" s="1" t="n">
        <v>46083</v>
      </c>
      <c r="D590" t="inlineStr">
        <is>
          <t>ÖSTERGÖTLANDS LÄN</t>
        </is>
      </c>
      <c r="E590" t="inlineStr">
        <is>
          <t>KINDA</t>
        </is>
      </c>
      <c r="G590" t="n">
        <v>4.1</v>
      </c>
      <c r="H590" t="n">
        <v>0</v>
      </c>
      <c r="I590" t="n">
        <v>0</v>
      </c>
      <c r="J590" t="n">
        <v>0</v>
      </c>
      <c r="K590" t="n">
        <v>0</v>
      </c>
      <c r="L590" t="n">
        <v>0</v>
      </c>
      <c r="M590" t="n">
        <v>0</v>
      </c>
      <c r="N590" t="n">
        <v>0</v>
      </c>
      <c r="O590" t="n">
        <v>0</v>
      </c>
      <c r="P590" t="n">
        <v>0</v>
      </c>
      <c r="Q590" t="n">
        <v>0</v>
      </c>
      <c r="R590" s="2" t="inlineStr"/>
    </row>
    <row r="591" ht="15" customHeight="1">
      <c r="A591" t="inlineStr">
        <is>
          <t>A 24839-2024</t>
        </is>
      </c>
      <c r="B591" s="1" t="n">
        <v>45461.41216435185</v>
      </c>
      <c r="C591" s="1" t="n">
        <v>46083</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1704-2026</t>
        </is>
      </c>
      <c r="B592" s="1" t="n">
        <v>46034.59744212963</v>
      </c>
      <c r="C592" s="1" t="n">
        <v>46083</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10517-2026</t>
        </is>
      </c>
      <c r="B593" s="1" t="n">
        <v>46077.57380787037</v>
      </c>
      <c r="C593" s="1" t="n">
        <v>46083</v>
      </c>
      <c r="D593" t="inlineStr">
        <is>
          <t>ÖSTERGÖTLANDS LÄN</t>
        </is>
      </c>
      <c r="E593" t="inlineStr">
        <is>
          <t>KINDA</t>
        </is>
      </c>
      <c r="G593" t="n">
        <v>3.3</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46083</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2168-2026</t>
        </is>
      </c>
      <c r="B595" s="1" t="n">
        <v>46036.44412037037</v>
      </c>
      <c r="C595" s="1" t="n">
        <v>46083</v>
      </c>
      <c r="D595" t="inlineStr">
        <is>
          <t>ÖSTERGÖTLANDS LÄN</t>
        </is>
      </c>
      <c r="E595" t="inlineStr">
        <is>
          <t>KINDA</t>
        </is>
      </c>
      <c r="G595" t="n">
        <v>1.5</v>
      </c>
      <c r="H595" t="n">
        <v>0</v>
      </c>
      <c r="I595" t="n">
        <v>0</v>
      </c>
      <c r="J595" t="n">
        <v>0</v>
      </c>
      <c r="K595" t="n">
        <v>0</v>
      </c>
      <c r="L595" t="n">
        <v>0</v>
      </c>
      <c r="M595" t="n">
        <v>0</v>
      </c>
      <c r="N595" t="n">
        <v>0</v>
      </c>
      <c r="O595" t="n">
        <v>0</v>
      </c>
      <c r="P595" t="n">
        <v>0</v>
      </c>
      <c r="Q595" t="n">
        <v>0</v>
      </c>
      <c r="R595" s="2" t="inlineStr"/>
    </row>
    <row r="596" ht="15" customHeight="1">
      <c r="A596" t="inlineStr">
        <is>
          <t>A 44203-2021</t>
        </is>
      </c>
      <c r="B596" s="1" t="n">
        <v>44434</v>
      </c>
      <c r="C596" s="1" t="n">
        <v>46083</v>
      </c>
      <c r="D596" t="inlineStr">
        <is>
          <t>ÖSTERGÖTLANDS LÄN</t>
        </is>
      </c>
      <c r="E596" t="inlineStr">
        <is>
          <t>KINDA</t>
        </is>
      </c>
      <c r="F596" t="inlineStr">
        <is>
          <t>Allmännings- och besparingsskogar</t>
        </is>
      </c>
      <c r="G596" t="n">
        <v>12.7</v>
      </c>
      <c r="H596" t="n">
        <v>0</v>
      </c>
      <c r="I596" t="n">
        <v>0</v>
      </c>
      <c r="J596" t="n">
        <v>0</v>
      </c>
      <c r="K596" t="n">
        <v>0</v>
      </c>
      <c r="L596" t="n">
        <v>0</v>
      </c>
      <c r="M596" t="n">
        <v>0</v>
      </c>
      <c r="N596" t="n">
        <v>0</v>
      </c>
      <c r="O596" t="n">
        <v>0</v>
      </c>
      <c r="P596" t="n">
        <v>0</v>
      </c>
      <c r="Q596" t="n">
        <v>0</v>
      </c>
      <c r="R596" s="2" t="inlineStr"/>
    </row>
    <row r="597" ht="15" customHeight="1">
      <c r="A597" t="inlineStr">
        <is>
          <t>A 4288-2023</t>
        </is>
      </c>
      <c r="B597" s="1" t="n">
        <v>44953</v>
      </c>
      <c r="C597" s="1" t="n">
        <v>46083</v>
      </c>
      <c r="D597" t="inlineStr">
        <is>
          <t>ÖSTERGÖTLANDS LÄN</t>
        </is>
      </c>
      <c r="E597" t="inlineStr">
        <is>
          <t>KINDA</t>
        </is>
      </c>
      <c r="G597" t="n">
        <v>1.9</v>
      </c>
      <c r="H597" t="n">
        <v>0</v>
      </c>
      <c r="I597" t="n">
        <v>0</v>
      </c>
      <c r="J597" t="n">
        <v>0</v>
      </c>
      <c r="K597" t="n">
        <v>0</v>
      </c>
      <c r="L597" t="n">
        <v>0</v>
      </c>
      <c r="M597" t="n">
        <v>0</v>
      </c>
      <c r="N597" t="n">
        <v>0</v>
      </c>
      <c r="O597" t="n">
        <v>0</v>
      </c>
      <c r="P597" t="n">
        <v>0</v>
      </c>
      <c r="Q597" t="n">
        <v>0</v>
      </c>
      <c r="R597" s="2" t="inlineStr"/>
    </row>
    <row r="598" ht="15" customHeight="1">
      <c r="A598" t="inlineStr">
        <is>
          <t>A 46757-2022</t>
        </is>
      </c>
      <c r="B598" s="1" t="n">
        <v>44851</v>
      </c>
      <c r="C598" s="1" t="n">
        <v>46083</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20914-2021</t>
        </is>
      </c>
      <c r="B599" s="1" t="n">
        <v>44319</v>
      </c>
      <c r="C599" s="1" t="n">
        <v>46083</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24150-2024</t>
        </is>
      </c>
      <c r="B600" s="1" t="n">
        <v>45456</v>
      </c>
      <c r="C600" s="1" t="n">
        <v>46083</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5203-2022</t>
        </is>
      </c>
      <c r="B601" s="1" t="n">
        <v>44594</v>
      </c>
      <c r="C601" s="1" t="n">
        <v>46083</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43688-2023</t>
        </is>
      </c>
      <c r="B602" s="1" t="n">
        <v>45187</v>
      </c>
      <c r="C602" s="1" t="n">
        <v>46083</v>
      </c>
      <c r="D602" t="inlineStr">
        <is>
          <t>ÖSTERGÖTLANDS LÄN</t>
        </is>
      </c>
      <c r="E602" t="inlineStr">
        <is>
          <t>KINDA</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49881-2021</t>
        </is>
      </c>
      <c r="B603" s="1" t="n">
        <v>44455.68322916667</v>
      </c>
      <c r="C603" s="1" t="n">
        <v>46083</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38827-2021</t>
        </is>
      </c>
      <c r="B604" s="1" t="n">
        <v>44411</v>
      </c>
      <c r="C604" s="1" t="n">
        <v>46083</v>
      </c>
      <c r="D604" t="inlineStr">
        <is>
          <t>ÖSTERGÖTLANDS LÄN</t>
        </is>
      </c>
      <c r="E604" t="inlineStr">
        <is>
          <t>KINDA</t>
        </is>
      </c>
      <c r="F604" t="inlineStr">
        <is>
          <t>Övriga Aktiebolag</t>
        </is>
      </c>
      <c r="G604" t="n">
        <v>13.6</v>
      </c>
      <c r="H604" t="n">
        <v>0</v>
      </c>
      <c r="I604" t="n">
        <v>0</v>
      </c>
      <c r="J604" t="n">
        <v>0</v>
      </c>
      <c r="K604" t="n">
        <v>0</v>
      </c>
      <c r="L604" t="n">
        <v>0</v>
      </c>
      <c r="M604" t="n">
        <v>0</v>
      </c>
      <c r="N604" t="n">
        <v>0</v>
      </c>
      <c r="O604" t="n">
        <v>0</v>
      </c>
      <c r="P604" t="n">
        <v>0</v>
      </c>
      <c r="Q604" t="n">
        <v>0</v>
      </c>
      <c r="R604" s="2" t="inlineStr"/>
    </row>
    <row r="605" ht="15" customHeight="1">
      <c r="A605" t="inlineStr">
        <is>
          <t>A 28291-2023</t>
        </is>
      </c>
      <c r="B605" s="1" t="n">
        <v>45098</v>
      </c>
      <c r="C605" s="1" t="n">
        <v>46083</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35789-2022</t>
        </is>
      </c>
      <c r="B606" s="1" t="n">
        <v>44801</v>
      </c>
      <c r="C606" s="1" t="n">
        <v>46083</v>
      </c>
      <c r="D606" t="inlineStr">
        <is>
          <t>ÖSTERGÖTLANDS LÄN</t>
        </is>
      </c>
      <c r="E606" t="inlineStr">
        <is>
          <t>KINDA</t>
        </is>
      </c>
      <c r="G606" t="n">
        <v>2.2</v>
      </c>
      <c r="H606" t="n">
        <v>0</v>
      </c>
      <c r="I606" t="n">
        <v>0</v>
      </c>
      <c r="J606" t="n">
        <v>0</v>
      </c>
      <c r="K606" t="n">
        <v>0</v>
      </c>
      <c r="L606" t="n">
        <v>0</v>
      </c>
      <c r="M606" t="n">
        <v>0</v>
      </c>
      <c r="N606" t="n">
        <v>0</v>
      </c>
      <c r="O606" t="n">
        <v>0</v>
      </c>
      <c r="P606" t="n">
        <v>0</v>
      </c>
      <c r="Q606" t="n">
        <v>0</v>
      </c>
      <c r="R606" s="2" t="inlineStr"/>
    </row>
    <row r="607" ht="15" customHeight="1">
      <c r="A607" t="inlineStr">
        <is>
          <t>A 1818-2026</t>
        </is>
      </c>
      <c r="B607" s="1" t="n">
        <v>46035.35317129629</v>
      </c>
      <c r="C607" s="1" t="n">
        <v>46083</v>
      </c>
      <c r="D607" t="inlineStr">
        <is>
          <t>ÖSTERGÖTLANDS LÄN</t>
        </is>
      </c>
      <c r="E607" t="inlineStr">
        <is>
          <t>KINDA</t>
        </is>
      </c>
      <c r="G607" t="n">
        <v>5.3</v>
      </c>
      <c r="H607" t="n">
        <v>0</v>
      </c>
      <c r="I607" t="n">
        <v>0</v>
      </c>
      <c r="J607" t="n">
        <v>0</v>
      </c>
      <c r="K607" t="n">
        <v>0</v>
      </c>
      <c r="L607" t="n">
        <v>0</v>
      </c>
      <c r="M607" t="n">
        <v>0</v>
      </c>
      <c r="N607" t="n">
        <v>0</v>
      </c>
      <c r="O607" t="n">
        <v>0</v>
      </c>
      <c r="P607" t="n">
        <v>0</v>
      </c>
      <c r="Q607" t="n">
        <v>0</v>
      </c>
      <c r="R607" s="2" t="inlineStr"/>
    </row>
    <row r="608" ht="15" customHeight="1">
      <c r="A608" t="inlineStr">
        <is>
          <t>A 6837-2023</t>
        </is>
      </c>
      <c r="B608" s="1" t="n">
        <v>44967</v>
      </c>
      <c r="C608" s="1" t="n">
        <v>46083</v>
      </c>
      <c r="D608" t="inlineStr">
        <is>
          <t>ÖSTERGÖTLANDS LÄN</t>
        </is>
      </c>
      <c r="E608" t="inlineStr">
        <is>
          <t>KINDA</t>
        </is>
      </c>
      <c r="G608" t="n">
        <v>0.7</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46083</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46083</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21293-2021</t>
        </is>
      </c>
      <c r="B611" s="1" t="n">
        <v>44320.65725694445</v>
      </c>
      <c r="C611" s="1" t="n">
        <v>46083</v>
      </c>
      <c r="D611" t="inlineStr">
        <is>
          <t>ÖSTERGÖTLANDS LÄN</t>
        </is>
      </c>
      <c r="E611" t="inlineStr">
        <is>
          <t>KINDA</t>
        </is>
      </c>
      <c r="G611" t="n">
        <v>1.1</v>
      </c>
      <c r="H611" t="n">
        <v>0</v>
      </c>
      <c r="I611" t="n">
        <v>0</v>
      </c>
      <c r="J611" t="n">
        <v>0</v>
      </c>
      <c r="K611" t="n">
        <v>0</v>
      </c>
      <c r="L611" t="n">
        <v>0</v>
      </c>
      <c r="M611" t="n">
        <v>0</v>
      </c>
      <c r="N611" t="n">
        <v>0</v>
      </c>
      <c r="O611" t="n">
        <v>0</v>
      </c>
      <c r="P611" t="n">
        <v>0</v>
      </c>
      <c r="Q611" t="n">
        <v>0</v>
      </c>
      <c r="R611" s="2" t="inlineStr"/>
    </row>
    <row r="612" ht="15" customHeight="1">
      <c r="A612" t="inlineStr">
        <is>
          <t>A 11183-2026</t>
        </is>
      </c>
      <c r="B612" s="1" t="n">
        <v>46080.39516203704</v>
      </c>
      <c r="C612" s="1" t="n">
        <v>46083</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31831-2023</t>
        </is>
      </c>
      <c r="B613" s="1" t="n">
        <v>45118.5630787037</v>
      </c>
      <c r="C613" s="1" t="n">
        <v>46083</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21246-2023</t>
        </is>
      </c>
      <c r="B614" s="1" t="n">
        <v>45062.57262731482</v>
      </c>
      <c r="C614" s="1" t="n">
        <v>46083</v>
      </c>
      <c r="D614" t="inlineStr">
        <is>
          <t>ÖSTERGÖTLANDS LÄN</t>
        </is>
      </c>
      <c r="E614" t="inlineStr">
        <is>
          <t>KINDA</t>
        </is>
      </c>
      <c r="G614" t="n">
        <v>5.5</v>
      </c>
      <c r="H614" t="n">
        <v>0</v>
      </c>
      <c r="I614" t="n">
        <v>0</v>
      </c>
      <c r="J614" t="n">
        <v>0</v>
      </c>
      <c r="K614" t="n">
        <v>0</v>
      </c>
      <c r="L614" t="n">
        <v>0</v>
      </c>
      <c r="M614" t="n">
        <v>0</v>
      </c>
      <c r="N614" t="n">
        <v>0</v>
      </c>
      <c r="O614" t="n">
        <v>0</v>
      </c>
      <c r="P614" t="n">
        <v>0</v>
      </c>
      <c r="Q614" t="n">
        <v>0</v>
      </c>
      <c r="R614" s="2" t="inlineStr"/>
    </row>
    <row r="615" ht="15" customHeight="1">
      <c r="A615" t="inlineStr">
        <is>
          <t>A 37489-2024</t>
        </is>
      </c>
      <c r="B615" s="1" t="n">
        <v>45541.34607638889</v>
      </c>
      <c r="C615" s="1" t="n">
        <v>46083</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49096-2022</t>
        </is>
      </c>
      <c r="B616" s="1" t="n">
        <v>44860</v>
      </c>
      <c r="C616" s="1" t="n">
        <v>46083</v>
      </c>
      <c r="D616" t="inlineStr">
        <is>
          <t>ÖSTERGÖTLANDS LÄN</t>
        </is>
      </c>
      <c r="E616" t="inlineStr">
        <is>
          <t>KINDA</t>
        </is>
      </c>
      <c r="G616" t="n">
        <v>5.1</v>
      </c>
      <c r="H616" t="n">
        <v>0</v>
      </c>
      <c r="I616" t="n">
        <v>0</v>
      </c>
      <c r="J616" t="n">
        <v>0</v>
      </c>
      <c r="K616" t="n">
        <v>0</v>
      </c>
      <c r="L616" t="n">
        <v>0</v>
      </c>
      <c r="M616" t="n">
        <v>0</v>
      </c>
      <c r="N616" t="n">
        <v>0</v>
      </c>
      <c r="O616" t="n">
        <v>0</v>
      </c>
      <c r="P616" t="n">
        <v>0</v>
      </c>
      <c r="Q616" t="n">
        <v>0</v>
      </c>
      <c r="R616" s="2" t="inlineStr"/>
    </row>
    <row r="617" ht="15" customHeight="1">
      <c r="A617" t="inlineStr">
        <is>
          <t>A 43857-2023</t>
        </is>
      </c>
      <c r="B617" s="1" t="n">
        <v>45187.61545138889</v>
      </c>
      <c r="C617" s="1" t="n">
        <v>46083</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11231-2026</t>
        </is>
      </c>
      <c r="B618" s="1" t="n">
        <v>46080.49003472222</v>
      </c>
      <c r="C618" s="1" t="n">
        <v>46083</v>
      </c>
      <c r="D618" t="inlineStr">
        <is>
          <t>ÖSTERGÖTLANDS LÄN</t>
        </is>
      </c>
      <c r="E618" t="inlineStr">
        <is>
          <t>KINDA</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11184-2026</t>
        </is>
      </c>
      <c r="B619" s="1" t="n">
        <v>46080</v>
      </c>
      <c r="C619" s="1" t="n">
        <v>46083</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29717-2023</t>
        </is>
      </c>
      <c r="B620" s="1" t="n">
        <v>45107.42807870371</v>
      </c>
      <c r="C620" s="1" t="n">
        <v>46083</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20972-2021</t>
        </is>
      </c>
      <c r="B621" s="1" t="n">
        <v>44319.56430555556</v>
      </c>
      <c r="C621" s="1" t="n">
        <v>46083</v>
      </c>
      <c r="D621" t="inlineStr">
        <is>
          <t>ÖSTERGÖTLANDS LÄN</t>
        </is>
      </c>
      <c r="E621" t="inlineStr">
        <is>
          <t>KINDA</t>
        </is>
      </c>
      <c r="G621" t="n">
        <v>2</v>
      </c>
      <c r="H621" t="n">
        <v>0</v>
      </c>
      <c r="I621" t="n">
        <v>0</v>
      </c>
      <c r="J621" t="n">
        <v>0</v>
      </c>
      <c r="K621" t="n">
        <v>0</v>
      </c>
      <c r="L621" t="n">
        <v>0</v>
      </c>
      <c r="M621" t="n">
        <v>0</v>
      </c>
      <c r="N621" t="n">
        <v>0</v>
      </c>
      <c r="O621" t="n">
        <v>0</v>
      </c>
      <c r="P621" t="n">
        <v>0</v>
      </c>
      <c r="Q621" t="n">
        <v>0</v>
      </c>
      <c r="R621" s="2" t="inlineStr"/>
    </row>
    <row r="622" ht="15" customHeight="1">
      <c r="A622" t="inlineStr">
        <is>
          <t>A 28043-2024</t>
        </is>
      </c>
      <c r="B622" s="1" t="n">
        <v>45476.50915509259</v>
      </c>
      <c r="C622" s="1" t="n">
        <v>46083</v>
      </c>
      <c r="D622" t="inlineStr">
        <is>
          <t>ÖSTERGÖTLANDS LÄN</t>
        </is>
      </c>
      <c r="E622" t="inlineStr">
        <is>
          <t>KINDA</t>
        </is>
      </c>
      <c r="G622" t="n">
        <v>1.9</v>
      </c>
      <c r="H622" t="n">
        <v>0</v>
      </c>
      <c r="I622" t="n">
        <v>0</v>
      </c>
      <c r="J622" t="n">
        <v>0</v>
      </c>
      <c r="K622" t="n">
        <v>0</v>
      </c>
      <c r="L622" t="n">
        <v>0</v>
      </c>
      <c r="M622" t="n">
        <v>0</v>
      </c>
      <c r="N622" t="n">
        <v>0</v>
      </c>
      <c r="O622" t="n">
        <v>0</v>
      </c>
      <c r="P622" t="n">
        <v>0</v>
      </c>
      <c r="Q622" t="n">
        <v>0</v>
      </c>
      <c r="R622" s="2" t="inlineStr"/>
    </row>
    <row r="623" ht="15" customHeight="1">
      <c r="A623" t="inlineStr">
        <is>
          <t>A 62260-2023</t>
        </is>
      </c>
      <c r="B623" s="1" t="n">
        <v>45267.6274537037</v>
      </c>
      <c r="C623" s="1" t="n">
        <v>46083</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74202-2021</t>
        </is>
      </c>
      <c r="B624" s="1" t="n">
        <v>44558.51175925926</v>
      </c>
      <c r="C624" s="1" t="n">
        <v>46083</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5665-2023</t>
        </is>
      </c>
      <c r="B625" s="1" t="n">
        <v>44960.64481481481</v>
      </c>
      <c r="C625" s="1" t="n">
        <v>46083</v>
      </c>
      <c r="D625" t="inlineStr">
        <is>
          <t>ÖSTERGÖTLANDS LÄN</t>
        </is>
      </c>
      <c r="E625" t="inlineStr">
        <is>
          <t>KINDA</t>
        </is>
      </c>
      <c r="G625" t="n">
        <v>6.7</v>
      </c>
      <c r="H625" t="n">
        <v>0</v>
      </c>
      <c r="I625" t="n">
        <v>0</v>
      </c>
      <c r="J625" t="n">
        <v>0</v>
      </c>
      <c r="K625" t="n">
        <v>0</v>
      </c>
      <c r="L625" t="n">
        <v>0</v>
      </c>
      <c r="M625" t="n">
        <v>0</v>
      </c>
      <c r="N625" t="n">
        <v>0</v>
      </c>
      <c r="O625" t="n">
        <v>0</v>
      </c>
      <c r="P625" t="n">
        <v>0</v>
      </c>
      <c r="Q625" t="n">
        <v>0</v>
      </c>
      <c r="R625" s="2" t="inlineStr"/>
    </row>
    <row r="626" ht="15" customHeight="1">
      <c r="A626" t="inlineStr">
        <is>
          <t>A 21071-2024</t>
        </is>
      </c>
      <c r="B626" s="1" t="n">
        <v>45439.8615625</v>
      </c>
      <c r="C626" s="1" t="n">
        <v>46083</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57194-2023</t>
        </is>
      </c>
      <c r="B627" s="1" t="n">
        <v>45245.47634259259</v>
      </c>
      <c r="C627" s="1" t="n">
        <v>46083</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61961-2022</t>
        </is>
      </c>
      <c r="B628" s="1" t="n">
        <v>44918</v>
      </c>
      <c r="C628" s="1" t="n">
        <v>46083</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60826-2023</t>
        </is>
      </c>
      <c r="B629" s="1" t="n">
        <v>45260.81440972222</v>
      </c>
      <c r="C629" s="1" t="n">
        <v>46083</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31849-2023</t>
        </is>
      </c>
      <c r="B630" s="1" t="n">
        <v>45118.58756944445</v>
      </c>
      <c r="C630" s="1" t="n">
        <v>46083</v>
      </c>
      <c r="D630" t="inlineStr">
        <is>
          <t>ÖSTERGÖTLANDS LÄN</t>
        </is>
      </c>
      <c r="E630" t="inlineStr">
        <is>
          <t>KINDA</t>
        </is>
      </c>
      <c r="G630" t="n">
        <v>3</v>
      </c>
      <c r="H630" t="n">
        <v>0</v>
      </c>
      <c r="I630" t="n">
        <v>0</v>
      </c>
      <c r="J630" t="n">
        <v>0</v>
      </c>
      <c r="K630" t="n">
        <v>0</v>
      </c>
      <c r="L630" t="n">
        <v>0</v>
      </c>
      <c r="M630" t="n">
        <v>0</v>
      </c>
      <c r="N630" t="n">
        <v>0</v>
      </c>
      <c r="O630" t="n">
        <v>0</v>
      </c>
      <c r="P630" t="n">
        <v>0</v>
      </c>
      <c r="Q630" t="n">
        <v>0</v>
      </c>
      <c r="R630" s="2" t="inlineStr"/>
    </row>
    <row r="631" ht="15" customHeight="1">
      <c r="A631" t="inlineStr">
        <is>
          <t>A 9465-2022</t>
        </is>
      </c>
      <c r="B631" s="1" t="n">
        <v>44616.78555555556</v>
      </c>
      <c r="C631" s="1" t="n">
        <v>46083</v>
      </c>
      <c r="D631" t="inlineStr">
        <is>
          <t>ÖSTERGÖTLANDS LÄN</t>
        </is>
      </c>
      <c r="E631" t="inlineStr">
        <is>
          <t>KINDA</t>
        </is>
      </c>
      <c r="G631" t="n">
        <v>1.9</v>
      </c>
      <c r="H631" t="n">
        <v>0</v>
      </c>
      <c r="I631" t="n">
        <v>0</v>
      </c>
      <c r="J631" t="n">
        <v>0</v>
      </c>
      <c r="K631" t="n">
        <v>0</v>
      </c>
      <c r="L631" t="n">
        <v>0</v>
      </c>
      <c r="M631" t="n">
        <v>0</v>
      </c>
      <c r="N631" t="n">
        <v>0</v>
      </c>
      <c r="O631" t="n">
        <v>0</v>
      </c>
      <c r="P631" t="n">
        <v>0</v>
      </c>
      <c r="Q631" t="n">
        <v>0</v>
      </c>
      <c r="R631" s="2" t="inlineStr"/>
    </row>
    <row r="632" ht="15" customHeight="1">
      <c r="A632" t="inlineStr">
        <is>
          <t>A 62491-2023</t>
        </is>
      </c>
      <c r="B632" s="1" t="n">
        <v>45267</v>
      </c>
      <c r="C632" s="1" t="n">
        <v>46083</v>
      </c>
      <c r="D632" t="inlineStr">
        <is>
          <t>ÖSTERGÖTLANDS LÄN</t>
        </is>
      </c>
      <c r="E632" t="inlineStr">
        <is>
          <t>KINDA</t>
        </is>
      </c>
      <c r="G632" t="n">
        <v>1</v>
      </c>
      <c r="H632" t="n">
        <v>0</v>
      </c>
      <c r="I632" t="n">
        <v>0</v>
      </c>
      <c r="J632" t="n">
        <v>0</v>
      </c>
      <c r="K632" t="n">
        <v>0</v>
      </c>
      <c r="L632" t="n">
        <v>0</v>
      </c>
      <c r="M632" t="n">
        <v>0</v>
      </c>
      <c r="N632" t="n">
        <v>0</v>
      </c>
      <c r="O632" t="n">
        <v>0</v>
      </c>
      <c r="P632" t="n">
        <v>0</v>
      </c>
      <c r="Q632" t="n">
        <v>0</v>
      </c>
      <c r="R632" s="2" t="inlineStr"/>
    </row>
    <row r="633" ht="15" customHeight="1">
      <c r="A633" t="inlineStr">
        <is>
          <t>A 35218-2023</t>
        </is>
      </c>
      <c r="B633" s="1" t="n">
        <v>45145.64796296296</v>
      </c>
      <c r="C633" s="1" t="n">
        <v>46083</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27648-2023</t>
        </is>
      </c>
      <c r="B634" s="1" t="n">
        <v>45097.68376157407</v>
      </c>
      <c r="C634" s="1" t="n">
        <v>46083</v>
      </c>
      <c r="D634" t="inlineStr">
        <is>
          <t>ÖSTERGÖTLANDS LÄN</t>
        </is>
      </c>
      <c r="E634" t="inlineStr">
        <is>
          <t>KINDA</t>
        </is>
      </c>
      <c r="G634" t="n">
        <v>0.9</v>
      </c>
      <c r="H634" t="n">
        <v>0</v>
      </c>
      <c r="I634" t="n">
        <v>0</v>
      </c>
      <c r="J634" t="n">
        <v>0</v>
      </c>
      <c r="K634" t="n">
        <v>0</v>
      </c>
      <c r="L634" t="n">
        <v>0</v>
      </c>
      <c r="M634" t="n">
        <v>0</v>
      </c>
      <c r="N634" t="n">
        <v>0</v>
      </c>
      <c r="O634" t="n">
        <v>0</v>
      </c>
      <c r="P634" t="n">
        <v>0</v>
      </c>
      <c r="Q634" t="n">
        <v>0</v>
      </c>
      <c r="R634" s="2" t="inlineStr"/>
    </row>
    <row r="635" ht="15" customHeight="1">
      <c r="A635" t="inlineStr">
        <is>
          <t>A 57457-2021</t>
        </is>
      </c>
      <c r="B635" s="1" t="n">
        <v>44483.65719907408</v>
      </c>
      <c r="C635" s="1" t="n">
        <v>46083</v>
      </c>
      <c r="D635" t="inlineStr">
        <is>
          <t>ÖSTERGÖTLANDS LÄN</t>
        </is>
      </c>
      <c r="E635" t="inlineStr">
        <is>
          <t>KINDA</t>
        </is>
      </c>
      <c r="G635" t="n">
        <v>0.9</v>
      </c>
      <c r="H635" t="n">
        <v>0</v>
      </c>
      <c r="I635" t="n">
        <v>0</v>
      </c>
      <c r="J635" t="n">
        <v>0</v>
      </c>
      <c r="K635" t="n">
        <v>0</v>
      </c>
      <c r="L635" t="n">
        <v>0</v>
      </c>
      <c r="M635" t="n">
        <v>0</v>
      </c>
      <c r="N635" t="n">
        <v>0</v>
      </c>
      <c r="O635" t="n">
        <v>0</v>
      </c>
      <c r="P635" t="n">
        <v>0</v>
      </c>
      <c r="Q635" t="n">
        <v>0</v>
      </c>
      <c r="R635" s="2" t="inlineStr"/>
    </row>
    <row r="636" ht="15" customHeight="1">
      <c r="A636" t="inlineStr">
        <is>
          <t>A 46704-2024</t>
        </is>
      </c>
      <c r="B636" s="1" t="n">
        <v>45583.44207175926</v>
      </c>
      <c r="C636" s="1" t="n">
        <v>46083</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16611-2023</t>
        </is>
      </c>
      <c r="B637" s="1" t="n">
        <v>45030</v>
      </c>
      <c r="C637" s="1" t="n">
        <v>46083</v>
      </c>
      <c r="D637" t="inlineStr">
        <is>
          <t>ÖSTERGÖTLANDS LÄN</t>
        </is>
      </c>
      <c r="E637" t="inlineStr">
        <is>
          <t>KINDA</t>
        </is>
      </c>
      <c r="G637" t="n">
        <v>4.3</v>
      </c>
      <c r="H637" t="n">
        <v>0</v>
      </c>
      <c r="I637" t="n">
        <v>0</v>
      </c>
      <c r="J637" t="n">
        <v>0</v>
      </c>
      <c r="K637" t="n">
        <v>0</v>
      </c>
      <c r="L637" t="n">
        <v>0</v>
      </c>
      <c r="M637" t="n">
        <v>0</v>
      </c>
      <c r="N637" t="n">
        <v>0</v>
      </c>
      <c r="O637" t="n">
        <v>0</v>
      </c>
      <c r="P637" t="n">
        <v>0</v>
      </c>
      <c r="Q637" t="n">
        <v>0</v>
      </c>
      <c r="R637" s="2" t="inlineStr"/>
    </row>
    <row r="638" ht="15" customHeight="1">
      <c r="A638" t="inlineStr">
        <is>
          <t>A 10823-2024</t>
        </is>
      </c>
      <c r="B638" s="1" t="n">
        <v>45369.67408564815</v>
      </c>
      <c r="C638" s="1" t="n">
        <v>46083</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43074-2024</t>
        </is>
      </c>
      <c r="B639" s="1" t="n">
        <v>45567.48658564815</v>
      </c>
      <c r="C639" s="1" t="n">
        <v>46083</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4368-2025</t>
        </is>
      </c>
      <c r="B640" s="1" t="n">
        <v>45686.34563657407</v>
      </c>
      <c r="C640" s="1" t="n">
        <v>46083</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46228-2024</t>
        </is>
      </c>
      <c r="B641" s="1" t="n">
        <v>45581.57662037037</v>
      </c>
      <c r="C641" s="1" t="n">
        <v>46083</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12269-2023</t>
        </is>
      </c>
      <c r="B642" s="1" t="n">
        <v>44998</v>
      </c>
      <c r="C642" s="1" t="n">
        <v>46083</v>
      </c>
      <c r="D642" t="inlineStr">
        <is>
          <t>ÖSTERGÖTLANDS LÄN</t>
        </is>
      </c>
      <c r="E642" t="inlineStr">
        <is>
          <t>KINDA</t>
        </is>
      </c>
      <c r="G642" t="n">
        <v>0.3</v>
      </c>
      <c r="H642" t="n">
        <v>0</v>
      </c>
      <c r="I642" t="n">
        <v>0</v>
      </c>
      <c r="J642" t="n">
        <v>0</v>
      </c>
      <c r="K642" t="n">
        <v>0</v>
      </c>
      <c r="L642" t="n">
        <v>0</v>
      </c>
      <c r="M642" t="n">
        <v>0</v>
      </c>
      <c r="N642" t="n">
        <v>0</v>
      </c>
      <c r="O642" t="n">
        <v>0</v>
      </c>
      <c r="P642" t="n">
        <v>0</v>
      </c>
      <c r="Q642" t="n">
        <v>0</v>
      </c>
      <c r="R642" s="2" t="inlineStr"/>
    </row>
    <row r="643" ht="15" customHeight="1">
      <c r="A643" t="inlineStr">
        <is>
          <t>A 51830-2024</t>
        </is>
      </c>
      <c r="B643" s="1" t="n">
        <v>45607.50465277778</v>
      </c>
      <c r="C643" s="1" t="n">
        <v>46083</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35213-2023</t>
        </is>
      </c>
      <c r="B644" s="1" t="n">
        <v>45145.63927083334</v>
      </c>
      <c r="C644" s="1" t="n">
        <v>46083</v>
      </c>
      <c r="D644" t="inlineStr">
        <is>
          <t>ÖSTERGÖTLANDS LÄN</t>
        </is>
      </c>
      <c r="E644" t="inlineStr">
        <is>
          <t>KINDA</t>
        </is>
      </c>
      <c r="G644" t="n">
        <v>2.4</v>
      </c>
      <c r="H644" t="n">
        <v>0</v>
      </c>
      <c r="I644" t="n">
        <v>0</v>
      </c>
      <c r="J644" t="n">
        <v>0</v>
      </c>
      <c r="K644" t="n">
        <v>0</v>
      </c>
      <c r="L644" t="n">
        <v>0</v>
      </c>
      <c r="M644" t="n">
        <v>0</v>
      </c>
      <c r="N644" t="n">
        <v>0</v>
      </c>
      <c r="O644" t="n">
        <v>0</v>
      </c>
      <c r="P644" t="n">
        <v>0</v>
      </c>
      <c r="Q644" t="n">
        <v>0</v>
      </c>
      <c r="R644" s="2" t="inlineStr"/>
    </row>
    <row r="645" ht="15" customHeight="1">
      <c r="A645" t="inlineStr">
        <is>
          <t>A 71098-2021</t>
        </is>
      </c>
      <c r="B645" s="1" t="n">
        <v>44539.34103009259</v>
      </c>
      <c r="C645" s="1" t="n">
        <v>46083</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7216-2023</t>
        </is>
      </c>
      <c r="B646" s="1" t="n">
        <v>44970.57682870371</v>
      </c>
      <c r="C646" s="1" t="n">
        <v>46083</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24454-2023</t>
        </is>
      </c>
      <c r="B647" s="1" t="n">
        <v>45082.55885416667</v>
      </c>
      <c r="C647" s="1" t="n">
        <v>46083</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4001-2025</t>
        </is>
      </c>
      <c r="B648" s="1" t="n">
        <v>45684.57195601852</v>
      </c>
      <c r="C648" s="1" t="n">
        <v>46083</v>
      </c>
      <c r="D648" t="inlineStr">
        <is>
          <t>ÖSTERGÖTLANDS LÄN</t>
        </is>
      </c>
      <c r="E648" t="inlineStr">
        <is>
          <t>KINDA</t>
        </is>
      </c>
      <c r="G648" t="n">
        <v>10.7</v>
      </c>
      <c r="H648" t="n">
        <v>0</v>
      </c>
      <c r="I648" t="n">
        <v>0</v>
      </c>
      <c r="J648" t="n">
        <v>0</v>
      </c>
      <c r="K648" t="n">
        <v>0</v>
      </c>
      <c r="L648" t="n">
        <v>0</v>
      </c>
      <c r="M648" t="n">
        <v>0</v>
      </c>
      <c r="N648" t="n">
        <v>0</v>
      </c>
      <c r="O648" t="n">
        <v>0</v>
      </c>
      <c r="P648" t="n">
        <v>0</v>
      </c>
      <c r="Q648" t="n">
        <v>0</v>
      </c>
      <c r="R648" s="2" t="inlineStr"/>
    </row>
    <row r="649" ht="15" customHeight="1">
      <c r="A649" t="inlineStr">
        <is>
          <t>A 44303-2023</t>
        </is>
      </c>
      <c r="B649" s="1" t="n">
        <v>45188.64319444444</v>
      </c>
      <c r="C649" s="1" t="n">
        <v>46083</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37831-2023</t>
        </is>
      </c>
      <c r="B650" s="1" t="n">
        <v>45160.3425</v>
      </c>
      <c r="C650" s="1" t="n">
        <v>46083</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57690-2021</t>
        </is>
      </c>
      <c r="B651" s="1" t="n">
        <v>44484</v>
      </c>
      <c r="C651" s="1" t="n">
        <v>46083</v>
      </c>
      <c r="D651" t="inlineStr">
        <is>
          <t>ÖSTERGÖTLANDS LÄN</t>
        </is>
      </c>
      <c r="E651" t="inlineStr">
        <is>
          <t>KINDA</t>
        </is>
      </c>
      <c r="G651" t="n">
        <v>2.1</v>
      </c>
      <c r="H651" t="n">
        <v>0</v>
      </c>
      <c r="I651" t="n">
        <v>0</v>
      </c>
      <c r="J651" t="n">
        <v>0</v>
      </c>
      <c r="K651" t="n">
        <v>0</v>
      </c>
      <c r="L651" t="n">
        <v>0</v>
      </c>
      <c r="M651" t="n">
        <v>0</v>
      </c>
      <c r="N651" t="n">
        <v>0</v>
      </c>
      <c r="O651" t="n">
        <v>0</v>
      </c>
      <c r="P651" t="n">
        <v>0</v>
      </c>
      <c r="Q651" t="n">
        <v>0</v>
      </c>
      <c r="R651" s="2" t="inlineStr"/>
    </row>
    <row r="652" ht="15" customHeight="1">
      <c r="A652" t="inlineStr">
        <is>
          <t>A 7749-2024</t>
        </is>
      </c>
      <c r="B652" s="1" t="n">
        <v>45349.48241898148</v>
      </c>
      <c r="C652" s="1" t="n">
        <v>46083</v>
      </c>
      <c r="D652" t="inlineStr">
        <is>
          <t>ÖSTERGÖTLANDS LÄN</t>
        </is>
      </c>
      <c r="E652" t="inlineStr">
        <is>
          <t>KINDA</t>
        </is>
      </c>
      <c r="F652" t="inlineStr">
        <is>
          <t>Övriga Aktiebolag</t>
        </is>
      </c>
      <c r="G652" t="n">
        <v>3.9</v>
      </c>
      <c r="H652" t="n">
        <v>0</v>
      </c>
      <c r="I652" t="n">
        <v>0</v>
      </c>
      <c r="J652" t="n">
        <v>0</v>
      </c>
      <c r="K652" t="n">
        <v>0</v>
      </c>
      <c r="L652" t="n">
        <v>0</v>
      </c>
      <c r="M652" t="n">
        <v>0</v>
      </c>
      <c r="N652" t="n">
        <v>0</v>
      </c>
      <c r="O652" t="n">
        <v>0</v>
      </c>
      <c r="P652" t="n">
        <v>0</v>
      </c>
      <c r="Q652" t="n">
        <v>0</v>
      </c>
      <c r="R652" s="2" t="inlineStr"/>
    </row>
    <row r="653" ht="15" customHeight="1">
      <c r="A653" t="inlineStr">
        <is>
          <t>A 2644-2025</t>
        </is>
      </c>
      <c r="B653" s="1" t="n">
        <v>45676</v>
      </c>
      <c r="C653" s="1" t="n">
        <v>46083</v>
      </c>
      <c r="D653" t="inlineStr">
        <is>
          <t>ÖSTERGÖTLANDS LÄN</t>
        </is>
      </c>
      <c r="E653" t="inlineStr">
        <is>
          <t>KINDA</t>
        </is>
      </c>
      <c r="G653" t="n">
        <v>1.6</v>
      </c>
      <c r="H653" t="n">
        <v>0</v>
      </c>
      <c r="I653" t="n">
        <v>0</v>
      </c>
      <c r="J653" t="n">
        <v>0</v>
      </c>
      <c r="K653" t="n">
        <v>0</v>
      </c>
      <c r="L653" t="n">
        <v>0</v>
      </c>
      <c r="M653" t="n">
        <v>0</v>
      </c>
      <c r="N653" t="n">
        <v>0</v>
      </c>
      <c r="O653" t="n">
        <v>0</v>
      </c>
      <c r="P653" t="n">
        <v>0</v>
      </c>
      <c r="Q653" t="n">
        <v>0</v>
      </c>
      <c r="R653" s="2" t="inlineStr"/>
    </row>
    <row r="654" ht="15" customHeight="1">
      <c r="A654" t="inlineStr">
        <is>
          <t>A 2645-2025</t>
        </is>
      </c>
      <c r="B654" s="1" t="n">
        <v>45676.49690972222</v>
      </c>
      <c r="C654" s="1" t="n">
        <v>46083</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17366-2023</t>
        </is>
      </c>
      <c r="B655" s="1" t="n">
        <v>45035</v>
      </c>
      <c r="C655" s="1" t="n">
        <v>46083</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57767-2022</t>
        </is>
      </c>
      <c r="B656" s="1" t="n">
        <v>44897.60309027778</v>
      </c>
      <c r="C656" s="1" t="n">
        <v>46083</v>
      </c>
      <c r="D656" t="inlineStr">
        <is>
          <t>ÖSTERGÖTLANDS LÄN</t>
        </is>
      </c>
      <c r="E656" t="inlineStr">
        <is>
          <t>KINDA</t>
        </is>
      </c>
      <c r="G656" t="n">
        <v>6</v>
      </c>
      <c r="H656" t="n">
        <v>0</v>
      </c>
      <c r="I656" t="n">
        <v>0</v>
      </c>
      <c r="J656" t="n">
        <v>0</v>
      </c>
      <c r="K656" t="n">
        <v>0</v>
      </c>
      <c r="L656" t="n">
        <v>0</v>
      </c>
      <c r="M656" t="n">
        <v>0</v>
      </c>
      <c r="N656" t="n">
        <v>0</v>
      </c>
      <c r="O656" t="n">
        <v>0</v>
      </c>
      <c r="P656" t="n">
        <v>0</v>
      </c>
      <c r="Q656" t="n">
        <v>0</v>
      </c>
      <c r="R656" s="2" t="inlineStr"/>
    </row>
    <row r="657" ht="15" customHeight="1">
      <c r="A657" t="inlineStr">
        <is>
          <t>A 19545-2023</t>
        </is>
      </c>
      <c r="B657" s="1" t="n">
        <v>45049</v>
      </c>
      <c r="C657" s="1" t="n">
        <v>46083</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4731-2025</t>
        </is>
      </c>
      <c r="B658" s="1" t="n">
        <v>45688.43620370371</v>
      </c>
      <c r="C658" s="1" t="n">
        <v>46083</v>
      </c>
      <c r="D658" t="inlineStr">
        <is>
          <t>ÖSTERGÖTLANDS LÄN</t>
        </is>
      </c>
      <c r="E658" t="inlineStr">
        <is>
          <t>KINDA</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12016-2021</t>
        </is>
      </c>
      <c r="B659" s="1" t="n">
        <v>44266.44692129629</v>
      </c>
      <c r="C659" s="1" t="n">
        <v>46083</v>
      </c>
      <c r="D659" t="inlineStr">
        <is>
          <t>ÖSTERGÖTLANDS LÄN</t>
        </is>
      </c>
      <c r="E659" t="inlineStr">
        <is>
          <t>KINDA</t>
        </is>
      </c>
      <c r="G659" t="n">
        <v>3.7</v>
      </c>
      <c r="H659" t="n">
        <v>0</v>
      </c>
      <c r="I659" t="n">
        <v>0</v>
      </c>
      <c r="J659" t="n">
        <v>0</v>
      </c>
      <c r="K659" t="n">
        <v>0</v>
      </c>
      <c r="L659" t="n">
        <v>0</v>
      </c>
      <c r="M659" t="n">
        <v>0</v>
      </c>
      <c r="N659" t="n">
        <v>0</v>
      </c>
      <c r="O659" t="n">
        <v>0</v>
      </c>
      <c r="P659" t="n">
        <v>0</v>
      </c>
      <c r="Q659" t="n">
        <v>0</v>
      </c>
      <c r="R659" s="2" t="inlineStr"/>
    </row>
    <row r="660" ht="15" customHeight="1">
      <c r="A660" t="inlineStr">
        <is>
          <t>A 61987-2023</t>
        </is>
      </c>
      <c r="B660" s="1" t="n">
        <v>45266.61387731481</v>
      </c>
      <c r="C660" s="1" t="n">
        <v>46083</v>
      </c>
      <c r="D660" t="inlineStr">
        <is>
          <t>ÖSTERGÖTLANDS LÄN</t>
        </is>
      </c>
      <c r="E660" t="inlineStr">
        <is>
          <t>KINDA</t>
        </is>
      </c>
      <c r="G660" t="n">
        <v>1.3</v>
      </c>
      <c r="H660" t="n">
        <v>0</v>
      </c>
      <c r="I660" t="n">
        <v>0</v>
      </c>
      <c r="J660" t="n">
        <v>0</v>
      </c>
      <c r="K660" t="n">
        <v>0</v>
      </c>
      <c r="L660" t="n">
        <v>0</v>
      </c>
      <c r="M660" t="n">
        <v>0</v>
      </c>
      <c r="N660" t="n">
        <v>0</v>
      </c>
      <c r="O660" t="n">
        <v>0</v>
      </c>
      <c r="P660" t="n">
        <v>0</v>
      </c>
      <c r="Q660" t="n">
        <v>0</v>
      </c>
      <c r="R660" s="2" t="inlineStr"/>
    </row>
    <row r="661" ht="15" customHeight="1">
      <c r="A661" t="inlineStr">
        <is>
          <t>A 22703-2023</t>
        </is>
      </c>
      <c r="B661" s="1" t="n">
        <v>45071</v>
      </c>
      <c r="C661" s="1" t="n">
        <v>46083</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15303-2024</t>
        </is>
      </c>
      <c r="B662" s="1" t="n">
        <v>45400</v>
      </c>
      <c r="C662" s="1" t="n">
        <v>46083</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9568-2023</t>
        </is>
      </c>
      <c r="B663" s="1" t="n">
        <v>44982.5037962963</v>
      </c>
      <c r="C663" s="1" t="n">
        <v>46083</v>
      </c>
      <c r="D663" t="inlineStr">
        <is>
          <t>ÖSTERGÖTLANDS LÄN</t>
        </is>
      </c>
      <c r="E663" t="inlineStr">
        <is>
          <t>KINDA</t>
        </is>
      </c>
      <c r="G663" t="n">
        <v>3</v>
      </c>
      <c r="H663" t="n">
        <v>0</v>
      </c>
      <c r="I663" t="n">
        <v>0</v>
      </c>
      <c r="J663" t="n">
        <v>0</v>
      </c>
      <c r="K663" t="n">
        <v>0</v>
      </c>
      <c r="L663" t="n">
        <v>0</v>
      </c>
      <c r="M663" t="n">
        <v>0</v>
      </c>
      <c r="N663" t="n">
        <v>0</v>
      </c>
      <c r="O663" t="n">
        <v>0</v>
      </c>
      <c r="P663" t="n">
        <v>0</v>
      </c>
      <c r="Q663" t="n">
        <v>0</v>
      </c>
      <c r="R663" s="2" t="inlineStr"/>
    </row>
    <row r="664" ht="15" customHeight="1">
      <c r="A664" t="inlineStr">
        <is>
          <t>A 6403-2025</t>
        </is>
      </c>
      <c r="B664" s="1" t="n">
        <v>45699.45127314814</v>
      </c>
      <c r="C664" s="1" t="n">
        <v>46083</v>
      </c>
      <c r="D664" t="inlineStr">
        <is>
          <t>ÖSTERGÖTLANDS LÄN</t>
        </is>
      </c>
      <c r="E664" t="inlineStr">
        <is>
          <t>KINDA</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6410-2025</t>
        </is>
      </c>
      <c r="B665" s="1" t="n">
        <v>45699.4584837963</v>
      </c>
      <c r="C665" s="1" t="n">
        <v>46083</v>
      </c>
      <c r="D665" t="inlineStr">
        <is>
          <t>ÖSTERGÖTLANDS LÄN</t>
        </is>
      </c>
      <c r="E665" t="inlineStr">
        <is>
          <t>KINDA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25626-2022</t>
        </is>
      </c>
      <c r="B666" s="1" t="n">
        <v>44732</v>
      </c>
      <c r="C666" s="1" t="n">
        <v>46083</v>
      </c>
      <c r="D666" t="inlineStr">
        <is>
          <t>ÖSTERGÖTLANDS LÄN</t>
        </is>
      </c>
      <c r="E666" t="inlineStr">
        <is>
          <t>KINDA</t>
        </is>
      </c>
      <c r="G666" t="n">
        <v>7</v>
      </c>
      <c r="H666" t="n">
        <v>0</v>
      </c>
      <c r="I666" t="n">
        <v>0</v>
      </c>
      <c r="J666" t="n">
        <v>0</v>
      </c>
      <c r="K666" t="n">
        <v>0</v>
      </c>
      <c r="L666" t="n">
        <v>0</v>
      </c>
      <c r="M666" t="n">
        <v>0</v>
      </c>
      <c r="N666" t="n">
        <v>0</v>
      </c>
      <c r="O666" t="n">
        <v>0</v>
      </c>
      <c r="P666" t="n">
        <v>0</v>
      </c>
      <c r="Q666" t="n">
        <v>0</v>
      </c>
      <c r="R666" s="2" t="inlineStr"/>
    </row>
    <row r="667" ht="15" customHeight="1">
      <c r="A667" t="inlineStr">
        <is>
          <t>A 2966-2024</t>
        </is>
      </c>
      <c r="B667" s="1" t="n">
        <v>45315.66575231482</v>
      </c>
      <c r="C667" s="1" t="n">
        <v>46083</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52991-2023</t>
        </is>
      </c>
      <c r="B668" s="1" t="n">
        <v>45226.62546296296</v>
      </c>
      <c r="C668" s="1" t="n">
        <v>46083</v>
      </c>
      <c r="D668" t="inlineStr">
        <is>
          <t>ÖSTERGÖTLANDS LÄN</t>
        </is>
      </c>
      <c r="E668" t="inlineStr">
        <is>
          <t>KINDA</t>
        </is>
      </c>
      <c r="G668" t="n">
        <v>3.8</v>
      </c>
      <c r="H668" t="n">
        <v>0</v>
      </c>
      <c r="I668" t="n">
        <v>0</v>
      </c>
      <c r="J668" t="n">
        <v>0</v>
      </c>
      <c r="K668" t="n">
        <v>0</v>
      </c>
      <c r="L668" t="n">
        <v>0</v>
      </c>
      <c r="M668" t="n">
        <v>0</v>
      </c>
      <c r="N668" t="n">
        <v>0</v>
      </c>
      <c r="O668" t="n">
        <v>0</v>
      </c>
      <c r="P668" t="n">
        <v>0</v>
      </c>
      <c r="Q668" t="n">
        <v>0</v>
      </c>
      <c r="R668" s="2" t="inlineStr"/>
    </row>
    <row r="669" ht="15" customHeight="1">
      <c r="A669" t="inlineStr">
        <is>
          <t>A 15271-2021</t>
        </is>
      </c>
      <c r="B669" s="1" t="n">
        <v>44284.57011574074</v>
      </c>
      <c r="C669" s="1" t="n">
        <v>46083</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3820-2024</t>
        </is>
      </c>
      <c r="B670" s="1" t="n">
        <v>45321.70762731481</v>
      </c>
      <c r="C670" s="1" t="n">
        <v>46083</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42084-2024</t>
        </is>
      </c>
      <c r="B671" s="1" t="n">
        <v>45562.3316087963</v>
      </c>
      <c r="C671" s="1" t="n">
        <v>46083</v>
      </c>
      <c r="D671" t="inlineStr">
        <is>
          <t>ÖSTERGÖTLANDS LÄN</t>
        </is>
      </c>
      <c r="E671" t="inlineStr">
        <is>
          <t>KINDA</t>
        </is>
      </c>
      <c r="G671" t="n">
        <v>1</v>
      </c>
      <c r="H671" t="n">
        <v>0</v>
      </c>
      <c r="I671" t="n">
        <v>0</v>
      </c>
      <c r="J671" t="n">
        <v>0</v>
      </c>
      <c r="K671" t="n">
        <v>0</v>
      </c>
      <c r="L671" t="n">
        <v>0</v>
      </c>
      <c r="M671" t="n">
        <v>0</v>
      </c>
      <c r="N671" t="n">
        <v>0</v>
      </c>
      <c r="O671" t="n">
        <v>0</v>
      </c>
      <c r="P671" t="n">
        <v>0</v>
      </c>
      <c r="Q671" t="n">
        <v>0</v>
      </c>
      <c r="R671" s="2" t="inlineStr"/>
    </row>
    <row r="672" ht="15" customHeight="1">
      <c r="A672" t="inlineStr">
        <is>
          <t>A 29726-2022</t>
        </is>
      </c>
      <c r="B672" s="1" t="n">
        <v>44755.45060185185</v>
      </c>
      <c r="C672" s="1" t="n">
        <v>46083</v>
      </c>
      <c r="D672" t="inlineStr">
        <is>
          <t>ÖSTERGÖTLANDS LÄN</t>
        </is>
      </c>
      <c r="E672" t="inlineStr">
        <is>
          <t>KINDA</t>
        </is>
      </c>
      <c r="G672" t="n">
        <v>1.2</v>
      </c>
      <c r="H672" t="n">
        <v>0</v>
      </c>
      <c r="I672" t="n">
        <v>0</v>
      </c>
      <c r="J672" t="n">
        <v>0</v>
      </c>
      <c r="K672" t="n">
        <v>0</v>
      </c>
      <c r="L672" t="n">
        <v>0</v>
      </c>
      <c r="M672" t="n">
        <v>0</v>
      </c>
      <c r="N672" t="n">
        <v>0</v>
      </c>
      <c r="O672" t="n">
        <v>0</v>
      </c>
      <c r="P672" t="n">
        <v>0</v>
      </c>
      <c r="Q672" t="n">
        <v>0</v>
      </c>
      <c r="R672" s="2" t="inlineStr"/>
    </row>
    <row r="673" ht="15" customHeight="1">
      <c r="A673" t="inlineStr">
        <is>
          <t>A 37196-2024</t>
        </is>
      </c>
      <c r="B673" s="1" t="n">
        <v>45539.66679398148</v>
      </c>
      <c r="C673" s="1" t="n">
        <v>46083</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22048-2021</t>
        </is>
      </c>
      <c r="B674" s="1" t="n">
        <v>44323</v>
      </c>
      <c r="C674" s="1" t="n">
        <v>46083</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9203-2023</t>
        </is>
      </c>
      <c r="B675" s="1" t="n">
        <v>44977</v>
      </c>
      <c r="C675" s="1" t="n">
        <v>46083</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39242-2024</t>
        </is>
      </c>
      <c r="B676" s="1" t="n">
        <v>45551.28467592593</v>
      </c>
      <c r="C676" s="1" t="n">
        <v>46083</v>
      </c>
      <c r="D676" t="inlineStr">
        <is>
          <t>ÖSTERGÖTLANDS LÄN</t>
        </is>
      </c>
      <c r="E676" t="inlineStr">
        <is>
          <t>KINDA</t>
        </is>
      </c>
      <c r="G676" t="n">
        <v>3.9</v>
      </c>
      <c r="H676" t="n">
        <v>0</v>
      </c>
      <c r="I676" t="n">
        <v>0</v>
      </c>
      <c r="J676" t="n">
        <v>0</v>
      </c>
      <c r="K676" t="n">
        <v>0</v>
      </c>
      <c r="L676" t="n">
        <v>0</v>
      </c>
      <c r="M676" t="n">
        <v>0</v>
      </c>
      <c r="N676" t="n">
        <v>0</v>
      </c>
      <c r="O676" t="n">
        <v>0</v>
      </c>
      <c r="P676" t="n">
        <v>0</v>
      </c>
      <c r="Q676" t="n">
        <v>0</v>
      </c>
      <c r="R676" s="2" t="inlineStr"/>
    </row>
    <row r="677" ht="15" customHeight="1">
      <c r="A677" t="inlineStr">
        <is>
          <t>A 3907-2023</t>
        </is>
      </c>
      <c r="B677" s="1" t="n">
        <v>44952.00760416667</v>
      </c>
      <c r="C677" s="1" t="n">
        <v>46083</v>
      </c>
      <c r="D677" t="inlineStr">
        <is>
          <t>ÖSTERGÖTLANDS LÄN</t>
        </is>
      </c>
      <c r="E677" t="inlineStr">
        <is>
          <t>KINDA</t>
        </is>
      </c>
      <c r="G677" t="n">
        <v>0.8</v>
      </c>
      <c r="H677" t="n">
        <v>0</v>
      </c>
      <c r="I677" t="n">
        <v>0</v>
      </c>
      <c r="J677" t="n">
        <v>0</v>
      </c>
      <c r="K677" t="n">
        <v>0</v>
      </c>
      <c r="L677" t="n">
        <v>0</v>
      </c>
      <c r="M677" t="n">
        <v>0</v>
      </c>
      <c r="N677" t="n">
        <v>0</v>
      </c>
      <c r="O677" t="n">
        <v>0</v>
      </c>
      <c r="P677" t="n">
        <v>0</v>
      </c>
      <c r="Q677" t="n">
        <v>0</v>
      </c>
      <c r="R677" s="2" t="inlineStr"/>
    </row>
    <row r="678" ht="15" customHeight="1">
      <c r="A678" t="inlineStr">
        <is>
          <t>A 46925-2023</t>
        </is>
      </c>
      <c r="B678" s="1" t="n">
        <v>45201.40716435185</v>
      </c>
      <c r="C678" s="1" t="n">
        <v>46083</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8228-2025</t>
        </is>
      </c>
      <c r="B679" s="1" t="n">
        <v>45708.46913194445</v>
      </c>
      <c r="C679" s="1" t="n">
        <v>46083</v>
      </c>
      <c r="D679" t="inlineStr">
        <is>
          <t>ÖSTERGÖTLANDS LÄN</t>
        </is>
      </c>
      <c r="E679" t="inlineStr">
        <is>
          <t>KINDA</t>
        </is>
      </c>
      <c r="G679" t="n">
        <v>4.8</v>
      </c>
      <c r="H679" t="n">
        <v>0</v>
      </c>
      <c r="I679" t="n">
        <v>0</v>
      </c>
      <c r="J679" t="n">
        <v>0</v>
      </c>
      <c r="K679" t="n">
        <v>0</v>
      </c>
      <c r="L679" t="n">
        <v>0</v>
      </c>
      <c r="M679" t="n">
        <v>0</v>
      </c>
      <c r="N679" t="n">
        <v>0</v>
      </c>
      <c r="O679" t="n">
        <v>0</v>
      </c>
      <c r="P679" t="n">
        <v>0</v>
      </c>
      <c r="Q679" t="n">
        <v>0</v>
      </c>
      <c r="R679" s="2" t="inlineStr"/>
    </row>
    <row r="680" ht="15" customHeight="1">
      <c r="A680" t="inlineStr">
        <is>
          <t>A 8229-2025</t>
        </is>
      </c>
      <c r="B680" s="1" t="n">
        <v>45708.46960648148</v>
      </c>
      <c r="C680" s="1" t="n">
        <v>46083</v>
      </c>
      <c r="D680" t="inlineStr">
        <is>
          <t>ÖSTERGÖTLANDS LÄN</t>
        </is>
      </c>
      <c r="E680" t="inlineStr">
        <is>
          <t>KINDA</t>
        </is>
      </c>
      <c r="G680" t="n">
        <v>2.8</v>
      </c>
      <c r="H680" t="n">
        <v>0</v>
      </c>
      <c r="I680" t="n">
        <v>0</v>
      </c>
      <c r="J680" t="n">
        <v>0</v>
      </c>
      <c r="K680" t="n">
        <v>0</v>
      </c>
      <c r="L680" t="n">
        <v>0</v>
      </c>
      <c r="M680" t="n">
        <v>0</v>
      </c>
      <c r="N680" t="n">
        <v>0</v>
      </c>
      <c r="O680" t="n">
        <v>0</v>
      </c>
      <c r="P680" t="n">
        <v>0</v>
      </c>
      <c r="Q680" t="n">
        <v>0</v>
      </c>
      <c r="R680" s="2" t="inlineStr"/>
    </row>
    <row r="681" ht="15" customHeight="1">
      <c r="A681" t="inlineStr">
        <is>
          <t>A 32978-2024</t>
        </is>
      </c>
      <c r="B681" s="1" t="n">
        <v>45517.44506944445</v>
      </c>
      <c r="C681" s="1" t="n">
        <v>46083</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4555-2023</t>
        </is>
      </c>
      <c r="B682" s="1" t="n">
        <v>44956</v>
      </c>
      <c r="C682" s="1" t="n">
        <v>46083</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46083</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3911-2023</t>
        </is>
      </c>
      <c r="B684" s="1" t="n">
        <v>44952</v>
      </c>
      <c r="C684" s="1" t="n">
        <v>46083</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38596-2023</t>
        </is>
      </c>
      <c r="B685" s="1" t="n">
        <v>45162</v>
      </c>
      <c r="C685" s="1" t="n">
        <v>46083</v>
      </c>
      <c r="D685" t="inlineStr">
        <is>
          <t>ÖSTERGÖTLANDS LÄN</t>
        </is>
      </c>
      <c r="E685" t="inlineStr">
        <is>
          <t>KINDA</t>
        </is>
      </c>
      <c r="F685" t="inlineStr">
        <is>
          <t>Allmännings- och besparingsskogar</t>
        </is>
      </c>
      <c r="G685" t="n">
        <v>12.2</v>
      </c>
      <c r="H685" t="n">
        <v>0</v>
      </c>
      <c r="I685" t="n">
        <v>0</v>
      </c>
      <c r="J685" t="n">
        <v>0</v>
      </c>
      <c r="K685" t="n">
        <v>0</v>
      </c>
      <c r="L685" t="n">
        <v>0</v>
      </c>
      <c r="M685" t="n">
        <v>0</v>
      </c>
      <c r="N685" t="n">
        <v>0</v>
      </c>
      <c r="O685" t="n">
        <v>0</v>
      </c>
      <c r="P685" t="n">
        <v>0</v>
      </c>
      <c r="Q685" t="n">
        <v>0</v>
      </c>
      <c r="R685" s="2" t="inlineStr"/>
    </row>
    <row r="686" ht="15" customHeight="1">
      <c r="A686" t="inlineStr">
        <is>
          <t>A 61955-2022</t>
        </is>
      </c>
      <c r="B686" s="1" t="n">
        <v>44918.3396875</v>
      </c>
      <c r="C686" s="1" t="n">
        <v>46083</v>
      </c>
      <c r="D686" t="inlineStr">
        <is>
          <t>ÖSTERGÖTLANDS LÄN</t>
        </is>
      </c>
      <c r="E686" t="inlineStr">
        <is>
          <t>KINDA</t>
        </is>
      </c>
      <c r="G686" t="n">
        <v>6.4</v>
      </c>
      <c r="H686" t="n">
        <v>0</v>
      </c>
      <c r="I686" t="n">
        <v>0</v>
      </c>
      <c r="J686" t="n">
        <v>0</v>
      </c>
      <c r="K686" t="n">
        <v>0</v>
      </c>
      <c r="L686" t="n">
        <v>0</v>
      </c>
      <c r="M686" t="n">
        <v>0</v>
      </c>
      <c r="N686" t="n">
        <v>0</v>
      </c>
      <c r="O686" t="n">
        <v>0</v>
      </c>
      <c r="P686" t="n">
        <v>0</v>
      </c>
      <c r="Q686" t="n">
        <v>0</v>
      </c>
      <c r="R686" s="2" t="inlineStr"/>
    </row>
    <row r="687" ht="15" customHeight="1">
      <c r="A687" t="inlineStr">
        <is>
          <t>A 13968-2023</t>
        </is>
      </c>
      <c r="B687" s="1" t="n">
        <v>45008</v>
      </c>
      <c r="C687" s="1" t="n">
        <v>46083</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57987-2024</t>
        </is>
      </c>
      <c r="B688" s="1" t="n">
        <v>45631.62002314815</v>
      </c>
      <c r="C688" s="1" t="n">
        <v>46083</v>
      </c>
      <c r="D688" t="inlineStr">
        <is>
          <t>ÖSTERGÖTLANDS LÄN</t>
        </is>
      </c>
      <c r="E688" t="inlineStr">
        <is>
          <t>KINDA</t>
        </is>
      </c>
      <c r="G688" t="n">
        <v>0.7</v>
      </c>
      <c r="H688" t="n">
        <v>0</v>
      </c>
      <c r="I688" t="n">
        <v>0</v>
      </c>
      <c r="J688" t="n">
        <v>0</v>
      </c>
      <c r="K688" t="n">
        <v>0</v>
      </c>
      <c r="L688" t="n">
        <v>0</v>
      </c>
      <c r="M688" t="n">
        <v>0</v>
      </c>
      <c r="N688" t="n">
        <v>0</v>
      </c>
      <c r="O688" t="n">
        <v>0</v>
      </c>
      <c r="P688" t="n">
        <v>0</v>
      </c>
      <c r="Q688" t="n">
        <v>0</v>
      </c>
      <c r="R688" s="2" t="inlineStr"/>
    </row>
    <row r="689" ht="15" customHeight="1">
      <c r="A689" t="inlineStr">
        <is>
          <t>A 32610-2023</t>
        </is>
      </c>
      <c r="B689" s="1" t="n">
        <v>45111</v>
      </c>
      <c r="C689" s="1" t="n">
        <v>46083</v>
      </c>
      <c r="D689" t="inlineStr">
        <is>
          <t>ÖSTERGÖTLANDS LÄN</t>
        </is>
      </c>
      <c r="E689" t="inlineStr">
        <is>
          <t>KINDA</t>
        </is>
      </c>
      <c r="G689" t="n">
        <v>8.9</v>
      </c>
      <c r="H689" t="n">
        <v>0</v>
      </c>
      <c r="I689" t="n">
        <v>0</v>
      </c>
      <c r="J689" t="n">
        <v>0</v>
      </c>
      <c r="K689" t="n">
        <v>0</v>
      </c>
      <c r="L689" t="n">
        <v>0</v>
      </c>
      <c r="M689" t="n">
        <v>0</v>
      </c>
      <c r="N689" t="n">
        <v>0</v>
      </c>
      <c r="O689" t="n">
        <v>0</v>
      </c>
      <c r="P689" t="n">
        <v>0</v>
      </c>
      <c r="Q689" t="n">
        <v>0</v>
      </c>
      <c r="R689" s="2" t="inlineStr"/>
    </row>
    <row r="690" ht="15" customHeight="1">
      <c r="A690" t="inlineStr">
        <is>
          <t>A 343-2025</t>
        </is>
      </c>
      <c r="B690" s="1" t="n">
        <v>45660.71824074074</v>
      </c>
      <c r="C690" s="1" t="n">
        <v>46083</v>
      </c>
      <c r="D690" t="inlineStr">
        <is>
          <t>ÖSTERGÖTLANDS LÄN</t>
        </is>
      </c>
      <c r="E690" t="inlineStr">
        <is>
          <t>KINDA</t>
        </is>
      </c>
      <c r="G690" t="n">
        <v>0.6</v>
      </c>
      <c r="H690" t="n">
        <v>0</v>
      </c>
      <c r="I690" t="n">
        <v>0</v>
      </c>
      <c r="J690" t="n">
        <v>0</v>
      </c>
      <c r="K690" t="n">
        <v>0</v>
      </c>
      <c r="L690" t="n">
        <v>0</v>
      </c>
      <c r="M690" t="n">
        <v>0</v>
      </c>
      <c r="N690" t="n">
        <v>0</v>
      </c>
      <c r="O690" t="n">
        <v>0</v>
      </c>
      <c r="P690" t="n">
        <v>0</v>
      </c>
      <c r="Q690" t="n">
        <v>0</v>
      </c>
      <c r="R690" s="2" t="inlineStr"/>
    </row>
    <row r="691" ht="15" customHeight="1">
      <c r="A691" t="inlineStr">
        <is>
          <t>A 19645-2025</t>
        </is>
      </c>
      <c r="B691" s="1" t="n">
        <v>45770.65983796296</v>
      </c>
      <c r="C691" s="1" t="n">
        <v>46083</v>
      </c>
      <c r="D691" t="inlineStr">
        <is>
          <t>ÖSTERGÖTLANDS LÄN</t>
        </is>
      </c>
      <c r="E691" t="inlineStr">
        <is>
          <t>KINDA</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20701-2025</t>
        </is>
      </c>
      <c r="B692" s="1" t="n">
        <v>45776.47818287037</v>
      </c>
      <c r="C692" s="1" t="n">
        <v>46083</v>
      </c>
      <c r="D692" t="inlineStr">
        <is>
          <t>ÖSTERGÖTLANDS LÄN</t>
        </is>
      </c>
      <c r="E692" t="inlineStr">
        <is>
          <t>KINDA</t>
        </is>
      </c>
      <c r="G692" t="n">
        <v>1.9</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46083</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46083</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21049-2025</t>
        </is>
      </c>
      <c r="B695" s="1" t="n">
        <v>45777.55960648148</v>
      </c>
      <c r="C695" s="1" t="n">
        <v>46083</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ht="15" customHeight="1">
      <c r="A696" t="inlineStr">
        <is>
          <t>A 20997-2025</t>
        </is>
      </c>
      <c r="B696" s="1" t="n">
        <v>45777.48113425926</v>
      </c>
      <c r="C696" s="1" t="n">
        <v>46083</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46083</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9615-2024</t>
        </is>
      </c>
      <c r="B698" s="1" t="n">
        <v>45361.75074074074</v>
      </c>
      <c r="C698" s="1" t="n">
        <v>46083</v>
      </c>
      <c r="D698" t="inlineStr">
        <is>
          <t>ÖSTERGÖTLANDS LÄN</t>
        </is>
      </c>
      <c r="E698" t="inlineStr">
        <is>
          <t>KINDA</t>
        </is>
      </c>
      <c r="G698" t="n">
        <v>2.2</v>
      </c>
      <c r="H698" t="n">
        <v>0</v>
      </c>
      <c r="I698" t="n">
        <v>0</v>
      </c>
      <c r="J698" t="n">
        <v>0</v>
      </c>
      <c r="K698" t="n">
        <v>0</v>
      </c>
      <c r="L698" t="n">
        <v>0</v>
      </c>
      <c r="M698" t="n">
        <v>0</v>
      </c>
      <c r="N698" t="n">
        <v>0</v>
      </c>
      <c r="O698" t="n">
        <v>0</v>
      </c>
      <c r="P698" t="n">
        <v>0</v>
      </c>
      <c r="Q698" t="n">
        <v>0</v>
      </c>
      <c r="R698" s="2" t="inlineStr"/>
    </row>
    <row r="699" ht="15" customHeight="1">
      <c r="A699" t="inlineStr">
        <is>
          <t>A 10621-2023</t>
        </is>
      </c>
      <c r="B699" s="1" t="n">
        <v>44988</v>
      </c>
      <c r="C699" s="1" t="n">
        <v>46083</v>
      </c>
      <c r="D699" t="inlineStr">
        <is>
          <t>ÖSTERGÖTLANDS LÄN</t>
        </is>
      </c>
      <c r="E699" t="inlineStr">
        <is>
          <t>KINDA</t>
        </is>
      </c>
      <c r="G699" t="n">
        <v>1.1</v>
      </c>
      <c r="H699" t="n">
        <v>0</v>
      </c>
      <c r="I699" t="n">
        <v>0</v>
      </c>
      <c r="J699" t="n">
        <v>0</v>
      </c>
      <c r="K699" t="n">
        <v>0</v>
      </c>
      <c r="L699" t="n">
        <v>0</v>
      </c>
      <c r="M699" t="n">
        <v>0</v>
      </c>
      <c r="N699" t="n">
        <v>0</v>
      </c>
      <c r="O699" t="n">
        <v>0</v>
      </c>
      <c r="P699" t="n">
        <v>0</v>
      </c>
      <c r="Q699" t="n">
        <v>0</v>
      </c>
      <c r="R699" s="2" t="inlineStr"/>
    </row>
    <row r="700" ht="15" customHeight="1">
      <c r="A700" t="inlineStr">
        <is>
          <t>A 22473-2025</t>
        </is>
      </c>
      <c r="B700" s="1" t="n">
        <v>45786.62056712963</v>
      </c>
      <c r="C700" s="1" t="n">
        <v>46083</v>
      </c>
      <c r="D700" t="inlineStr">
        <is>
          <t>ÖSTERGÖTLANDS LÄN</t>
        </is>
      </c>
      <c r="E700" t="inlineStr">
        <is>
          <t>KINDA</t>
        </is>
      </c>
      <c r="G700" t="n">
        <v>3.1</v>
      </c>
      <c r="H700" t="n">
        <v>0</v>
      </c>
      <c r="I700" t="n">
        <v>0</v>
      </c>
      <c r="J700" t="n">
        <v>0</v>
      </c>
      <c r="K700" t="n">
        <v>0</v>
      </c>
      <c r="L700" t="n">
        <v>0</v>
      </c>
      <c r="M700" t="n">
        <v>0</v>
      </c>
      <c r="N700" t="n">
        <v>0</v>
      </c>
      <c r="O700" t="n">
        <v>0</v>
      </c>
      <c r="P700" t="n">
        <v>0</v>
      </c>
      <c r="Q700" t="n">
        <v>0</v>
      </c>
      <c r="R700" s="2" t="inlineStr"/>
    </row>
    <row r="701" ht="15" customHeight="1">
      <c r="A701" t="inlineStr">
        <is>
          <t>A 17047-2025</t>
        </is>
      </c>
      <c r="B701" s="1" t="n">
        <v>45755.59559027778</v>
      </c>
      <c r="C701" s="1" t="n">
        <v>46083</v>
      </c>
      <c r="D701" t="inlineStr">
        <is>
          <t>ÖSTERGÖTLANDS LÄN</t>
        </is>
      </c>
      <c r="E701" t="inlineStr">
        <is>
          <t>KINDA</t>
        </is>
      </c>
      <c r="G701" t="n">
        <v>2.4</v>
      </c>
      <c r="H701" t="n">
        <v>0</v>
      </c>
      <c r="I701" t="n">
        <v>0</v>
      </c>
      <c r="J701" t="n">
        <v>0</v>
      </c>
      <c r="K701" t="n">
        <v>0</v>
      </c>
      <c r="L701" t="n">
        <v>0</v>
      </c>
      <c r="M701" t="n">
        <v>0</v>
      </c>
      <c r="N701" t="n">
        <v>0</v>
      </c>
      <c r="O701" t="n">
        <v>0</v>
      </c>
      <c r="P701" t="n">
        <v>0</v>
      </c>
      <c r="Q701" t="n">
        <v>0</v>
      </c>
      <c r="R701" s="2" t="inlineStr"/>
    </row>
    <row r="702" ht="15" customHeight="1">
      <c r="A702" t="inlineStr">
        <is>
          <t>A 17046-2025</t>
        </is>
      </c>
      <c r="B702" s="1" t="n">
        <v>45755.59457175926</v>
      </c>
      <c r="C702" s="1" t="n">
        <v>46083</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58289-2024</t>
        </is>
      </c>
      <c r="B703" s="1" t="n">
        <v>45632.59153935185</v>
      </c>
      <c r="C703" s="1" t="n">
        <v>46083</v>
      </c>
      <c r="D703" t="inlineStr">
        <is>
          <t>ÖSTERGÖTLANDS LÄN</t>
        </is>
      </c>
      <c r="E703" t="inlineStr">
        <is>
          <t>KINDA</t>
        </is>
      </c>
      <c r="G703" t="n">
        <v>4.4</v>
      </c>
      <c r="H703" t="n">
        <v>0</v>
      </c>
      <c r="I703" t="n">
        <v>0</v>
      </c>
      <c r="J703" t="n">
        <v>0</v>
      </c>
      <c r="K703" t="n">
        <v>0</v>
      </c>
      <c r="L703" t="n">
        <v>0</v>
      </c>
      <c r="M703" t="n">
        <v>0</v>
      </c>
      <c r="N703" t="n">
        <v>0</v>
      </c>
      <c r="O703" t="n">
        <v>0</v>
      </c>
      <c r="P703" t="n">
        <v>0</v>
      </c>
      <c r="Q703" t="n">
        <v>0</v>
      </c>
      <c r="R703" s="2" t="inlineStr"/>
    </row>
    <row r="704" ht="15" customHeight="1">
      <c r="A704" t="inlineStr">
        <is>
          <t>A 22044-2025</t>
        </is>
      </c>
      <c r="B704" s="1" t="n">
        <v>45785.34126157407</v>
      </c>
      <c r="C704" s="1" t="n">
        <v>46083</v>
      </c>
      <c r="D704" t="inlineStr">
        <is>
          <t>ÖSTERGÖTLANDS LÄN</t>
        </is>
      </c>
      <c r="E704" t="inlineStr">
        <is>
          <t>KINDA</t>
        </is>
      </c>
      <c r="G704" t="n">
        <v>0.9</v>
      </c>
      <c r="H704" t="n">
        <v>0</v>
      </c>
      <c r="I704" t="n">
        <v>0</v>
      </c>
      <c r="J704" t="n">
        <v>0</v>
      </c>
      <c r="K704" t="n">
        <v>0</v>
      </c>
      <c r="L704" t="n">
        <v>0</v>
      </c>
      <c r="M704" t="n">
        <v>0</v>
      </c>
      <c r="N704" t="n">
        <v>0</v>
      </c>
      <c r="O704" t="n">
        <v>0</v>
      </c>
      <c r="P704" t="n">
        <v>0</v>
      </c>
      <c r="Q704" t="n">
        <v>0</v>
      </c>
      <c r="R704" s="2" t="inlineStr"/>
    </row>
    <row r="705" ht="15" customHeight="1">
      <c r="A705" t="inlineStr">
        <is>
          <t>A 22806-2025</t>
        </is>
      </c>
      <c r="B705" s="1" t="n">
        <v>45789.67461805556</v>
      </c>
      <c r="C705" s="1" t="n">
        <v>46083</v>
      </c>
      <c r="D705" t="inlineStr">
        <is>
          <t>ÖSTERGÖTLANDS LÄN</t>
        </is>
      </c>
      <c r="E705" t="inlineStr">
        <is>
          <t>KINDA</t>
        </is>
      </c>
      <c r="G705" t="n">
        <v>6.8</v>
      </c>
      <c r="H705" t="n">
        <v>0</v>
      </c>
      <c r="I705" t="n">
        <v>0</v>
      </c>
      <c r="J705" t="n">
        <v>0</v>
      </c>
      <c r="K705" t="n">
        <v>0</v>
      </c>
      <c r="L705" t="n">
        <v>0</v>
      </c>
      <c r="M705" t="n">
        <v>0</v>
      </c>
      <c r="N705" t="n">
        <v>0</v>
      </c>
      <c r="O705" t="n">
        <v>0</v>
      </c>
      <c r="P705" t="n">
        <v>0</v>
      </c>
      <c r="Q705" t="n">
        <v>0</v>
      </c>
      <c r="R705" s="2" t="inlineStr"/>
    </row>
    <row r="706" ht="15" customHeight="1">
      <c r="A706" t="inlineStr">
        <is>
          <t>A 34661-2024</t>
        </is>
      </c>
      <c r="B706" s="1" t="n">
        <v>45526</v>
      </c>
      <c r="C706" s="1" t="n">
        <v>46083</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row r="707" ht="15" customHeight="1">
      <c r="A707" t="inlineStr">
        <is>
          <t>A 22804-2025</t>
        </is>
      </c>
      <c r="B707" s="1" t="n">
        <v>45789.67196759259</v>
      </c>
      <c r="C707" s="1" t="n">
        <v>46083</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23437-2025</t>
        </is>
      </c>
      <c r="B708" s="1" t="n">
        <v>45792.37238425926</v>
      </c>
      <c r="C708" s="1" t="n">
        <v>46083</v>
      </c>
      <c r="D708" t="inlineStr">
        <is>
          <t>ÖSTERGÖTLANDS LÄN</t>
        </is>
      </c>
      <c r="E708" t="inlineStr">
        <is>
          <t>KINDA</t>
        </is>
      </c>
      <c r="G708" t="n">
        <v>5.2</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46083</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24130-2025</t>
        </is>
      </c>
      <c r="B710" s="1" t="n">
        <v>45796.63424768519</v>
      </c>
      <c r="C710" s="1" t="n">
        <v>46083</v>
      </c>
      <c r="D710" t="inlineStr">
        <is>
          <t>ÖSTERGÖTLANDS LÄN</t>
        </is>
      </c>
      <c r="E710" t="inlineStr">
        <is>
          <t>KINDA</t>
        </is>
      </c>
      <c r="G710" t="n">
        <v>1.6</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46083</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24128-2025</t>
        </is>
      </c>
      <c r="B712" s="1" t="n">
        <v>45796.63180555555</v>
      </c>
      <c r="C712" s="1" t="n">
        <v>46083</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ht="15" customHeight="1">
      <c r="A713" t="inlineStr">
        <is>
          <t>A 24448-2025</t>
        </is>
      </c>
      <c r="B713" s="1" t="n">
        <v>45798.33824074074</v>
      </c>
      <c r="C713" s="1" t="n">
        <v>46083</v>
      </c>
      <c r="D713" t="inlineStr">
        <is>
          <t>ÖSTERGÖTLANDS LÄN</t>
        </is>
      </c>
      <c r="E713" t="inlineStr">
        <is>
          <t>KINDA</t>
        </is>
      </c>
      <c r="G713" t="n">
        <v>0.7</v>
      </c>
      <c r="H713" t="n">
        <v>0</v>
      </c>
      <c r="I713" t="n">
        <v>0</v>
      </c>
      <c r="J713" t="n">
        <v>0</v>
      </c>
      <c r="K713" t="n">
        <v>0</v>
      </c>
      <c r="L713" t="n">
        <v>0</v>
      </c>
      <c r="M713" t="n">
        <v>0</v>
      </c>
      <c r="N713" t="n">
        <v>0</v>
      </c>
      <c r="O713" t="n">
        <v>0</v>
      </c>
      <c r="P713" t="n">
        <v>0</v>
      </c>
      <c r="Q713" t="n">
        <v>0</v>
      </c>
      <c r="R713" s="2" t="inlineStr"/>
    </row>
    <row r="714" ht="15" customHeight="1">
      <c r="A714" t="inlineStr">
        <is>
          <t>A 24446-2025</t>
        </is>
      </c>
      <c r="B714" s="1" t="n">
        <v>45798.33460648148</v>
      </c>
      <c r="C714" s="1" t="n">
        <v>46083</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24774-2025</t>
        </is>
      </c>
      <c r="B715" s="1" t="n">
        <v>45799</v>
      </c>
      <c r="C715" s="1" t="n">
        <v>46083</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c r="A716" t="inlineStr">
        <is>
          <t>A 24754-2025</t>
        </is>
      </c>
      <c r="B716" s="1" t="n">
        <v>45799.36881944445</v>
      </c>
      <c r="C716" s="1" t="n">
        <v>46083</v>
      </c>
      <c r="D716" t="inlineStr">
        <is>
          <t>ÖSTERGÖTLANDS LÄN</t>
        </is>
      </c>
      <c r="E716" t="inlineStr">
        <is>
          <t>KINDA</t>
        </is>
      </c>
      <c r="G716" t="n">
        <v>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2026-03-02T11:07:32Z</dcterms:created>
  <dcterms:modified xmlns:dcterms="http://purl.org/dc/terms/" xmlns:xsi="http://www.w3.org/2001/XMLSchema-instance" xsi:type="dcterms:W3CDTF">2026-03-02T11:07:32Z</dcterms:modified>
</cp:coreProperties>
</file>