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45696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45696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45696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45696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45696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45696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45696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45696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45696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45696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45696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45696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45696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45696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45696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45696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45696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45696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45696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45696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45696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45696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45696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45696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45696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45696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45696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45696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45696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45696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45696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54872-2022</t>
        </is>
      </c>
      <c r="B49" s="1" t="n">
        <v>44886</v>
      </c>
      <c r="C49" s="1" t="n">
        <v>45696</v>
      </c>
      <c r="D49" t="inlineStr">
        <is>
          <t>ÖSTERGÖTLANDS LÄN</t>
        </is>
      </c>
      <c r="E49" t="inlineStr">
        <is>
          <t>KINDA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HYPERLINK("https://klasma.github.io/Logging_0513/artfynd/A 54872-2022 artfynd.xlsx", "A 54872-2022")</f>
        <v/>
      </c>
      <c r="T49">
        <f>HYPERLINK("https://klasma.github.io/Logging_0513/kartor/A 54872-2022 karta.png", "A 54872-2022")</f>
        <v/>
      </c>
      <c r="V49">
        <f>HYPERLINK("https://klasma.github.io/Logging_0513/klagomål/A 54872-2022 FSC-klagomål.docx", "A 54872-2022")</f>
        <v/>
      </c>
      <c r="W49">
        <f>HYPERLINK("https://klasma.github.io/Logging_0513/klagomålsmail/A 54872-2022 FSC-klagomål mail.docx", "A 54872-2022")</f>
        <v/>
      </c>
      <c r="X49">
        <f>HYPERLINK("https://klasma.github.io/Logging_0513/tillsyn/A 54872-2022 tillsynsbegäran.docx", "A 54872-2022")</f>
        <v/>
      </c>
      <c r="Y49">
        <f>HYPERLINK("https://klasma.github.io/Logging_0513/tillsynsmail/A 54872-2022 tillsynsbegäran mail.docx", "A 54872-2022")</f>
        <v/>
      </c>
      <c r="Z49">
        <f>HYPERLINK("https://klasma.github.io/Logging_0513/fåglar/A 54872-2022 prioriterade fågelarter.docx", "A 54872-2022")</f>
        <v/>
      </c>
    </row>
    <row r="50" ht="15" customHeight="1">
      <c r="A50" t="inlineStr">
        <is>
          <t>A 60958-2022</t>
        </is>
      </c>
      <c r="B50" s="1" t="n">
        <v>44914</v>
      </c>
      <c r="C50" s="1" t="n">
        <v>45696</v>
      </c>
      <c r="D50" t="inlineStr">
        <is>
          <t>ÖSTERGÖTLANDS LÄN</t>
        </is>
      </c>
      <c r="E50" t="inlineStr">
        <is>
          <t>KINDA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Puckelmaskros</t>
        </is>
      </c>
      <c r="S50">
        <f>HYPERLINK("https://klasma.github.io/Logging_0513/artfynd/A 60958-2022 artfynd.xlsx", "A 60958-2022")</f>
        <v/>
      </c>
      <c r="T50">
        <f>HYPERLINK("https://klasma.github.io/Logging_0513/kartor/A 60958-2022 karta.png", "A 60958-2022")</f>
        <v/>
      </c>
      <c r="V50">
        <f>HYPERLINK("https://klasma.github.io/Logging_0513/klagomål/A 60958-2022 FSC-klagomål.docx", "A 60958-2022")</f>
        <v/>
      </c>
      <c r="W50">
        <f>HYPERLINK("https://klasma.github.io/Logging_0513/klagomålsmail/A 60958-2022 FSC-klagomål mail.docx", "A 60958-2022")</f>
        <v/>
      </c>
      <c r="X50">
        <f>HYPERLINK("https://klasma.github.io/Logging_0513/tillsyn/A 60958-2022 tillsynsbegäran.docx", "A 60958-2022")</f>
        <v/>
      </c>
      <c r="Y50">
        <f>HYPERLINK("https://klasma.github.io/Logging_0513/tillsynsmail/A 60958-2022 tillsynsbegäran mail.docx", "A 60958-2022")</f>
        <v/>
      </c>
    </row>
    <row r="51" ht="15" customHeight="1">
      <c r="A51" t="inlineStr">
        <is>
          <t>A 5668-2023</t>
        </is>
      </c>
      <c r="B51" s="1" t="n">
        <v>44960</v>
      </c>
      <c r="C51" s="1" t="n">
        <v>45696</v>
      </c>
      <c r="D51" t="inlineStr">
        <is>
          <t>ÖSTERGÖTLANDS LÄN</t>
        </is>
      </c>
      <c r="E51" t="inlineStr">
        <is>
          <t>KINDA</t>
        </is>
      </c>
      <c r="G51" t="n">
        <v>7.5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5668-2023 artfynd.xlsx", "A 5668-2023")</f>
        <v/>
      </c>
      <c r="T51">
        <f>HYPERLINK("https://klasma.github.io/Logging_0513/kartor/A 5668-2023 karta.png", "A 5668-2023")</f>
        <v/>
      </c>
      <c r="U51">
        <f>HYPERLINK("https://klasma.github.io/Logging_0513/knärot/A 5668-2023 karta knärot.png", "A 5668-2023")</f>
        <v/>
      </c>
      <c r="V51">
        <f>HYPERLINK("https://klasma.github.io/Logging_0513/klagomål/A 5668-2023 FSC-klagomål.docx", "A 5668-2023")</f>
        <v/>
      </c>
      <c r="W51">
        <f>HYPERLINK("https://klasma.github.io/Logging_0513/klagomålsmail/A 5668-2023 FSC-klagomål mail.docx", "A 5668-2023")</f>
        <v/>
      </c>
      <c r="X51">
        <f>HYPERLINK("https://klasma.github.io/Logging_0513/tillsyn/A 5668-2023 tillsynsbegäran.docx", "A 5668-2023")</f>
        <v/>
      </c>
      <c r="Y51">
        <f>HYPERLINK("https://klasma.github.io/Logging_0513/tillsynsmail/A 5668-2023 tillsynsbegäran mail.docx", "A 5668-2023")</f>
        <v/>
      </c>
    </row>
    <row r="52" ht="15" customHeight="1">
      <c r="A52" t="inlineStr">
        <is>
          <t>A 8236-2023</t>
        </is>
      </c>
      <c r="B52" s="1" t="n">
        <v>44974</v>
      </c>
      <c r="C52" s="1" t="n">
        <v>45696</v>
      </c>
      <c r="D52" t="inlineStr">
        <is>
          <t>ÖSTERGÖTLANDS LÄN</t>
        </is>
      </c>
      <c r="E52" t="inlineStr">
        <is>
          <t>KINDA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8236-2023 artfynd.xlsx", "A 8236-2023")</f>
        <v/>
      </c>
      <c r="T52">
        <f>HYPERLINK("https://klasma.github.io/Logging_0513/kartor/A 8236-2023 karta.png", "A 8236-2023")</f>
        <v/>
      </c>
      <c r="U52">
        <f>HYPERLINK("https://klasma.github.io/Logging_0513/knärot/A 8236-2023 karta knärot.png", "A 8236-2023")</f>
        <v/>
      </c>
      <c r="V52">
        <f>HYPERLINK("https://klasma.github.io/Logging_0513/klagomål/A 8236-2023 FSC-klagomål.docx", "A 8236-2023")</f>
        <v/>
      </c>
      <c r="W52">
        <f>HYPERLINK("https://klasma.github.io/Logging_0513/klagomålsmail/A 8236-2023 FSC-klagomål mail.docx", "A 8236-2023")</f>
        <v/>
      </c>
      <c r="X52">
        <f>HYPERLINK("https://klasma.github.io/Logging_0513/tillsyn/A 8236-2023 tillsynsbegäran.docx", "A 8236-2023")</f>
        <v/>
      </c>
      <c r="Y52">
        <f>HYPERLINK("https://klasma.github.io/Logging_0513/tillsynsmail/A 8236-2023 tillsynsbegäran mail.docx", "A 8236-2023")</f>
        <v/>
      </c>
    </row>
    <row r="53" ht="15" customHeight="1">
      <c r="A53" t="inlineStr">
        <is>
          <t>A 13718-2023</t>
        </is>
      </c>
      <c r="B53" s="1" t="n">
        <v>45007</v>
      </c>
      <c r="C53" s="1" t="n">
        <v>45696</v>
      </c>
      <c r="D53" t="inlineStr">
        <is>
          <t>ÖSTERGÖTLANDS LÄN</t>
        </is>
      </c>
      <c r="E53" t="inlineStr">
        <is>
          <t>KINDA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HYPERLINK("https://klasma.github.io/Logging_0513/artfynd/A 13718-2023 artfynd.xlsx", "A 13718-2023")</f>
        <v/>
      </c>
      <c r="T53">
        <f>HYPERLINK("https://klasma.github.io/Logging_0513/kartor/A 13718-2023 karta.png", "A 13718-2023")</f>
        <v/>
      </c>
      <c r="V53">
        <f>HYPERLINK("https://klasma.github.io/Logging_0513/klagomål/A 13718-2023 FSC-klagomål.docx", "A 13718-2023")</f>
        <v/>
      </c>
      <c r="W53">
        <f>HYPERLINK("https://klasma.github.io/Logging_0513/klagomålsmail/A 13718-2023 FSC-klagomål mail.docx", "A 13718-2023")</f>
        <v/>
      </c>
      <c r="X53">
        <f>HYPERLINK("https://klasma.github.io/Logging_0513/tillsyn/A 13718-2023 tillsynsbegäran.docx", "A 13718-2023")</f>
        <v/>
      </c>
      <c r="Y53">
        <f>HYPERLINK("https://klasma.github.io/Logging_0513/tillsynsmail/A 13718-2023 tillsynsbegäran mail.docx", "A 13718-2023")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45696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26800-2023</t>
        </is>
      </c>
      <c r="B55" s="1" t="n">
        <v>45093</v>
      </c>
      <c r="C55" s="1" t="n">
        <v>45696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Sandviol</t>
        </is>
      </c>
      <c r="S55">
        <f>HYPERLINK("https://klasma.github.io/Logging_0513/artfynd/A 26800-2023 artfynd.xlsx", "A 26800-2023")</f>
        <v/>
      </c>
      <c r="T55">
        <f>HYPERLINK("https://klasma.github.io/Logging_0513/kartor/A 26800-2023 karta.png", "A 26800-2023")</f>
        <v/>
      </c>
      <c r="V55">
        <f>HYPERLINK("https://klasma.github.io/Logging_0513/klagomål/A 26800-2023 FSC-klagomål.docx", "A 26800-2023")</f>
        <v/>
      </c>
      <c r="W55">
        <f>HYPERLINK("https://klasma.github.io/Logging_0513/klagomålsmail/A 26800-2023 FSC-klagomål mail.docx", "A 26800-2023")</f>
        <v/>
      </c>
      <c r="X55">
        <f>HYPERLINK("https://klasma.github.io/Logging_0513/tillsyn/A 26800-2023 tillsynsbegäran.docx", "A 26800-2023")</f>
        <v/>
      </c>
      <c r="Y55">
        <f>HYPERLINK("https://klasma.github.io/Logging_0513/tillsynsmail/A 26800-2023 tillsynsbegäran mail.docx", "A 26800-2023")</f>
        <v/>
      </c>
    </row>
    <row r="56" ht="15" customHeight="1">
      <c r="A56" t="inlineStr">
        <is>
          <t>A 26808-2023</t>
        </is>
      </c>
      <c r="B56" s="1" t="n">
        <v>45093</v>
      </c>
      <c r="C56" s="1" t="n">
        <v>45696</v>
      </c>
      <c r="D56" t="inlineStr">
        <is>
          <t>ÖSTERGÖTLANDS LÄN</t>
        </is>
      </c>
      <c r="E56" t="inlineStr">
        <is>
          <t>KINDA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HYPERLINK("https://klasma.github.io/Logging_0513/artfynd/A 26808-2023 artfynd.xlsx", "A 26808-2023")</f>
        <v/>
      </c>
      <c r="T56">
        <f>HYPERLINK("https://klasma.github.io/Logging_0513/kartor/A 26808-2023 karta.png", "A 26808-2023")</f>
        <v/>
      </c>
      <c r="V56">
        <f>HYPERLINK("https://klasma.github.io/Logging_0513/klagomål/A 26808-2023 FSC-klagomål.docx", "A 26808-2023")</f>
        <v/>
      </c>
      <c r="W56">
        <f>HYPERLINK("https://klasma.github.io/Logging_0513/klagomålsmail/A 26808-2023 FSC-klagomål mail.docx", "A 26808-2023")</f>
        <v/>
      </c>
      <c r="X56">
        <f>HYPERLINK("https://klasma.github.io/Logging_0513/tillsyn/A 26808-2023 tillsynsbegäran.docx", "A 26808-2023")</f>
        <v/>
      </c>
      <c r="Y56">
        <f>HYPERLINK("https://klasma.github.io/Logging_0513/tillsynsmail/A 26808-2023 tillsynsbegäran mail.docx", "A 26808-2023")</f>
        <v/>
      </c>
      <c r="Z56">
        <f>HYPERLINK("https://klasma.github.io/Logging_0513/fåglar/A 26808-2023 prioriterade fågelarter.docx", "A 26808-2023")</f>
        <v/>
      </c>
    </row>
    <row r="57" ht="15" customHeight="1">
      <c r="A57" t="inlineStr">
        <is>
          <t>A 26812-2023</t>
        </is>
      </c>
      <c r="B57" s="1" t="n">
        <v>45093</v>
      </c>
      <c r="C57" s="1" t="n">
        <v>45696</v>
      </c>
      <c r="D57" t="inlineStr">
        <is>
          <t>ÖSTERGÖTLANDS LÄN</t>
        </is>
      </c>
      <c r="E57" t="inlineStr">
        <is>
          <t>KINDA</t>
        </is>
      </c>
      <c r="G57" t="n">
        <v>6.4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HYPERLINK("https://klasma.github.io/Logging_0513/artfynd/A 26812-2023 artfynd.xlsx", "A 26812-2023")</f>
        <v/>
      </c>
      <c r="T57">
        <f>HYPERLINK("https://klasma.github.io/Logging_0513/kartor/A 26812-2023 karta.png", "A 26812-2023")</f>
        <v/>
      </c>
      <c r="V57">
        <f>HYPERLINK("https://klasma.github.io/Logging_0513/klagomål/A 26812-2023 FSC-klagomål.docx", "A 26812-2023")</f>
        <v/>
      </c>
      <c r="W57">
        <f>HYPERLINK("https://klasma.github.io/Logging_0513/klagomålsmail/A 26812-2023 FSC-klagomål mail.docx", "A 26812-2023")</f>
        <v/>
      </c>
      <c r="X57">
        <f>HYPERLINK("https://klasma.github.io/Logging_0513/tillsyn/A 26812-2023 tillsynsbegäran.docx", "A 26812-2023")</f>
        <v/>
      </c>
      <c r="Y57">
        <f>HYPERLINK("https://klasma.github.io/Logging_0513/tillsynsmail/A 26812-2023 tillsynsbegäran mail.docx", "A 26812-2023")</f>
        <v/>
      </c>
    </row>
    <row r="58" ht="15" customHeight="1">
      <c r="A58" t="inlineStr">
        <is>
          <t>A 26928-2023</t>
        </is>
      </c>
      <c r="B58" s="1" t="n">
        <v>45093</v>
      </c>
      <c r="C58" s="1" t="n">
        <v>45696</v>
      </c>
      <c r="D58" t="inlineStr">
        <is>
          <t>ÖSTERGÖTLANDS LÄN</t>
        </is>
      </c>
      <c r="E58" t="inlineStr">
        <is>
          <t>KINDA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Nötkråka</t>
        </is>
      </c>
      <c r="S58">
        <f>HYPERLINK("https://klasma.github.io/Logging_0513/artfynd/A 26928-2023 artfynd.xlsx", "A 26928-2023")</f>
        <v/>
      </c>
      <c r="T58">
        <f>HYPERLINK("https://klasma.github.io/Logging_0513/kartor/A 26928-2023 karta.png", "A 26928-2023")</f>
        <v/>
      </c>
      <c r="V58">
        <f>HYPERLINK("https://klasma.github.io/Logging_0513/klagomål/A 26928-2023 FSC-klagomål.docx", "A 26928-2023")</f>
        <v/>
      </c>
      <c r="W58">
        <f>HYPERLINK("https://klasma.github.io/Logging_0513/klagomålsmail/A 26928-2023 FSC-klagomål mail.docx", "A 26928-2023")</f>
        <v/>
      </c>
      <c r="X58">
        <f>HYPERLINK("https://klasma.github.io/Logging_0513/tillsyn/A 26928-2023 tillsynsbegäran.docx", "A 26928-2023")</f>
        <v/>
      </c>
      <c r="Y58">
        <f>HYPERLINK("https://klasma.github.io/Logging_0513/tillsynsmail/A 26928-2023 tillsynsbegäran mail.docx", "A 26928-2023")</f>
        <v/>
      </c>
    </row>
    <row r="59" ht="15" customHeight="1">
      <c r="A59" t="inlineStr">
        <is>
          <t>A 46145-2023</t>
        </is>
      </c>
      <c r="B59" s="1" t="n">
        <v>45196</v>
      </c>
      <c r="C59" s="1" t="n">
        <v>45696</v>
      </c>
      <c r="D59" t="inlineStr">
        <is>
          <t>ÖSTERGÖTLANDS LÄN</t>
        </is>
      </c>
      <c r="E59" t="inlineStr">
        <is>
          <t>KINDA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46145-2023 artfynd.xlsx", "A 46145-2023")</f>
        <v/>
      </c>
      <c r="T59">
        <f>HYPERLINK("https://klasma.github.io/Logging_0513/kartor/A 46145-2023 karta.png", "A 46145-2023")</f>
        <v/>
      </c>
      <c r="V59">
        <f>HYPERLINK("https://klasma.github.io/Logging_0513/klagomål/A 46145-2023 FSC-klagomål.docx", "A 46145-2023")</f>
        <v/>
      </c>
      <c r="W59">
        <f>HYPERLINK("https://klasma.github.io/Logging_0513/klagomålsmail/A 46145-2023 FSC-klagomål mail.docx", "A 46145-2023")</f>
        <v/>
      </c>
      <c r="X59">
        <f>HYPERLINK("https://klasma.github.io/Logging_0513/tillsyn/A 46145-2023 tillsynsbegäran.docx", "A 46145-2023")</f>
        <v/>
      </c>
      <c r="Y59">
        <f>HYPERLINK("https://klasma.github.io/Logging_0513/tillsynsmail/A 46145-2023 tillsynsbegäran mail.docx", "A 46145-2023")</f>
        <v/>
      </c>
    </row>
    <row r="60" ht="15" customHeight="1">
      <c r="A60" t="inlineStr">
        <is>
          <t>A 52024-2023</t>
        </is>
      </c>
      <c r="B60" s="1" t="n">
        <v>45216</v>
      </c>
      <c r="C60" s="1" t="n">
        <v>45696</v>
      </c>
      <c r="D60" t="inlineStr">
        <is>
          <t>ÖSTERGÖTLANDS LÄN</t>
        </is>
      </c>
      <c r="E60" t="inlineStr">
        <is>
          <t>KINDA</t>
        </is>
      </c>
      <c r="G60" t="n">
        <v>17.4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HYPERLINK("https://klasma.github.io/Logging_0513/artfynd/A 52024-2023 artfynd.xlsx", "A 52024-2023")</f>
        <v/>
      </c>
      <c r="T60">
        <f>HYPERLINK("https://klasma.github.io/Logging_0513/kartor/A 52024-2023 karta.png", "A 52024-2023")</f>
        <v/>
      </c>
      <c r="V60">
        <f>HYPERLINK("https://klasma.github.io/Logging_0513/klagomål/A 52024-2023 FSC-klagomål.docx", "A 52024-2023")</f>
        <v/>
      </c>
      <c r="W60">
        <f>HYPERLINK("https://klasma.github.io/Logging_0513/klagomålsmail/A 52024-2023 FSC-klagomål mail.docx", "A 52024-2023")</f>
        <v/>
      </c>
      <c r="X60">
        <f>HYPERLINK("https://klasma.github.io/Logging_0513/tillsyn/A 52024-2023 tillsynsbegäran.docx", "A 52024-2023")</f>
        <v/>
      </c>
      <c r="Y60">
        <f>HYPERLINK("https://klasma.github.io/Logging_0513/tillsynsmail/A 52024-2023 tillsynsbegäran mail.docx", "A 52024-2023")</f>
        <v/>
      </c>
    </row>
    <row r="61" ht="15" customHeight="1">
      <c r="A61" t="inlineStr">
        <is>
          <t>A 56822-2023</t>
        </is>
      </c>
      <c r="B61" s="1" t="n">
        <v>45238</v>
      </c>
      <c r="C61" s="1" t="n">
        <v>45696</v>
      </c>
      <c r="D61" t="inlineStr">
        <is>
          <t>ÖSTERGÖTLANDS LÄN</t>
        </is>
      </c>
      <c r="E61" t="inlineStr">
        <is>
          <t>KINDA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HYPERLINK("https://klasma.github.io/Logging_0513/artfynd/A 56822-2023 artfynd.xlsx", "A 56822-2023")</f>
        <v/>
      </c>
      <c r="T61">
        <f>HYPERLINK("https://klasma.github.io/Logging_0513/kartor/A 56822-2023 karta.png", "A 56822-2023")</f>
        <v/>
      </c>
      <c r="V61">
        <f>HYPERLINK("https://klasma.github.io/Logging_0513/klagomål/A 56822-2023 FSC-klagomål.docx", "A 56822-2023")</f>
        <v/>
      </c>
      <c r="W61">
        <f>HYPERLINK("https://klasma.github.io/Logging_0513/klagomålsmail/A 56822-2023 FSC-klagomål mail.docx", "A 56822-2023")</f>
        <v/>
      </c>
      <c r="X61">
        <f>HYPERLINK("https://klasma.github.io/Logging_0513/tillsyn/A 56822-2023 tillsynsbegäran.docx", "A 56822-2023")</f>
        <v/>
      </c>
      <c r="Y61">
        <f>HYPERLINK("https://klasma.github.io/Logging_0513/tillsynsmail/A 56822-2023 tillsynsbegäran mail.docx", "A 56822-2023")</f>
        <v/>
      </c>
    </row>
    <row r="62" ht="15" customHeight="1">
      <c r="A62" t="inlineStr">
        <is>
          <t>A 145-2024</t>
        </is>
      </c>
      <c r="B62" s="1" t="n">
        <v>45294</v>
      </c>
      <c r="C62" s="1" t="n">
        <v>45696</v>
      </c>
      <c r="D62" t="inlineStr">
        <is>
          <t>ÖSTERGÖTLANDS LÄN</t>
        </is>
      </c>
      <c r="E62" t="inlineStr">
        <is>
          <t>KINDA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Ekgetingbock</t>
        </is>
      </c>
      <c r="S62">
        <f>HYPERLINK("https://klasma.github.io/Logging_0513/artfynd/A 145-2024 artfynd.xlsx", "A 145-2024")</f>
        <v/>
      </c>
      <c r="T62">
        <f>HYPERLINK("https://klasma.github.io/Logging_0513/kartor/A 145-2024 karta.png", "A 145-2024")</f>
        <v/>
      </c>
      <c r="V62">
        <f>HYPERLINK("https://klasma.github.io/Logging_0513/klagomål/A 145-2024 FSC-klagomål.docx", "A 145-2024")</f>
        <v/>
      </c>
      <c r="W62">
        <f>HYPERLINK("https://klasma.github.io/Logging_0513/klagomålsmail/A 145-2024 FSC-klagomål mail.docx", "A 145-2024")</f>
        <v/>
      </c>
      <c r="X62">
        <f>HYPERLINK("https://klasma.github.io/Logging_0513/tillsyn/A 145-2024 tillsynsbegäran.docx", "A 145-2024")</f>
        <v/>
      </c>
      <c r="Y62">
        <f>HYPERLINK("https://klasma.github.io/Logging_0513/tillsynsmail/A 145-2024 tillsynsbegäran mail.docx", "A 145-2024")</f>
        <v/>
      </c>
    </row>
    <row r="63" ht="15" customHeight="1">
      <c r="A63" t="inlineStr">
        <is>
          <t>A 3378-2024</t>
        </is>
      </c>
      <c r="B63" s="1" t="n">
        <v>45317</v>
      </c>
      <c r="C63" s="1" t="n">
        <v>45696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HYPERLINK("https://klasma.github.io/Logging_0513/artfynd/A 3378-2024 artfynd.xlsx", "A 3378-2024")</f>
        <v/>
      </c>
      <c r="T63">
        <f>HYPERLINK("https://klasma.github.io/Logging_0513/kartor/A 3378-2024 karta.png", "A 3378-2024")</f>
        <v/>
      </c>
      <c r="V63">
        <f>HYPERLINK("https://klasma.github.io/Logging_0513/klagomål/A 3378-2024 FSC-klagomål.docx", "A 3378-2024")</f>
        <v/>
      </c>
      <c r="W63">
        <f>HYPERLINK("https://klasma.github.io/Logging_0513/klagomålsmail/A 3378-2024 FSC-klagomål mail.docx", "A 3378-2024")</f>
        <v/>
      </c>
      <c r="X63">
        <f>HYPERLINK("https://klasma.github.io/Logging_0513/tillsyn/A 3378-2024 tillsynsbegäran.docx", "A 3378-2024")</f>
        <v/>
      </c>
      <c r="Y63">
        <f>HYPERLINK("https://klasma.github.io/Logging_0513/tillsynsmail/A 3378-2024 tillsynsbegäran mail.docx", "A 3378-2024")</f>
        <v/>
      </c>
    </row>
    <row r="64" ht="15" customHeight="1">
      <c r="A64" t="inlineStr">
        <is>
          <t>A 7537-2024</t>
        </is>
      </c>
      <c r="B64" s="1" t="n">
        <v>45348</v>
      </c>
      <c r="C64" s="1" t="n">
        <v>45696</v>
      </c>
      <c r="D64" t="inlineStr">
        <is>
          <t>ÖSTERGÖTLANDS LÄN</t>
        </is>
      </c>
      <c r="E64" t="inlineStr">
        <is>
          <t>KINDA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Kryddspindling</t>
        </is>
      </c>
      <c r="S64">
        <f>HYPERLINK("https://klasma.github.io/Logging_0513/artfynd/A 7537-2024 artfynd.xlsx", "A 7537-2024")</f>
        <v/>
      </c>
      <c r="T64">
        <f>HYPERLINK("https://klasma.github.io/Logging_0513/kartor/A 7537-2024 karta.png", "A 7537-2024")</f>
        <v/>
      </c>
      <c r="V64">
        <f>HYPERLINK("https://klasma.github.io/Logging_0513/klagomål/A 7537-2024 FSC-klagomål.docx", "A 7537-2024")</f>
        <v/>
      </c>
      <c r="W64">
        <f>HYPERLINK("https://klasma.github.io/Logging_0513/klagomålsmail/A 7537-2024 FSC-klagomål mail.docx", "A 7537-2024")</f>
        <v/>
      </c>
      <c r="X64">
        <f>HYPERLINK("https://klasma.github.io/Logging_0513/tillsyn/A 7537-2024 tillsynsbegäran.docx", "A 7537-2024")</f>
        <v/>
      </c>
      <c r="Y64">
        <f>HYPERLINK("https://klasma.github.io/Logging_0513/tillsynsmail/A 7537-2024 tillsynsbegäran mail.docx", "A 7537-2024")</f>
        <v/>
      </c>
    </row>
    <row r="65" ht="15" customHeight="1">
      <c r="A65" t="inlineStr">
        <is>
          <t>A 12991-2024</t>
        </is>
      </c>
      <c r="B65" s="1" t="n">
        <v>45385</v>
      </c>
      <c r="C65" s="1" t="n">
        <v>45696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Bergjohannesört</t>
        </is>
      </c>
      <c r="S65">
        <f>HYPERLINK("https://klasma.github.io/Logging_0513/artfynd/A 12991-2024 artfynd.xlsx", "A 12991-2024")</f>
        <v/>
      </c>
      <c r="T65">
        <f>HYPERLINK("https://klasma.github.io/Logging_0513/kartor/A 12991-2024 karta.png", "A 12991-2024")</f>
        <v/>
      </c>
      <c r="V65">
        <f>HYPERLINK("https://klasma.github.io/Logging_0513/klagomål/A 12991-2024 FSC-klagomål.docx", "A 12991-2024")</f>
        <v/>
      </c>
      <c r="W65">
        <f>HYPERLINK("https://klasma.github.io/Logging_0513/klagomålsmail/A 12991-2024 FSC-klagomål mail.docx", "A 12991-2024")</f>
        <v/>
      </c>
      <c r="X65">
        <f>HYPERLINK("https://klasma.github.io/Logging_0513/tillsyn/A 12991-2024 tillsynsbegäran.docx", "A 12991-2024")</f>
        <v/>
      </c>
      <c r="Y65">
        <f>HYPERLINK("https://klasma.github.io/Logging_0513/tillsynsmail/A 12991-2024 tillsynsbegäran mail.docx", "A 12991-2024")</f>
        <v/>
      </c>
    </row>
    <row r="66" ht="15" customHeight="1">
      <c r="A66" t="inlineStr">
        <is>
          <t>A 13085-2024</t>
        </is>
      </c>
      <c r="B66" s="1" t="n">
        <v>45385</v>
      </c>
      <c r="C66" s="1" t="n">
        <v>45696</v>
      </c>
      <c r="D66" t="inlineStr">
        <is>
          <t>ÖSTERGÖTLANDS LÄN</t>
        </is>
      </c>
      <c r="E66" t="inlineStr">
        <is>
          <t>KINDA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HYPERLINK("https://klasma.github.io/Logging_0513/artfynd/A 13085-2024 artfynd.xlsx", "A 13085-2024")</f>
        <v/>
      </c>
      <c r="T66">
        <f>HYPERLINK("https://klasma.github.io/Logging_0513/kartor/A 13085-2024 karta.png", "A 13085-2024")</f>
        <v/>
      </c>
      <c r="V66">
        <f>HYPERLINK("https://klasma.github.io/Logging_0513/klagomål/A 13085-2024 FSC-klagomål.docx", "A 13085-2024")</f>
        <v/>
      </c>
      <c r="W66">
        <f>HYPERLINK("https://klasma.github.io/Logging_0513/klagomålsmail/A 13085-2024 FSC-klagomål mail.docx", "A 13085-2024")</f>
        <v/>
      </c>
      <c r="X66">
        <f>HYPERLINK("https://klasma.github.io/Logging_0513/tillsyn/A 13085-2024 tillsynsbegäran.docx", "A 13085-2024")</f>
        <v/>
      </c>
      <c r="Y66">
        <f>HYPERLINK("https://klasma.github.io/Logging_0513/tillsynsmail/A 13085-2024 tillsynsbegäran mail.docx", "A 13085-2024")</f>
        <v/>
      </c>
    </row>
    <row r="67" ht="15" customHeight="1">
      <c r="A67" t="inlineStr">
        <is>
          <t>A 15301-2024</t>
        </is>
      </c>
      <c r="B67" s="1" t="n">
        <v>45400</v>
      </c>
      <c r="C67" s="1" t="n">
        <v>45696</v>
      </c>
      <c r="D67" t="inlineStr">
        <is>
          <t>ÖSTERGÖTLANDS LÄN</t>
        </is>
      </c>
      <c r="E67" t="inlineStr">
        <is>
          <t>KINDA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HYPERLINK("https://klasma.github.io/Logging_0513/artfynd/A 15301-2024 artfynd.xlsx", "A 15301-2024")</f>
        <v/>
      </c>
      <c r="T67">
        <f>HYPERLINK("https://klasma.github.io/Logging_0513/kartor/A 15301-2024 karta.png", "A 15301-2024")</f>
        <v/>
      </c>
      <c r="V67">
        <f>HYPERLINK("https://klasma.github.io/Logging_0513/klagomål/A 15301-2024 FSC-klagomål.docx", "A 15301-2024")</f>
        <v/>
      </c>
      <c r="W67">
        <f>HYPERLINK("https://klasma.github.io/Logging_0513/klagomålsmail/A 15301-2024 FSC-klagomål mail.docx", "A 15301-2024")</f>
        <v/>
      </c>
      <c r="X67">
        <f>HYPERLINK("https://klasma.github.io/Logging_0513/tillsyn/A 15301-2024 tillsynsbegäran.docx", "A 15301-2024")</f>
        <v/>
      </c>
      <c r="Y67">
        <f>HYPERLINK("https://klasma.github.io/Logging_0513/tillsynsmail/A 15301-2024 tillsynsbegäran mail.docx", "A 15301-2024")</f>
        <v/>
      </c>
    </row>
    <row r="68" ht="15" customHeight="1">
      <c r="A68" t="inlineStr">
        <is>
          <t>A 16180-2024</t>
        </is>
      </c>
      <c r="B68" s="1" t="n">
        <v>45406</v>
      </c>
      <c r="C68" s="1" t="n">
        <v>45696</v>
      </c>
      <c r="D68" t="inlineStr">
        <is>
          <t>ÖSTERGÖTLANDS LÄN</t>
        </is>
      </c>
      <c r="E68" t="inlineStr">
        <is>
          <t>KINDA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HYPERLINK("https://klasma.github.io/Logging_0513/artfynd/A 16180-2024 artfynd.xlsx", "A 16180-2024")</f>
        <v/>
      </c>
      <c r="T68">
        <f>HYPERLINK("https://klasma.github.io/Logging_0513/kartor/A 16180-2024 karta.png", "A 16180-2024")</f>
        <v/>
      </c>
      <c r="U68">
        <f>HYPERLINK("https://klasma.github.io/Logging_0513/knärot/A 16180-2024 karta knärot.png", "A 16180-2024")</f>
        <v/>
      </c>
      <c r="V68">
        <f>HYPERLINK("https://klasma.github.io/Logging_0513/klagomål/A 16180-2024 FSC-klagomål.docx", "A 16180-2024")</f>
        <v/>
      </c>
      <c r="W68">
        <f>HYPERLINK("https://klasma.github.io/Logging_0513/klagomålsmail/A 16180-2024 FSC-klagomål mail.docx", "A 16180-2024")</f>
        <v/>
      </c>
      <c r="X68">
        <f>HYPERLINK("https://klasma.github.io/Logging_0513/tillsyn/A 16180-2024 tillsynsbegäran.docx", "A 16180-2024")</f>
        <v/>
      </c>
      <c r="Y68">
        <f>HYPERLINK("https://klasma.github.io/Logging_0513/tillsynsmail/A 16180-2024 tillsynsbegäran mail.docx", "A 16180-2024")</f>
        <v/>
      </c>
    </row>
    <row r="69" ht="15" customHeight="1">
      <c r="A69" t="inlineStr">
        <is>
          <t>A 16499-2024</t>
        </is>
      </c>
      <c r="B69" s="1" t="n">
        <v>45408</v>
      </c>
      <c r="C69" s="1" t="n">
        <v>45696</v>
      </c>
      <c r="D69" t="inlineStr">
        <is>
          <t>ÖSTERGÖTLANDS LÄN</t>
        </is>
      </c>
      <c r="E69" t="inlineStr">
        <is>
          <t>KINDA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HYPERLINK("https://klasma.github.io/Logging_0513/artfynd/A 16499-2024 artfynd.xlsx", "A 16499-2024")</f>
        <v/>
      </c>
      <c r="T69">
        <f>HYPERLINK("https://klasma.github.io/Logging_0513/kartor/A 16499-2024 karta.png", "A 16499-2024")</f>
        <v/>
      </c>
      <c r="V69">
        <f>HYPERLINK("https://klasma.github.io/Logging_0513/klagomål/A 16499-2024 FSC-klagomål.docx", "A 16499-2024")</f>
        <v/>
      </c>
      <c r="W69">
        <f>HYPERLINK("https://klasma.github.io/Logging_0513/klagomålsmail/A 16499-2024 FSC-klagomål mail.docx", "A 16499-2024")</f>
        <v/>
      </c>
      <c r="X69">
        <f>HYPERLINK("https://klasma.github.io/Logging_0513/tillsyn/A 16499-2024 tillsynsbegäran.docx", "A 16499-2024")</f>
        <v/>
      </c>
      <c r="Y69">
        <f>HYPERLINK("https://klasma.github.io/Logging_0513/tillsynsmail/A 16499-2024 tillsynsbegäran mail.docx", "A 16499-2024")</f>
        <v/>
      </c>
    </row>
    <row r="70" ht="15" customHeight="1">
      <c r="A70" t="inlineStr">
        <is>
          <t>A 18443-2024</t>
        </is>
      </c>
      <c r="B70" s="1" t="n">
        <v>45425</v>
      </c>
      <c r="C70" s="1" t="n">
        <v>45696</v>
      </c>
      <c r="D70" t="inlineStr">
        <is>
          <t>ÖSTERGÖTLANDS LÄN</t>
        </is>
      </c>
      <c r="E70" t="inlineStr">
        <is>
          <t>KINDA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HYPERLINK("https://klasma.github.io/Logging_0513/artfynd/A 18443-2024 artfynd.xlsx", "A 18443-2024")</f>
        <v/>
      </c>
      <c r="T70">
        <f>HYPERLINK("https://klasma.github.io/Logging_0513/kartor/A 18443-2024 karta.png", "A 18443-2024")</f>
        <v/>
      </c>
      <c r="V70">
        <f>HYPERLINK("https://klasma.github.io/Logging_0513/klagomål/A 18443-2024 FSC-klagomål.docx", "A 18443-2024")</f>
        <v/>
      </c>
      <c r="W70">
        <f>HYPERLINK("https://klasma.github.io/Logging_0513/klagomålsmail/A 18443-2024 FSC-klagomål mail.docx", "A 18443-2024")</f>
        <v/>
      </c>
      <c r="X70">
        <f>HYPERLINK("https://klasma.github.io/Logging_0513/tillsyn/A 18443-2024 tillsynsbegäran.docx", "A 18443-2024")</f>
        <v/>
      </c>
      <c r="Y70">
        <f>HYPERLINK("https://klasma.github.io/Logging_0513/tillsynsmail/A 18443-2024 tillsynsbegäran mail.docx", "A 18443-2024")</f>
        <v/>
      </c>
    </row>
    <row r="71" ht="15" customHeight="1">
      <c r="A71" t="inlineStr">
        <is>
          <t>A 25163-2024</t>
        </is>
      </c>
      <c r="B71" s="1" t="n">
        <v>45462</v>
      </c>
      <c r="C71" s="1" t="n">
        <v>45696</v>
      </c>
      <c r="D71" t="inlineStr">
        <is>
          <t>ÖSTERGÖTLANDS LÄN</t>
        </is>
      </c>
      <c r="E71" t="inlineStr">
        <is>
          <t>KINDA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HYPERLINK("https://klasma.github.io/Logging_0513/artfynd/A 25163-2024 artfynd.xlsx", "A 25163-2024")</f>
        <v/>
      </c>
      <c r="T71">
        <f>HYPERLINK("https://klasma.github.io/Logging_0513/kartor/A 25163-2024 karta.png", "A 25163-2024")</f>
        <v/>
      </c>
      <c r="V71">
        <f>HYPERLINK("https://klasma.github.io/Logging_0513/klagomål/A 25163-2024 FSC-klagomål.docx", "A 25163-2024")</f>
        <v/>
      </c>
      <c r="W71">
        <f>HYPERLINK("https://klasma.github.io/Logging_0513/klagomålsmail/A 25163-2024 FSC-klagomål mail.docx", "A 25163-2024")</f>
        <v/>
      </c>
      <c r="X71">
        <f>HYPERLINK("https://klasma.github.io/Logging_0513/tillsyn/A 25163-2024 tillsynsbegäran.docx", "A 25163-2024")</f>
        <v/>
      </c>
      <c r="Y71">
        <f>HYPERLINK("https://klasma.github.io/Logging_0513/tillsynsmail/A 25163-2024 tillsynsbegäran mail.docx", "A 25163-2024")</f>
        <v/>
      </c>
    </row>
    <row r="72" ht="15" customHeight="1">
      <c r="A72" t="inlineStr">
        <is>
          <t>A 29514-2024</t>
        </is>
      </c>
      <c r="B72" s="1" t="n">
        <v>45484</v>
      </c>
      <c r="C72" s="1" t="n">
        <v>45696</v>
      </c>
      <c r="D72" t="inlineStr">
        <is>
          <t>ÖSTERGÖTLANDS LÄN</t>
        </is>
      </c>
      <c r="E72" t="inlineStr">
        <is>
          <t>KINDA</t>
        </is>
      </c>
      <c r="G72" t="n">
        <v>18.9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Aspelandsfibbla</t>
        </is>
      </c>
      <c r="S72">
        <f>HYPERLINK("https://klasma.github.io/Logging_0513/artfynd/A 29514-2024 artfynd.xlsx", "A 29514-2024")</f>
        <v/>
      </c>
      <c r="T72">
        <f>HYPERLINK("https://klasma.github.io/Logging_0513/kartor/A 29514-2024 karta.png", "A 29514-2024")</f>
        <v/>
      </c>
      <c r="V72">
        <f>HYPERLINK("https://klasma.github.io/Logging_0513/klagomål/A 29514-2024 FSC-klagomål.docx", "A 29514-2024")</f>
        <v/>
      </c>
      <c r="W72">
        <f>HYPERLINK("https://klasma.github.io/Logging_0513/klagomålsmail/A 29514-2024 FSC-klagomål mail.docx", "A 29514-2024")</f>
        <v/>
      </c>
      <c r="X72">
        <f>HYPERLINK("https://klasma.github.io/Logging_0513/tillsyn/A 29514-2024 tillsynsbegäran.docx", "A 29514-2024")</f>
        <v/>
      </c>
      <c r="Y72">
        <f>HYPERLINK("https://klasma.github.io/Logging_0513/tillsynsmail/A 29514-2024 tillsynsbegäran mail.docx", "A 29514-2024")</f>
        <v/>
      </c>
    </row>
    <row r="73" ht="15" customHeight="1">
      <c r="A73" t="inlineStr">
        <is>
          <t>A 29509-2024</t>
        </is>
      </c>
      <c r="B73" s="1" t="n">
        <v>45484</v>
      </c>
      <c r="C73" s="1" t="n">
        <v>45696</v>
      </c>
      <c r="D73" t="inlineStr">
        <is>
          <t>ÖSTERGÖTLANDS LÄN</t>
        </is>
      </c>
      <c r="E73" t="inlineStr">
        <is>
          <t>KINDA</t>
        </is>
      </c>
      <c r="G73" t="n">
        <v>10.4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HYPERLINK("https://klasma.github.io/Logging_0513/artfynd/A 29509-2024 artfynd.xlsx", "A 29509-2024")</f>
        <v/>
      </c>
      <c r="T73">
        <f>HYPERLINK("https://klasma.github.io/Logging_0513/kartor/A 29509-2024 karta.png", "A 29509-2024")</f>
        <v/>
      </c>
      <c r="V73">
        <f>HYPERLINK("https://klasma.github.io/Logging_0513/klagomål/A 29509-2024 FSC-klagomål.docx", "A 29509-2024")</f>
        <v/>
      </c>
      <c r="W73">
        <f>HYPERLINK("https://klasma.github.io/Logging_0513/klagomålsmail/A 29509-2024 FSC-klagomål mail.docx", "A 29509-2024")</f>
        <v/>
      </c>
      <c r="X73">
        <f>HYPERLINK("https://klasma.github.io/Logging_0513/tillsyn/A 29509-2024 tillsynsbegäran.docx", "A 29509-2024")</f>
        <v/>
      </c>
      <c r="Y73">
        <f>HYPERLINK("https://klasma.github.io/Logging_0513/tillsynsmail/A 29509-2024 tillsynsbegäran mail.docx", "A 29509-2024")</f>
        <v/>
      </c>
    </row>
    <row r="74" ht="15" customHeight="1">
      <c r="A74" t="inlineStr">
        <is>
          <t>A 30255-2024</t>
        </is>
      </c>
      <c r="B74" s="1" t="n">
        <v>45490</v>
      </c>
      <c r="C74" s="1" t="n">
        <v>45696</v>
      </c>
      <c r="D74" t="inlineStr">
        <is>
          <t>ÖSTERGÖTLANDS LÄN</t>
        </is>
      </c>
      <c r="E74" t="inlineStr">
        <is>
          <t>KINDA</t>
        </is>
      </c>
      <c r="G74" t="n">
        <v>6.3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Späd fetfibbla</t>
        </is>
      </c>
      <c r="S74">
        <f>HYPERLINK("https://klasma.github.io/Logging_0513/artfynd/A 30255-2024 artfynd.xlsx", "A 30255-2024")</f>
        <v/>
      </c>
      <c r="T74">
        <f>HYPERLINK("https://klasma.github.io/Logging_0513/kartor/A 30255-2024 karta.png", "A 30255-2024")</f>
        <v/>
      </c>
      <c r="V74">
        <f>HYPERLINK("https://klasma.github.io/Logging_0513/klagomål/A 30255-2024 FSC-klagomål.docx", "A 30255-2024")</f>
        <v/>
      </c>
      <c r="W74">
        <f>HYPERLINK("https://klasma.github.io/Logging_0513/klagomålsmail/A 30255-2024 FSC-klagomål mail.docx", "A 30255-2024")</f>
        <v/>
      </c>
      <c r="X74">
        <f>HYPERLINK("https://klasma.github.io/Logging_0513/tillsyn/A 30255-2024 tillsynsbegäran.docx", "A 30255-2024")</f>
        <v/>
      </c>
      <c r="Y74">
        <f>HYPERLINK("https://klasma.github.io/Logging_0513/tillsynsmail/A 30255-2024 tillsynsbegäran mail.docx", "A 30255-2024")</f>
        <v/>
      </c>
    </row>
    <row r="75" ht="15" customHeight="1">
      <c r="A75" t="inlineStr">
        <is>
          <t>A 34628-2024</t>
        </is>
      </c>
      <c r="B75" s="1" t="n">
        <v>45526</v>
      </c>
      <c r="C75" s="1" t="n">
        <v>45696</v>
      </c>
      <c r="D75" t="inlineStr">
        <is>
          <t>ÖSTERGÖTLANDS LÄN</t>
        </is>
      </c>
      <c r="E75" t="inlineStr">
        <is>
          <t>KINDA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34628-2024 artfynd.xlsx", "A 34628-2024")</f>
        <v/>
      </c>
      <c r="T75">
        <f>HYPERLINK("https://klasma.github.io/Logging_0513/kartor/A 34628-2024 karta.png", "A 34628-2024")</f>
        <v/>
      </c>
      <c r="V75">
        <f>HYPERLINK("https://klasma.github.io/Logging_0513/klagomål/A 34628-2024 FSC-klagomål.docx", "A 34628-2024")</f>
        <v/>
      </c>
      <c r="W75">
        <f>HYPERLINK("https://klasma.github.io/Logging_0513/klagomålsmail/A 34628-2024 FSC-klagomål mail.docx", "A 34628-2024")</f>
        <v/>
      </c>
      <c r="X75">
        <f>HYPERLINK("https://klasma.github.io/Logging_0513/tillsyn/A 34628-2024 tillsynsbegäran.docx", "A 34628-2024")</f>
        <v/>
      </c>
      <c r="Y75">
        <f>HYPERLINK("https://klasma.github.io/Logging_0513/tillsynsmail/A 34628-2024 tillsynsbegäran mail.docx", "A 34628-2024")</f>
        <v/>
      </c>
    </row>
    <row r="76" ht="15" customHeight="1">
      <c r="A76" t="inlineStr">
        <is>
          <t>A 49369-2024</t>
        </is>
      </c>
      <c r="B76" s="1" t="n">
        <v>45595</v>
      </c>
      <c r="C76" s="1" t="n">
        <v>45696</v>
      </c>
      <c r="D76" t="inlineStr">
        <is>
          <t>ÖSTERGÖTLANDS LÄN</t>
        </is>
      </c>
      <c r="E76" t="inlineStr">
        <is>
          <t>KINDA</t>
        </is>
      </c>
      <c r="G76" t="n">
        <v>13.1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HYPERLINK("https://klasma.github.io/Logging_0513/artfynd/A 49369-2024 artfynd.xlsx", "A 49369-2024")</f>
        <v/>
      </c>
      <c r="T76">
        <f>HYPERLINK("https://klasma.github.io/Logging_0513/kartor/A 49369-2024 karta.png", "A 49369-2024")</f>
        <v/>
      </c>
      <c r="V76">
        <f>HYPERLINK("https://klasma.github.io/Logging_0513/klagomål/A 49369-2024 FSC-klagomål.docx", "A 49369-2024")</f>
        <v/>
      </c>
      <c r="W76">
        <f>HYPERLINK("https://klasma.github.io/Logging_0513/klagomålsmail/A 49369-2024 FSC-klagomål mail.docx", "A 49369-2024")</f>
        <v/>
      </c>
      <c r="X76">
        <f>HYPERLINK("https://klasma.github.io/Logging_0513/tillsyn/A 49369-2024 tillsynsbegäran.docx", "A 49369-2024")</f>
        <v/>
      </c>
      <c r="Y76">
        <f>HYPERLINK("https://klasma.github.io/Logging_0513/tillsynsmail/A 49369-2024 tillsynsbegäran mail.docx", "A 49369-2024")</f>
        <v/>
      </c>
    </row>
    <row r="77" ht="15" customHeight="1">
      <c r="A77" t="inlineStr">
        <is>
          <t>A 50702-2024</t>
        </is>
      </c>
      <c r="B77" s="1" t="n">
        <v>45602</v>
      </c>
      <c r="C77" s="1" t="n">
        <v>45696</v>
      </c>
      <c r="D77" t="inlineStr">
        <is>
          <t>ÖSTERGÖTLANDS LÄN</t>
        </is>
      </c>
      <c r="E77" t="inlineStr">
        <is>
          <t>KINDA</t>
        </is>
      </c>
      <c r="G77" t="n">
        <v>9.800000000000001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HYPERLINK("https://klasma.github.io/Logging_0513/artfynd/A 50702-2024 artfynd.xlsx", "A 50702-2024")</f>
        <v/>
      </c>
      <c r="T77">
        <f>HYPERLINK("https://klasma.github.io/Logging_0513/kartor/A 50702-2024 karta.png", "A 50702-2024")</f>
        <v/>
      </c>
      <c r="V77">
        <f>HYPERLINK("https://klasma.github.io/Logging_0513/klagomål/A 50702-2024 FSC-klagomål.docx", "A 50702-2024")</f>
        <v/>
      </c>
      <c r="W77">
        <f>HYPERLINK("https://klasma.github.io/Logging_0513/klagomålsmail/A 50702-2024 FSC-klagomål mail.docx", "A 50702-2024")</f>
        <v/>
      </c>
      <c r="X77">
        <f>HYPERLINK("https://klasma.github.io/Logging_0513/tillsyn/A 50702-2024 tillsynsbegäran.docx", "A 50702-2024")</f>
        <v/>
      </c>
      <c r="Y77">
        <f>HYPERLINK("https://klasma.github.io/Logging_0513/tillsynsmail/A 50702-2024 tillsynsbegäran mail.docx", "A 50702-2024")</f>
        <v/>
      </c>
    </row>
    <row r="78" ht="15" customHeight="1">
      <c r="A78" t="inlineStr">
        <is>
          <t>A 50716-2024</t>
        </is>
      </c>
      <c r="B78" s="1" t="n">
        <v>45602</v>
      </c>
      <c r="C78" s="1" t="n">
        <v>45696</v>
      </c>
      <c r="D78" t="inlineStr">
        <is>
          <t>ÖSTERGÖTLANDS LÄN</t>
        </is>
      </c>
      <c r="E78" t="inlineStr">
        <is>
          <t>KINDA</t>
        </is>
      </c>
      <c r="G78" t="n">
        <v>34.3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HYPERLINK("https://klasma.github.io/Logging_0513/artfynd/A 50716-2024 artfynd.xlsx", "A 50716-2024")</f>
        <v/>
      </c>
      <c r="T78">
        <f>HYPERLINK("https://klasma.github.io/Logging_0513/kartor/A 50716-2024 karta.png", "A 50716-2024")</f>
        <v/>
      </c>
      <c r="V78">
        <f>HYPERLINK("https://klasma.github.io/Logging_0513/klagomål/A 50716-2024 FSC-klagomål.docx", "A 50716-2024")</f>
        <v/>
      </c>
      <c r="W78">
        <f>HYPERLINK("https://klasma.github.io/Logging_0513/klagomålsmail/A 50716-2024 FSC-klagomål mail.docx", "A 50716-2024")</f>
        <v/>
      </c>
      <c r="X78">
        <f>HYPERLINK("https://klasma.github.io/Logging_0513/tillsyn/A 50716-2024 tillsynsbegäran.docx", "A 50716-2024")</f>
        <v/>
      </c>
      <c r="Y78">
        <f>HYPERLINK("https://klasma.github.io/Logging_0513/tillsynsmail/A 50716-2024 tillsynsbegäran mail.docx", "A 50716-2024")</f>
        <v/>
      </c>
    </row>
    <row r="79" ht="15" customHeight="1">
      <c r="A79" t="inlineStr">
        <is>
          <t>A 56584-2024</t>
        </is>
      </c>
      <c r="B79" s="1" t="n">
        <v>45625</v>
      </c>
      <c r="C79" s="1" t="n">
        <v>45696</v>
      </c>
      <c r="D79" t="inlineStr">
        <is>
          <t>ÖSTERGÖTLANDS LÄN</t>
        </is>
      </c>
      <c r="E79" t="inlineStr">
        <is>
          <t>KINDA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HYPERLINK("https://klasma.github.io/Logging_0513/artfynd/A 56584-2024 artfynd.xlsx", "A 56584-2024")</f>
        <v/>
      </c>
      <c r="T79">
        <f>HYPERLINK("https://klasma.github.io/Logging_0513/kartor/A 56584-2024 karta.png", "A 56584-2024")</f>
        <v/>
      </c>
      <c r="V79">
        <f>HYPERLINK("https://klasma.github.io/Logging_0513/klagomål/A 56584-2024 FSC-klagomål.docx", "A 56584-2024")</f>
        <v/>
      </c>
      <c r="W79">
        <f>HYPERLINK("https://klasma.github.io/Logging_0513/klagomålsmail/A 56584-2024 FSC-klagomål mail.docx", "A 56584-2024")</f>
        <v/>
      </c>
      <c r="X79">
        <f>HYPERLINK("https://klasma.github.io/Logging_0513/tillsyn/A 56584-2024 tillsynsbegäran.docx", "A 56584-2024")</f>
        <v/>
      </c>
      <c r="Y79">
        <f>HYPERLINK("https://klasma.github.io/Logging_0513/tillsynsmail/A 56584-2024 tillsynsbegäran mail.docx", "A 56584-2024")</f>
        <v/>
      </c>
      <c r="Z79">
        <f>HYPERLINK("https://klasma.github.io/Logging_0513/fåglar/A 56584-2024 prioriterade fågelarter.docx", "A 56584-2024")</f>
        <v/>
      </c>
    </row>
    <row r="80" ht="15" customHeight="1">
      <c r="A80" t="inlineStr">
        <is>
          <t>A 57522-2024</t>
        </is>
      </c>
      <c r="B80" s="1" t="n">
        <v>45630</v>
      </c>
      <c r="C80" s="1" t="n">
        <v>45696</v>
      </c>
      <c r="D80" t="inlineStr">
        <is>
          <t>ÖSTERGÖTLANDS LÄN</t>
        </is>
      </c>
      <c r="E80" t="inlineStr">
        <is>
          <t>KINDA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57522-2024 artfynd.xlsx", "A 57522-2024")</f>
        <v/>
      </c>
      <c r="T80">
        <f>HYPERLINK("https://klasma.github.io/Logging_0513/kartor/A 57522-2024 karta.png", "A 57522-2024")</f>
        <v/>
      </c>
      <c r="V80">
        <f>HYPERLINK("https://klasma.github.io/Logging_0513/klagomål/A 57522-2024 FSC-klagomål.docx", "A 57522-2024")</f>
        <v/>
      </c>
      <c r="W80">
        <f>HYPERLINK("https://klasma.github.io/Logging_0513/klagomålsmail/A 57522-2024 FSC-klagomål mail.docx", "A 57522-2024")</f>
        <v/>
      </c>
      <c r="X80">
        <f>HYPERLINK("https://klasma.github.io/Logging_0513/tillsyn/A 57522-2024 tillsynsbegäran.docx", "A 57522-2024")</f>
        <v/>
      </c>
      <c r="Y80">
        <f>HYPERLINK("https://klasma.github.io/Logging_0513/tillsynsmail/A 57522-2024 tillsynsbegäran mail.docx", "A 57522-2024")</f>
        <v/>
      </c>
    </row>
    <row r="81" ht="15" customHeight="1">
      <c r="A81" t="inlineStr">
        <is>
          <t>A 3417-2025</t>
        </is>
      </c>
      <c r="B81" s="1" t="n">
        <v>45680</v>
      </c>
      <c r="C81" s="1" t="n">
        <v>45696</v>
      </c>
      <c r="D81" t="inlineStr">
        <is>
          <t>ÖSTERGÖTLANDS LÄN</t>
        </is>
      </c>
      <c r="E81" t="inlineStr">
        <is>
          <t>KINDA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HYPERLINK("https://klasma.github.io/Logging_0513/artfynd/A 3417-2025 artfynd.xlsx", "A 3417-2025")</f>
        <v/>
      </c>
      <c r="T81">
        <f>HYPERLINK("https://klasma.github.io/Logging_0513/kartor/A 3417-2025 karta.png", "A 3417-2025")</f>
        <v/>
      </c>
      <c r="V81">
        <f>HYPERLINK("https://klasma.github.io/Logging_0513/klagomål/A 3417-2025 FSC-klagomål.docx", "A 3417-2025")</f>
        <v/>
      </c>
      <c r="W81">
        <f>HYPERLINK("https://klasma.github.io/Logging_0513/klagomålsmail/A 3417-2025 FSC-klagomål mail.docx", "A 3417-2025")</f>
        <v/>
      </c>
      <c r="X81">
        <f>HYPERLINK("https://klasma.github.io/Logging_0513/tillsyn/A 3417-2025 tillsynsbegäran.docx", "A 3417-2025")</f>
        <v/>
      </c>
      <c r="Y81">
        <f>HYPERLINK("https://klasma.github.io/Logging_0513/tillsynsmail/A 3417-2025 tillsynsbegäran mail.docx", "A 3417-2025")</f>
        <v/>
      </c>
    </row>
    <row r="82" ht="15" customHeight="1">
      <c r="A82" t="inlineStr">
        <is>
          <t>A 18047-2019</t>
        </is>
      </c>
      <c r="B82" s="1" t="n">
        <v>43557</v>
      </c>
      <c r="C82" s="1" t="n">
        <v>45696</v>
      </c>
      <c r="D82" t="inlineStr">
        <is>
          <t>ÖSTERGÖTLANDS LÄN</t>
        </is>
      </c>
      <c r="E82" t="inlineStr">
        <is>
          <t>KINDA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18524-2019</t>
        </is>
      </c>
      <c r="B83" s="1" t="n">
        <v>43558</v>
      </c>
      <c r="C83" s="1" t="n">
        <v>45696</v>
      </c>
      <c r="D83" t="inlineStr">
        <is>
          <t>ÖSTERGÖTLANDS LÄN</t>
        </is>
      </c>
      <c r="E83" t="inlineStr">
        <is>
          <t>KINDA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18907-2019</t>
        </is>
      </c>
      <c r="B84" s="1" t="n">
        <v>43563</v>
      </c>
      <c r="C84" s="1" t="n">
        <v>45696</v>
      </c>
      <c r="D84" t="inlineStr">
        <is>
          <t>ÖSTERGÖTLANDS LÄN</t>
        </is>
      </c>
      <c r="E84" t="inlineStr">
        <is>
          <t>KINDA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18903-2019</t>
        </is>
      </c>
      <c r="B85" s="1" t="n">
        <v>43563</v>
      </c>
      <c r="C85" s="1" t="n">
        <v>45696</v>
      </c>
      <c r="D85" t="inlineStr">
        <is>
          <t>ÖSTERGÖTLANDS LÄN</t>
        </is>
      </c>
      <c r="E85" t="inlineStr">
        <is>
          <t>KINDA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20707-2019</t>
        </is>
      </c>
      <c r="B86" s="1" t="n">
        <v>43573</v>
      </c>
      <c r="C86" s="1" t="n">
        <v>45696</v>
      </c>
      <c r="D86" t="inlineStr">
        <is>
          <t>ÖSTERGÖTLANDS LÄN</t>
        </is>
      </c>
      <c r="E86" t="inlineStr">
        <is>
          <t>KINDA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21038-2019</t>
        </is>
      </c>
      <c r="B87" s="1" t="n">
        <v>43578</v>
      </c>
      <c r="C87" s="1" t="n">
        <v>45696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21309-2019</t>
        </is>
      </c>
      <c r="B88" s="1" t="n">
        <v>43579</v>
      </c>
      <c r="C88" s="1" t="n">
        <v>45696</v>
      </c>
      <c r="D88" t="inlineStr">
        <is>
          <t>ÖSTERGÖTLANDS LÄN</t>
        </is>
      </c>
      <c r="E88" t="inlineStr">
        <is>
          <t>KINDA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21378-2019</t>
        </is>
      </c>
      <c r="B89" s="1" t="n">
        <v>43579</v>
      </c>
      <c r="C89" s="1" t="n">
        <v>45696</v>
      </c>
      <c r="D89" t="inlineStr">
        <is>
          <t>ÖSTERGÖTLANDS LÄN</t>
        </is>
      </c>
      <c r="E89" t="inlineStr">
        <is>
          <t>KINDA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21425-2019</t>
        </is>
      </c>
      <c r="B90" s="1" t="n">
        <v>43580</v>
      </c>
      <c r="C90" s="1" t="n">
        <v>45696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21869-2019</t>
        </is>
      </c>
      <c r="B91" s="1" t="n">
        <v>43584</v>
      </c>
      <c r="C91" s="1" t="n">
        <v>45696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22038-2019</t>
        </is>
      </c>
      <c r="B92" s="1" t="n">
        <v>43584</v>
      </c>
      <c r="C92" s="1" t="n">
        <v>45696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21865-2019</t>
        </is>
      </c>
      <c r="B93" s="1" t="n">
        <v>43584</v>
      </c>
      <c r="C93" s="1" t="n">
        <v>45696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22683-2019</t>
        </is>
      </c>
      <c r="B94" s="1" t="n">
        <v>43588</v>
      </c>
      <c r="C94" s="1" t="n">
        <v>45696</v>
      </c>
      <c r="D94" t="inlineStr">
        <is>
          <t>ÖSTERGÖTLANDS LÄN</t>
        </is>
      </c>
      <c r="E94" t="inlineStr">
        <is>
          <t>KINDA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22793-2019</t>
        </is>
      </c>
      <c r="B95" s="1" t="n">
        <v>43589</v>
      </c>
      <c r="C95" s="1" t="n">
        <v>45696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23367-2019</t>
        </is>
      </c>
      <c r="B96" s="1" t="n">
        <v>43593</v>
      </c>
      <c r="C96" s="1" t="n">
        <v>45696</v>
      </c>
      <c r="D96" t="inlineStr">
        <is>
          <t>ÖSTERGÖTLANDS LÄN</t>
        </is>
      </c>
      <c r="E96" t="inlineStr">
        <is>
          <t>KINDA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23593-2019</t>
        </is>
      </c>
      <c r="B97" s="1" t="n">
        <v>43594</v>
      </c>
      <c r="C97" s="1" t="n">
        <v>45696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23886-2019</t>
        </is>
      </c>
      <c r="B98" s="1" t="n">
        <v>43595</v>
      </c>
      <c r="C98" s="1" t="n">
        <v>45696</v>
      </c>
      <c r="D98" t="inlineStr">
        <is>
          <t>ÖSTERGÖTLANDS LÄN</t>
        </is>
      </c>
      <c r="E98" t="inlineStr">
        <is>
          <t>KINDA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24308-2019</t>
        </is>
      </c>
      <c r="B99" s="1" t="n">
        <v>43599</v>
      </c>
      <c r="C99" s="1" t="n">
        <v>45696</v>
      </c>
      <c r="D99" t="inlineStr">
        <is>
          <t>ÖSTERGÖTLANDS LÄN</t>
        </is>
      </c>
      <c r="E99" t="inlineStr">
        <is>
          <t>KINDA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25203-2019</t>
        </is>
      </c>
      <c r="B100" s="1" t="n">
        <v>43600</v>
      </c>
      <c r="C100" s="1" t="n">
        <v>45696</v>
      </c>
      <c r="D100" t="inlineStr">
        <is>
          <t>ÖSTERGÖTLANDS LÄN</t>
        </is>
      </c>
      <c r="E100" t="inlineStr">
        <is>
          <t>KINDA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24936-2019</t>
        </is>
      </c>
      <c r="B101" s="1" t="n">
        <v>43602</v>
      </c>
      <c r="C101" s="1" t="n">
        <v>45696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25820-2019</t>
        </is>
      </c>
      <c r="B102" s="1" t="n">
        <v>43608</v>
      </c>
      <c r="C102" s="1" t="n">
        <v>45696</v>
      </c>
      <c r="D102" t="inlineStr">
        <is>
          <t>ÖSTERGÖTLANDS LÄN</t>
        </is>
      </c>
      <c r="E102" t="inlineStr">
        <is>
          <t>KINDA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26604-2019</t>
        </is>
      </c>
      <c r="B103" s="1" t="n">
        <v>43612</v>
      </c>
      <c r="C103" s="1" t="n">
        <v>45696</v>
      </c>
      <c r="D103" t="inlineStr">
        <is>
          <t>ÖSTERGÖTLANDS LÄN</t>
        </is>
      </c>
      <c r="E103" t="inlineStr">
        <is>
          <t>KINDA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26445-2019</t>
        </is>
      </c>
      <c r="B104" s="1" t="n">
        <v>43612</v>
      </c>
      <c r="C104" s="1" t="n">
        <v>45696</v>
      </c>
      <c r="D104" t="inlineStr">
        <is>
          <t>ÖSTERGÖTLANDS LÄN</t>
        </is>
      </c>
      <c r="E104" t="inlineStr">
        <is>
          <t>KINDA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26450-2019</t>
        </is>
      </c>
      <c r="B105" s="1" t="n">
        <v>43612</v>
      </c>
      <c r="C105" s="1" t="n">
        <v>45696</v>
      </c>
      <c r="D105" t="inlineStr">
        <is>
          <t>ÖSTERGÖTLANDS LÄN</t>
        </is>
      </c>
      <c r="E105" t="inlineStr">
        <is>
          <t>KINDA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28909-2019</t>
        </is>
      </c>
      <c r="B106" s="1" t="n">
        <v>43619</v>
      </c>
      <c r="C106" s="1" t="n">
        <v>45696</v>
      </c>
      <c r="D106" t="inlineStr">
        <is>
          <t>ÖSTERGÖTLANDS LÄN</t>
        </is>
      </c>
      <c r="E106" t="inlineStr">
        <is>
          <t>KINDA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28914-2019</t>
        </is>
      </c>
      <c r="B107" s="1" t="n">
        <v>43619</v>
      </c>
      <c r="C107" s="1" t="n">
        <v>45696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29215-2019</t>
        </is>
      </c>
      <c r="B108" s="1" t="n">
        <v>43621</v>
      </c>
      <c r="C108" s="1" t="n">
        <v>45696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29218-2019</t>
        </is>
      </c>
      <c r="B109" s="1" t="n">
        <v>43621</v>
      </c>
      <c r="C109" s="1" t="n">
        <v>45696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28588-2019</t>
        </is>
      </c>
      <c r="B110" s="1" t="n">
        <v>43626</v>
      </c>
      <c r="C110" s="1" t="n">
        <v>45696</v>
      </c>
      <c r="D110" t="inlineStr">
        <is>
          <t>ÖSTERGÖTLANDS LÄN</t>
        </is>
      </c>
      <c r="E110" t="inlineStr">
        <is>
          <t>KINDA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28589-2019</t>
        </is>
      </c>
      <c r="B111" s="1" t="n">
        <v>43626</v>
      </c>
      <c r="C111" s="1" t="n">
        <v>45696</v>
      </c>
      <c r="D111" t="inlineStr">
        <is>
          <t>ÖSTERGÖTLANDS LÄN</t>
        </is>
      </c>
      <c r="E111" t="inlineStr">
        <is>
          <t>KINDA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30356-2019</t>
        </is>
      </c>
      <c r="B112" s="1" t="n">
        <v>43634</v>
      </c>
      <c r="C112" s="1" t="n">
        <v>45696</v>
      </c>
      <c r="D112" t="inlineStr">
        <is>
          <t>ÖSTERGÖTLANDS LÄN</t>
        </is>
      </c>
      <c r="E112" t="inlineStr">
        <is>
          <t>KINDA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30361-2019</t>
        </is>
      </c>
      <c r="B113" s="1" t="n">
        <v>43634</v>
      </c>
      <c r="C113" s="1" t="n">
        <v>45696</v>
      </c>
      <c r="D113" t="inlineStr">
        <is>
          <t>ÖSTERGÖTLANDS LÄN</t>
        </is>
      </c>
      <c r="E113" t="inlineStr">
        <is>
          <t>KINDA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30831-2019</t>
        </is>
      </c>
      <c r="B114" s="1" t="n">
        <v>43636</v>
      </c>
      <c r="C114" s="1" t="n">
        <v>45696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32300-2019</t>
        </is>
      </c>
      <c r="B115" s="1" t="n">
        <v>43644</v>
      </c>
      <c r="C115" s="1" t="n">
        <v>45696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32614-2019</t>
        </is>
      </c>
      <c r="B116" s="1" t="n">
        <v>43647</v>
      </c>
      <c r="C116" s="1" t="n">
        <v>45696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32626-2019</t>
        </is>
      </c>
      <c r="B117" s="1" t="n">
        <v>43647</v>
      </c>
      <c r="C117" s="1" t="n">
        <v>45696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33129-2019</t>
        </is>
      </c>
      <c r="B118" s="1" t="n">
        <v>43649</v>
      </c>
      <c r="C118" s="1" t="n">
        <v>45696</v>
      </c>
      <c r="D118" t="inlineStr">
        <is>
          <t>ÖSTERGÖTLANDS LÄN</t>
        </is>
      </c>
      <c r="E118" t="inlineStr">
        <is>
          <t>KINDA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33130-2019</t>
        </is>
      </c>
      <c r="B119" s="1" t="n">
        <v>43649</v>
      </c>
      <c r="C119" s="1" t="n">
        <v>45696</v>
      </c>
      <c r="D119" t="inlineStr">
        <is>
          <t>ÖSTERGÖTLANDS LÄN</t>
        </is>
      </c>
      <c r="E119" t="inlineStr">
        <is>
          <t>KINDA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33689-2019</t>
        </is>
      </c>
      <c r="B120" s="1" t="n">
        <v>43651</v>
      </c>
      <c r="C120" s="1" t="n">
        <v>45696</v>
      </c>
      <c r="D120" t="inlineStr">
        <is>
          <t>ÖSTERGÖTLANDS LÄN</t>
        </is>
      </c>
      <c r="E120" t="inlineStr">
        <is>
          <t>KINDA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36012-2019</t>
        </is>
      </c>
      <c r="B121" s="1" t="n">
        <v>43657</v>
      </c>
      <c r="C121" s="1" t="n">
        <v>45696</v>
      </c>
      <c r="D121" t="inlineStr">
        <is>
          <t>ÖSTERGÖTLANDS LÄN</t>
        </is>
      </c>
      <c r="E121" t="inlineStr">
        <is>
          <t>KINDA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36001-2019</t>
        </is>
      </c>
      <c r="B122" s="1" t="n">
        <v>43657</v>
      </c>
      <c r="C122" s="1" t="n">
        <v>45696</v>
      </c>
      <c r="D122" t="inlineStr">
        <is>
          <t>ÖSTERGÖTLANDS LÄN</t>
        </is>
      </c>
      <c r="E122" t="inlineStr">
        <is>
          <t>KINDA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36015-2019</t>
        </is>
      </c>
      <c r="B123" s="1" t="n">
        <v>43657</v>
      </c>
      <c r="C123" s="1" t="n">
        <v>45696</v>
      </c>
      <c r="D123" t="inlineStr">
        <is>
          <t>ÖSTERGÖTLANDS LÄN</t>
        </is>
      </c>
      <c r="E123" t="inlineStr">
        <is>
          <t>KINDA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36301-2019</t>
        </is>
      </c>
      <c r="B124" s="1" t="n">
        <v>43661</v>
      </c>
      <c r="C124" s="1" t="n">
        <v>45696</v>
      </c>
      <c r="D124" t="inlineStr">
        <is>
          <t>ÖSTERGÖTLANDS LÄN</t>
        </is>
      </c>
      <c r="E124" t="inlineStr">
        <is>
          <t>KINDA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36763-2019</t>
        </is>
      </c>
      <c r="B125" s="1" t="n">
        <v>43672</v>
      </c>
      <c r="C125" s="1" t="n">
        <v>45696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37464-2019</t>
        </is>
      </c>
      <c r="B126" s="1" t="n">
        <v>43679</v>
      </c>
      <c r="C126" s="1" t="n">
        <v>45696</v>
      </c>
      <c r="D126" t="inlineStr">
        <is>
          <t>ÖSTERGÖTLANDS LÄN</t>
        </is>
      </c>
      <c r="E126" t="inlineStr">
        <is>
          <t>KINDA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37707-2019</t>
        </is>
      </c>
      <c r="B127" s="1" t="n">
        <v>43682</v>
      </c>
      <c r="C127" s="1" t="n">
        <v>45696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37902-2019</t>
        </is>
      </c>
      <c r="B128" s="1" t="n">
        <v>43683</v>
      </c>
      <c r="C128" s="1" t="n">
        <v>45696</v>
      </c>
      <c r="D128" t="inlineStr">
        <is>
          <t>ÖSTERGÖTLANDS LÄN</t>
        </is>
      </c>
      <c r="E128" t="inlineStr">
        <is>
          <t>KINDA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38416-2019</t>
        </is>
      </c>
      <c r="B129" s="1" t="n">
        <v>43685</v>
      </c>
      <c r="C129" s="1" t="n">
        <v>45696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39051-2019</t>
        </is>
      </c>
      <c r="B130" s="1" t="n">
        <v>43689</v>
      </c>
      <c r="C130" s="1" t="n">
        <v>45696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39675-2019</t>
        </is>
      </c>
      <c r="B131" s="1" t="n">
        <v>43689</v>
      </c>
      <c r="C131" s="1" t="n">
        <v>45696</v>
      </c>
      <c r="D131" t="inlineStr">
        <is>
          <t>ÖSTERGÖTLANDS LÄN</t>
        </is>
      </c>
      <c r="E131" t="inlineStr">
        <is>
          <t>KINDA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39684-2019</t>
        </is>
      </c>
      <c r="B132" s="1" t="n">
        <v>43689</v>
      </c>
      <c r="C132" s="1" t="n">
        <v>45696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40601-2019</t>
        </is>
      </c>
      <c r="B133" s="1" t="n">
        <v>43691</v>
      </c>
      <c r="C133" s="1" t="n">
        <v>45696</v>
      </c>
      <c r="D133" t="inlineStr">
        <is>
          <t>ÖSTERGÖTLANDS LÄN</t>
        </is>
      </c>
      <c r="E133" t="inlineStr">
        <is>
          <t>KINDA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40312-2019</t>
        </is>
      </c>
      <c r="B134" s="1" t="n">
        <v>43696</v>
      </c>
      <c r="C134" s="1" t="n">
        <v>45696</v>
      </c>
      <c r="D134" t="inlineStr">
        <is>
          <t>ÖSTERGÖTLANDS LÄN</t>
        </is>
      </c>
      <c r="E134" t="inlineStr">
        <is>
          <t>KINDA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40316-2019</t>
        </is>
      </c>
      <c r="B135" s="1" t="n">
        <v>43696</v>
      </c>
      <c r="C135" s="1" t="n">
        <v>45696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40567-2019</t>
        </is>
      </c>
      <c r="B136" s="1" t="n">
        <v>43696</v>
      </c>
      <c r="C136" s="1" t="n">
        <v>45696</v>
      </c>
      <c r="D136" t="inlineStr">
        <is>
          <t>ÖSTERGÖTLANDS LÄN</t>
        </is>
      </c>
      <c r="E136" t="inlineStr">
        <is>
          <t>KINDA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41261-2019</t>
        </is>
      </c>
      <c r="B137" s="1" t="n">
        <v>43698</v>
      </c>
      <c r="C137" s="1" t="n">
        <v>45696</v>
      </c>
      <c r="D137" t="inlineStr">
        <is>
          <t>ÖSTERGÖTLANDS LÄN</t>
        </is>
      </c>
      <c r="E137" t="inlineStr">
        <is>
          <t>KINDA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42272-2019</t>
        </is>
      </c>
      <c r="B138" s="1" t="n">
        <v>43698</v>
      </c>
      <c r="C138" s="1" t="n">
        <v>45696</v>
      </c>
      <c r="D138" t="inlineStr">
        <is>
          <t>ÖSTERGÖTLANDS LÄN</t>
        </is>
      </c>
      <c r="E138" t="inlineStr">
        <is>
          <t>KINDA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41265-2019</t>
        </is>
      </c>
      <c r="B139" s="1" t="n">
        <v>43698</v>
      </c>
      <c r="C139" s="1" t="n">
        <v>45696</v>
      </c>
      <c r="D139" t="inlineStr">
        <is>
          <t>ÖSTERGÖTLANDS LÄN</t>
        </is>
      </c>
      <c r="E139" t="inlineStr">
        <is>
          <t>KINDA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41658-2019</t>
        </is>
      </c>
      <c r="B140" s="1" t="n">
        <v>43699</v>
      </c>
      <c r="C140" s="1" t="n">
        <v>45696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42103-2019</t>
        </is>
      </c>
      <c r="B141" s="1" t="n">
        <v>43702</v>
      </c>
      <c r="C141" s="1" t="n">
        <v>45696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43331-2019</t>
        </is>
      </c>
      <c r="B142" s="1" t="n">
        <v>43703</v>
      </c>
      <c r="C142" s="1" t="n">
        <v>45696</v>
      </c>
      <c r="D142" t="inlineStr">
        <is>
          <t>ÖSTERGÖTLANDS LÄN</t>
        </is>
      </c>
      <c r="E142" t="inlineStr">
        <is>
          <t>KINDA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44243-2019</t>
        </is>
      </c>
      <c r="B143" s="1" t="n">
        <v>43705</v>
      </c>
      <c r="C143" s="1" t="n">
        <v>45696</v>
      </c>
      <c r="D143" t="inlineStr">
        <is>
          <t>ÖSTERGÖTLANDS LÄN</t>
        </is>
      </c>
      <c r="E143" t="inlineStr">
        <is>
          <t>KINDA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43302-2019</t>
        </is>
      </c>
      <c r="B144" s="1" t="n">
        <v>43706</v>
      </c>
      <c r="C144" s="1" t="n">
        <v>45696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43712-2019</t>
        </is>
      </c>
      <c r="B145" s="1" t="n">
        <v>43707</v>
      </c>
      <c r="C145" s="1" t="n">
        <v>45696</v>
      </c>
      <c r="D145" t="inlineStr">
        <is>
          <t>ÖSTERGÖTLANDS LÄN</t>
        </is>
      </c>
      <c r="E145" t="inlineStr">
        <is>
          <t>KINDA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43680-2019</t>
        </is>
      </c>
      <c r="B146" s="1" t="n">
        <v>43707</v>
      </c>
      <c r="C146" s="1" t="n">
        <v>45696</v>
      </c>
      <c r="D146" t="inlineStr">
        <is>
          <t>ÖSTERGÖTLANDS LÄN</t>
        </is>
      </c>
      <c r="E146" t="inlineStr">
        <is>
          <t>KINDA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44249-2019</t>
        </is>
      </c>
      <c r="B147" s="1" t="n">
        <v>43710</v>
      </c>
      <c r="C147" s="1" t="n">
        <v>45696</v>
      </c>
      <c r="D147" t="inlineStr">
        <is>
          <t>ÖSTERGÖTLANDS LÄN</t>
        </is>
      </c>
      <c r="E147" t="inlineStr">
        <is>
          <t>KINDA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44372-2019</t>
        </is>
      </c>
      <c r="B148" s="1" t="n">
        <v>43711</v>
      </c>
      <c r="C148" s="1" t="n">
        <v>45696</v>
      </c>
      <c r="D148" t="inlineStr">
        <is>
          <t>ÖSTERGÖTLANDS LÄN</t>
        </is>
      </c>
      <c r="E148" t="inlineStr">
        <is>
          <t>KINDA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44622-2019</t>
        </is>
      </c>
      <c r="B149" s="1" t="n">
        <v>43712</v>
      </c>
      <c r="C149" s="1" t="n">
        <v>45696</v>
      </c>
      <c r="D149" t="inlineStr">
        <is>
          <t>ÖSTERGÖTLANDS LÄN</t>
        </is>
      </c>
      <c r="E149" t="inlineStr">
        <is>
          <t>KINDA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45384-2019</t>
        </is>
      </c>
      <c r="B150" s="1" t="n">
        <v>43714</v>
      </c>
      <c r="C150" s="1" t="n">
        <v>45696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45447-2019</t>
        </is>
      </c>
      <c r="B151" s="1" t="n">
        <v>43714</v>
      </c>
      <c r="C151" s="1" t="n">
        <v>45696</v>
      </c>
      <c r="D151" t="inlineStr">
        <is>
          <t>ÖSTERGÖTLANDS LÄN</t>
        </is>
      </c>
      <c r="E151" t="inlineStr">
        <is>
          <t>KINDA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45902-2019</t>
        </is>
      </c>
      <c r="B152" s="1" t="n">
        <v>43717</v>
      </c>
      <c r="C152" s="1" t="n">
        <v>45696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46401-2019</t>
        </is>
      </c>
      <c r="B153" s="1" t="n">
        <v>43719</v>
      </c>
      <c r="C153" s="1" t="n">
        <v>45696</v>
      </c>
      <c r="D153" t="inlineStr">
        <is>
          <t>ÖSTERGÖTLANDS LÄN</t>
        </is>
      </c>
      <c r="E153" t="inlineStr">
        <is>
          <t>KINDA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46399-2019</t>
        </is>
      </c>
      <c r="B154" s="1" t="n">
        <v>43719</v>
      </c>
      <c r="C154" s="1" t="n">
        <v>45696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47249-2019</t>
        </is>
      </c>
      <c r="B155" s="1" t="n">
        <v>43721</v>
      </c>
      <c r="C155" s="1" t="n">
        <v>45696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48106-2019</t>
        </is>
      </c>
      <c r="B156" s="1" t="n">
        <v>43725</v>
      </c>
      <c r="C156" s="1" t="n">
        <v>45696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48761-2019</t>
        </is>
      </c>
      <c r="B157" s="1" t="n">
        <v>43727</v>
      </c>
      <c r="C157" s="1" t="n">
        <v>45696</v>
      </c>
      <c r="D157" t="inlineStr">
        <is>
          <t>ÖSTERGÖTLANDS LÄN</t>
        </is>
      </c>
      <c r="E157" t="inlineStr">
        <is>
          <t>KINDA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48568-2019</t>
        </is>
      </c>
      <c r="B158" s="1" t="n">
        <v>43727</v>
      </c>
      <c r="C158" s="1" t="n">
        <v>45696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48759-2019</t>
        </is>
      </c>
      <c r="B159" s="1" t="n">
        <v>43727</v>
      </c>
      <c r="C159" s="1" t="n">
        <v>45696</v>
      </c>
      <c r="D159" t="inlineStr">
        <is>
          <t>ÖSTERGÖTLANDS LÄN</t>
        </is>
      </c>
      <c r="E159" t="inlineStr">
        <is>
          <t>KINDA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49352-2019</t>
        </is>
      </c>
      <c r="B160" s="1" t="n">
        <v>43731</v>
      </c>
      <c r="C160" s="1" t="n">
        <v>45696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50432-2019</t>
        </is>
      </c>
      <c r="B161" s="1" t="n">
        <v>43735</v>
      </c>
      <c r="C161" s="1" t="n">
        <v>45696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51438-2019</t>
        </is>
      </c>
      <c r="B162" s="1" t="n">
        <v>43740</v>
      </c>
      <c r="C162" s="1" t="n">
        <v>45696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52010-2019</t>
        </is>
      </c>
      <c r="B163" s="1" t="n">
        <v>43742</v>
      </c>
      <c r="C163" s="1" t="n">
        <v>45696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54551-2019</t>
        </is>
      </c>
      <c r="B164" s="1" t="n">
        <v>43748</v>
      </c>
      <c r="C164" s="1" t="n">
        <v>45696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54539-2019</t>
        </is>
      </c>
      <c r="B165" s="1" t="n">
        <v>43748</v>
      </c>
      <c r="C165" s="1" t="n">
        <v>45696</v>
      </c>
      <c r="D165" t="inlineStr">
        <is>
          <t>ÖSTERGÖTLANDS LÄN</t>
        </is>
      </c>
      <c r="E165" t="inlineStr">
        <is>
          <t>KINDA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55294-2019</t>
        </is>
      </c>
      <c r="B166" s="1" t="n">
        <v>43756</v>
      </c>
      <c r="C166" s="1" t="n">
        <v>45696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56433-2019</t>
        </is>
      </c>
      <c r="B167" s="1" t="n">
        <v>43762</v>
      </c>
      <c r="C167" s="1" t="n">
        <v>45696</v>
      </c>
      <c r="D167" t="inlineStr">
        <is>
          <t>ÖSTERGÖTLANDS LÄN</t>
        </is>
      </c>
      <c r="E167" t="inlineStr">
        <is>
          <t>KINDA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56432-2019</t>
        </is>
      </c>
      <c r="B168" s="1" t="n">
        <v>43762</v>
      </c>
      <c r="C168" s="1" t="n">
        <v>45696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56848-2019</t>
        </is>
      </c>
      <c r="B169" s="1" t="n">
        <v>43765</v>
      </c>
      <c r="C169" s="1" t="n">
        <v>45696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57157-2019</t>
        </is>
      </c>
      <c r="B170" s="1" t="n">
        <v>43766</v>
      </c>
      <c r="C170" s="1" t="n">
        <v>45696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54796-2019</t>
        </is>
      </c>
      <c r="B171" s="1" t="n">
        <v>43767</v>
      </c>
      <c r="C171" s="1" t="n">
        <v>45696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57371-2019</t>
        </is>
      </c>
      <c r="B172" s="1" t="n">
        <v>43767</v>
      </c>
      <c r="C172" s="1" t="n">
        <v>45696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57323-2019</t>
        </is>
      </c>
      <c r="B173" s="1" t="n">
        <v>43767</v>
      </c>
      <c r="C173" s="1" t="n">
        <v>45696</v>
      </c>
      <c r="D173" t="inlineStr">
        <is>
          <t>ÖSTERGÖTLANDS LÄN</t>
        </is>
      </c>
      <c r="E173" t="inlineStr">
        <is>
          <t>KINDA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57376-2019</t>
        </is>
      </c>
      <c r="B174" s="1" t="n">
        <v>43767</v>
      </c>
      <c r="C174" s="1" t="n">
        <v>45696</v>
      </c>
      <c r="D174" t="inlineStr">
        <is>
          <t>ÖSTERGÖTLANDS LÄN</t>
        </is>
      </c>
      <c r="E174" t="inlineStr">
        <is>
          <t>KINDA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58533-2019</t>
        </is>
      </c>
      <c r="B175" s="1" t="n">
        <v>43773</v>
      </c>
      <c r="C175" s="1" t="n">
        <v>45696</v>
      </c>
      <c r="D175" t="inlineStr">
        <is>
          <t>ÖSTERGÖTLANDS LÄN</t>
        </is>
      </c>
      <c r="E175" t="inlineStr">
        <is>
          <t>KINDA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58564-2019</t>
        </is>
      </c>
      <c r="B176" s="1" t="n">
        <v>43773</v>
      </c>
      <c r="C176" s="1" t="n">
        <v>45696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59518-2019</t>
        </is>
      </c>
      <c r="B177" s="1" t="n">
        <v>43773</v>
      </c>
      <c r="C177" s="1" t="n">
        <v>45696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59242-2019</t>
        </is>
      </c>
      <c r="B178" s="1" t="n">
        <v>43775</v>
      </c>
      <c r="C178" s="1" t="n">
        <v>45696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60603-2019</t>
        </is>
      </c>
      <c r="B179" s="1" t="n">
        <v>43781</v>
      </c>
      <c r="C179" s="1" t="n">
        <v>45696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62227-2019</t>
        </is>
      </c>
      <c r="B180" s="1" t="n">
        <v>43782</v>
      </c>
      <c r="C180" s="1" t="n">
        <v>45696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62217-2019</t>
        </is>
      </c>
      <c r="B181" s="1" t="n">
        <v>43782</v>
      </c>
      <c r="C181" s="1" t="n">
        <v>45696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61497-2019</t>
        </is>
      </c>
      <c r="B182" s="1" t="n">
        <v>43783</v>
      </c>
      <c r="C182" s="1" t="n">
        <v>45696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61900-2019</t>
        </is>
      </c>
      <c r="B183" s="1" t="n">
        <v>43787</v>
      </c>
      <c r="C183" s="1" t="n">
        <v>45696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63784-2019</t>
        </is>
      </c>
      <c r="B184" s="1" t="n">
        <v>43795</v>
      </c>
      <c r="C184" s="1" t="n">
        <v>45696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64830-2019</t>
        </is>
      </c>
      <c r="B185" s="1" t="n">
        <v>43795</v>
      </c>
      <c r="C185" s="1" t="n">
        <v>45696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63871-2019</t>
        </is>
      </c>
      <c r="B186" s="1" t="n">
        <v>43796</v>
      </c>
      <c r="C186" s="1" t="n">
        <v>45696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63862-2019</t>
        </is>
      </c>
      <c r="B187" s="1" t="n">
        <v>43796</v>
      </c>
      <c r="C187" s="1" t="n">
        <v>45696</v>
      </c>
      <c r="D187" t="inlineStr">
        <is>
          <t>ÖSTERGÖTLANDS LÄN</t>
        </is>
      </c>
      <c r="E187" t="inlineStr">
        <is>
          <t>KINDA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63864-2019</t>
        </is>
      </c>
      <c r="B188" s="1" t="n">
        <v>43796</v>
      </c>
      <c r="C188" s="1" t="n">
        <v>45696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65406-2019</t>
        </is>
      </c>
      <c r="B189" s="1" t="n">
        <v>43803</v>
      </c>
      <c r="C189" s="1" t="n">
        <v>45696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66448-2019</t>
        </is>
      </c>
      <c r="B190" s="1" t="n">
        <v>43809</v>
      </c>
      <c r="C190" s="1" t="n">
        <v>45696</v>
      </c>
      <c r="D190" t="inlineStr">
        <is>
          <t>ÖSTERGÖTLANDS LÄN</t>
        </is>
      </c>
      <c r="E190" t="inlineStr">
        <is>
          <t>KINDA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67959-2019</t>
        </is>
      </c>
      <c r="B191" s="1" t="n">
        <v>43811</v>
      </c>
      <c r="C191" s="1" t="n">
        <v>45696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1165-2020</t>
        </is>
      </c>
      <c r="B192" s="1" t="n">
        <v>43840</v>
      </c>
      <c r="C192" s="1" t="n">
        <v>45696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1398-2020</t>
        </is>
      </c>
      <c r="B193" s="1" t="n">
        <v>43843</v>
      </c>
      <c r="C193" s="1" t="n">
        <v>45696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1399-2020</t>
        </is>
      </c>
      <c r="B194" s="1" t="n">
        <v>43843</v>
      </c>
      <c r="C194" s="1" t="n">
        <v>45696</v>
      </c>
      <c r="D194" t="inlineStr">
        <is>
          <t>ÖSTERGÖTLANDS LÄN</t>
        </is>
      </c>
      <c r="E194" t="inlineStr">
        <is>
          <t>KINDA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2990-2020</t>
        </is>
      </c>
      <c r="B195" s="1" t="n">
        <v>43850</v>
      </c>
      <c r="C195" s="1" t="n">
        <v>45696</v>
      </c>
      <c r="D195" t="inlineStr">
        <is>
          <t>ÖSTERGÖTLANDS LÄN</t>
        </is>
      </c>
      <c r="E195" t="inlineStr">
        <is>
          <t>KINDA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3416-2020</t>
        </is>
      </c>
      <c r="B196" s="1" t="n">
        <v>43852</v>
      </c>
      <c r="C196" s="1" t="n">
        <v>45696</v>
      </c>
      <c r="D196" t="inlineStr">
        <is>
          <t>ÖSTERGÖTLANDS LÄN</t>
        </is>
      </c>
      <c r="E196" t="inlineStr">
        <is>
          <t>KINDA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4428-2020</t>
        </is>
      </c>
      <c r="B197" s="1" t="n">
        <v>43858</v>
      </c>
      <c r="C197" s="1" t="n">
        <v>45696</v>
      </c>
      <c r="D197" t="inlineStr">
        <is>
          <t>ÖSTERGÖTLANDS LÄN</t>
        </is>
      </c>
      <c r="E197" t="inlineStr">
        <is>
          <t>KINDA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4511-2020</t>
        </is>
      </c>
      <c r="B198" s="1" t="n">
        <v>43858</v>
      </c>
      <c r="C198" s="1" t="n">
        <v>45696</v>
      </c>
      <c r="D198" t="inlineStr">
        <is>
          <t>ÖSTERGÖTLANDS LÄN</t>
        </is>
      </c>
      <c r="E198" t="inlineStr">
        <is>
          <t>KINDA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4454-2020</t>
        </is>
      </c>
      <c r="B199" s="1" t="n">
        <v>43858</v>
      </c>
      <c r="C199" s="1" t="n">
        <v>45696</v>
      </c>
      <c r="D199" t="inlineStr">
        <is>
          <t>ÖSTERGÖTLANDS LÄN</t>
        </is>
      </c>
      <c r="E199" t="inlineStr">
        <is>
          <t>KINDA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4710-2020</t>
        </is>
      </c>
      <c r="B200" s="1" t="n">
        <v>43858</v>
      </c>
      <c r="C200" s="1" t="n">
        <v>45696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5238-2020</t>
        </is>
      </c>
      <c r="B201" s="1" t="n">
        <v>43860</v>
      </c>
      <c r="C201" s="1" t="n">
        <v>45696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5381-2020</t>
        </is>
      </c>
      <c r="B202" s="1" t="n">
        <v>43860</v>
      </c>
      <c r="C202" s="1" t="n">
        <v>45696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5376-2020</t>
        </is>
      </c>
      <c r="B203" s="1" t="n">
        <v>43860</v>
      </c>
      <c r="C203" s="1" t="n">
        <v>45696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5371-2020</t>
        </is>
      </c>
      <c r="B204" s="1" t="n">
        <v>43860</v>
      </c>
      <c r="C204" s="1" t="n">
        <v>45696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5374-2020</t>
        </is>
      </c>
      <c r="B205" s="1" t="n">
        <v>43860</v>
      </c>
      <c r="C205" s="1" t="n">
        <v>45696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6199-2020</t>
        </is>
      </c>
      <c r="B206" s="1" t="n">
        <v>43865</v>
      </c>
      <c r="C206" s="1" t="n">
        <v>45696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6838-2020</t>
        </is>
      </c>
      <c r="B207" s="1" t="n">
        <v>43866</v>
      </c>
      <c r="C207" s="1" t="n">
        <v>45696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7096-2020</t>
        </is>
      </c>
      <c r="B208" s="1" t="n">
        <v>43868</v>
      </c>
      <c r="C208" s="1" t="n">
        <v>45696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7062-2020</t>
        </is>
      </c>
      <c r="B209" s="1" t="n">
        <v>43868</v>
      </c>
      <c r="C209" s="1" t="n">
        <v>45696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7080-2020</t>
        </is>
      </c>
      <c r="B210" s="1" t="n">
        <v>43868</v>
      </c>
      <c r="C210" s="1" t="n">
        <v>45696</v>
      </c>
      <c r="D210" t="inlineStr">
        <is>
          <t>ÖSTERGÖTLANDS LÄN</t>
        </is>
      </c>
      <c r="E210" t="inlineStr">
        <is>
          <t>KINDA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7243-2020</t>
        </is>
      </c>
      <c r="B211" s="1" t="n">
        <v>43868</v>
      </c>
      <c r="C211" s="1" t="n">
        <v>45696</v>
      </c>
      <c r="D211" t="inlineStr">
        <is>
          <t>ÖSTERGÖTLANDS LÄN</t>
        </is>
      </c>
      <c r="E211" t="inlineStr">
        <is>
          <t>KINDA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7467-2020</t>
        </is>
      </c>
      <c r="B212" s="1" t="n">
        <v>43871</v>
      </c>
      <c r="C212" s="1" t="n">
        <v>45696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7463-2020</t>
        </is>
      </c>
      <c r="B213" s="1" t="n">
        <v>43871</v>
      </c>
      <c r="C213" s="1" t="n">
        <v>45696</v>
      </c>
      <c r="D213" t="inlineStr">
        <is>
          <t>ÖSTERGÖTLANDS LÄN</t>
        </is>
      </c>
      <c r="E213" t="inlineStr">
        <is>
          <t>KINDA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7469-2020</t>
        </is>
      </c>
      <c r="B214" s="1" t="n">
        <v>43871</v>
      </c>
      <c r="C214" s="1" t="n">
        <v>45696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7481-2020</t>
        </is>
      </c>
      <c r="B215" s="1" t="n">
        <v>43871</v>
      </c>
      <c r="C215" s="1" t="n">
        <v>45696</v>
      </c>
      <c r="D215" t="inlineStr">
        <is>
          <t>ÖSTERGÖTLANDS LÄN</t>
        </is>
      </c>
      <c r="E215" t="inlineStr">
        <is>
          <t>KINDA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7468-2020</t>
        </is>
      </c>
      <c r="B216" s="1" t="n">
        <v>43871</v>
      </c>
      <c r="C216" s="1" t="n">
        <v>45696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7475-2020</t>
        </is>
      </c>
      <c r="B217" s="1" t="n">
        <v>43871</v>
      </c>
      <c r="C217" s="1" t="n">
        <v>45696</v>
      </c>
      <c r="D217" t="inlineStr">
        <is>
          <t>ÖSTERGÖTLANDS LÄN</t>
        </is>
      </c>
      <c r="E217" t="inlineStr">
        <is>
          <t>KINDA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9085-2020</t>
        </is>
      </c>
      <c r="B218" s="1" t="n">
        <v>43879</v>
      </c>
      <c r="C218" s="1" t="n">
        <v>45696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9843-2020</t>
        </is>
      </c>
      <c r="B219" s="1" t="n">
        <v>43882</v>
      </c>
      <c r="C219" s="1" t="n">
        <v>45696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10228-2020</t>
        </is>
      </c>
      <c r="B220" s="1" t="n">
        <v>43885</v>
      </c>
      <c r="C220" s="1" t="n">
        <v>45696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10476-2020</t>
        </is>
      </c>
      <c r="B221" s="1" t="n">
        <v>43886</v>
      </c>
      <c r="C221" s="1" t="n">
        <v>45696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11374-2020</t>
        </is>
      </c>
      <c r="B222" s="1" t="n">
        <v>43892</v>
      </c>
      <c r="C222" s="1" t="n">
        <v>45696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11537-2020</t>
        </is>
      </c>
      <c r="B223" s="1" t="n">
        <v>43893</v>
      </c>
      <c r="C223" s="1" t="n">
        <v>45696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11511-2020</t>
        </is>
      </c>
      <c r="B224" s="1" t="n">
        <v>43893</v>
      </c>
      <c r="C224" s="1" t="n">
        <v>45696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15080-2020</t>
        </is>
      </c>
      <c r="B225" s="1" t="n">
        <v>43910</v>
      </c>
      <c r="C225" s="1" t="n">
        <v>45696</v>
      </c>
      <c r="D225" t="inlineStr">
        <is>
          <t>ÖSTERGÖTLANDS LÄN</t>
        </is>
      </c>
      <c r="E225" t="inlineStr">
        <is>
          <t>KINDA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17112-2020</t>
        </is>
      </c>
      <c r="B226" s="1" t="n">
        <v>43914</v>
      </c>
      <c r="C226" s="1" t="n">
        <v>45696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14728-2020</t>
        </is>
      </c>
      <c r="B227" s="1" t="n">
        <v>43915</v>
      </c>
      <c r="C227" s="1" t="n">
        <v>45696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16515-2020</t>
        </is>
      </c>
      <c r="B228" s="1" t="n">
        <v>43917</v>
      </c>
      <c r="C228" s="1" t="n">
        <v>45696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17872-2020</t>
        </is>
      </c>
      <c r="B229" s="1" t="n">
        <v>43923</v>
      </c>
      <c r="C229" s="1" t="n">
        <v>45696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17823-2020</t>
        </is>
      </c>
      <c r="B230" s="1" t="n">
        <v>43924</v>
      </c>
      <c r="C230" s="1" t="n">
        <v>45696</v>
      </c>
      <c r="D230" t="inlineStr">
        <is>
          <t>ÖSTERGÖTLANDS LÄN</t>
        </is>
      </c>
      <c r="E230" t="inlineStr">
        <is>
          <t>KINDA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18863-2020</t>
        </is>
      </c>
      <c r="B231" s="1" t="n">
        <v>43930</v>
      </c>
      <c r="C231" s="1" t="n">
        <v>45696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19040-2020</t>
        </is>
      </c>
      <c r="B232" s="1" t="n">
        <v>43936</v>
      </c>
      <c r="C232" s="1" t="n">
        <v>45696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19039-2020</t>
        </is>
      </c>
      <c r="B233" s="1" t="n">
        <v>43936</v>
      </c>
      <c r="C233" s="1" t="n">
        <v>45696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19035-2020</t>
        </is>
      </c>
      <c r="B234" s="1" t="n">
        <v>43936</v>
      </c>
      <c r="C234" s="1" t="n">
        <v>45696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19171-2020</t>
        </is>
      </c>
      <c r="B235" s="1" t="n">
        <v>43937</v>
      </c>
      <c r="C235" s="1" t="n">
        <v>45696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19440-2020</t>
        </is>
      </c>
      <c r="B236" s="1" t="n">
        <v>43938</v>
      </c>
      <c r="C236" s="1" t="n">
        <v>45696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19689-2020</t>
        </is>
      </c>
      <c r="B237" s="1" t="n">
        <v>43941</v>
      </c>
      <c r="C237" s="1" t="n">
        <v>45696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21475-2020</t>
        </is>
      </c>
      <c r="B238" s="1" t="n">
        <v>43956</v>
      </c>
      <c r="C238" s="1" t="n">
        <v>45696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21504-2020</t>
        </is>
      </c>
      <c r="B239" s="1" t="n">
        <v>43956</v>
      </c>
      <c r="C239" s="1" t="n">
        <v>45696</v>
      </c>
      <c r="D239" t="inlineStr">
        <is>
          <t>ÖSTERGÖTLANDS LÄN</t>
        </is>
      </c>
      <c r="E239" t="inlineStr">
        <is>
          <t>KINDA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21505-2020</t>
        </is>
      </c>
      <c r="B240" s="1" t="n">
        <v>43956</v>
      </c>
      <c r="C240" s="1" t="n">
        <v>45696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21512-2020</t>
        </is>
      </c>
      <c r="B241" s="1" t="n">
        <v>43956</v>
      </c>
      <c r="C241" s="1" t="n">
        <v>45696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21502-2020</t>
        </is>
      </c>
      <c r="B242" s="1" t="n">
        <v>43956</v>
      </c>
      <c r="C242" s="1" t="n">
        <v>45696</v>
      </c>
      <c r="D242" t="inlineStr">
        <is>
          <t>ÖSTERGÖTLANDS LÄN</t>
        </is>
      </c>
      <c r="E242" t="inlineStr">
        <is>
          <t>KINDA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22328-2020</t>
        </is>
      </c>
      <c r="B243" s="1" t="n">
        <v>43957</v>
      </c>
      <c r="C243" s="1" t="n">
        <v>45696</v>
      </c>
      <c r="D243" t="inlineStr">
        <is>
          <t>ÖSTERGÖTLANDS LÄN</t>
        </is>
      </c>
      <c r="E243" t="inlineStr">
        <is>
          <t>KINDA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21611-2020</t>
        </is>
      </c>
      <c r="B244" s="1" t="n">
        <v>43957</v>
      </c>
      <c r="C244" s="1" t="n">
        <v>45696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24200-2020</t>
        </is>
      </c>
      <c r="B245" s="1" t="n">
        <v>43976</v>
      </c>
      <c r="C245" s="1" t="n">
        <v>45696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24635-2020</t>
        </is>
      </c>
      <c r="B246" s="1" t="n">
        <v>43977</v>
      </c>
      <c r="C246" s="1" t="n">
        <v>45696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24527-2020</t>
        </is>
      </c>
      <c r="B247" s="1" t="n">
        <v>43977</v>
      </c>
      <c r="C247" s="1" t="n">
        <v>45696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25157-2020</t>
        </is>
      </c>
      <c r="B248" s="1" t="n">
        <v>43980</v>
      </c>
      <c r="C248" s="1" t="n">
        <v>45696</v>
      </c>
      <c r="D248" t="inlineStr">
        <is>
          <t>ÖSTERGÖTLANDS LÄN</t>
        </is>
      </c>
      <c r="E248" t="inlineStr">
        <is>
          <t>KINDA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25150-2020</t>
        </is>
      </c>
      <c r="B249" s="1" t="n">
        <v>43980</v>
      </c>
      <c r="C249" s="1" t="n">
        <v>45696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25160-2020</t>
        </is>
      </c>
      <c r="B250" s="1" t="n">
        <v>43980</v>
      </c>
      <c r="C250" s="1" t="n">
        <v>45696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26724-2020</t>
        </is>
      </c>
      <c r="B251" s="1" t="n">
        <v>43990</v>
      </c>
      <c r="C251" s="1" t="n">
        <v>45696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29045-2020</t>
        </is>
      </c>
      <c r="B252" s="1" t="n">
        <v>44000</v>
      </c>
      <c r="C252" s="1" t="n">
        <v>45696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30460-2020</t>
        </is>
      </c>
      <c r="B253" s="1" t="n">
        <v>44007</v>
      </c>
      <c r="C253" s="1" t="n">
        <v>45696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30559-2020</t>
        </is>
      </c>
      <c r="B254" s="1" t="n">
        <v>44008</v>
      </c>
      <c r="C254" s="1" t="n">
        <v>45696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30932-2020</t>
        </is>
      </c>
      <c r="B255" s="1" t="n">
        <v>44011</v>
      </c>
      <c r="C255" s="1" t="n">
        <v>45696</v>
      </c>
      <c r="D255" t="inlineStr">
        <is>
          <t>ÖSTERGÖTLANDS LÄN</t>
        </is>
      </c>
      <c r="E255" t="inlineStr">
        <is>
          <t>KINDA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32180-2020</t>
        </is>
      </c>
      <c r="B256" s="1" t="n">
        <v>44015</v>
      </c>
      <c r="C256" s="1" t="n">
        <v>45696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33777-2020</t>
        </is>
      </c>
      <c r="B257" s="1" t="n">
        <v>44026</v>
      </c>
      <c r="C257" s="1" t="n">
        <v>45696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34512-2020</t>
        </is>
      </c>
      <c r="B258" s="1" t="n">
        <v>44029</v>
      </c>
      <c r="C258" s="1" t="n">
        <v>45696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34638-2020</t>
        </is>
      </c>
      <c r="B259" s="1" t="n">
        <v>44034</v>
      </c>
      <c r="C259" s="1" t="n">
        <v>45696</v>
      </c>
      <c r="D259" t="inlineStr">
        <is>
          <t>ÖSTERGÖTLANDS LÄN</t>
        </is>
      </c>
      <c r="E259" t="inlineStr">
        <is>
          <t>KINDA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35063-2020</t>
        </is>
      </c>
      <c r="B260" s="1" t="n">
        <v>44039</v>
      </c>
      <c r="C260" s="1" t="n">
        <v>45696</v>
      </c>
      <c r="D260" t="inlineStr">
        <is>
          <t>ÖSTERGÖTLANDS LÄN</t>
        </is>
      </c>
      <c r="E260" t="inlineStr">
        <is>
          <t>KINDA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35065-2020</t>
        </is>
      </c>
      <c r="B261" s="1" t="n">
        <v>44039</v>
      </c>
      <c r="C261" s="1" t="n">
        <v>45696</v>
      </c>
      <c r="D261" t="inlineStr">
        <is>
          <t>ÖSTERGÖTLANDS LÄN</t>
        </is>
      </c>
      <c r="E261" t="inlineStr">
        <is>
          <t>KINDA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35989-2020</t>
        </is>
      </c>
      <c r="B262" s="1" t="n">
        <v>44047</v>
      </c>
      <c r="C262" s="1" t="n">
        <v>45696</v>
      </c>
      <c r="D262" t="inlineStr">
        <is>
          <t>ÖSTERGÖTLANDS LÄN</t>
        </is>
      </c>
      <c r="E262" t="inlineStr">
        <is>
          <t>KINDA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36417-2020</t>
        </is>
      </c>
      <c r="B263" s="1" t="n">
        <v>44049</v>
      </c>
      <c r="C263" s="1" t="n">
        <v>45696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36589-2020</t>
        </is>
      </c>
      <c r="B264" s="1" t="n">
        <v>44050</v>
      </c>
      <c r="C264" s="1" t="n">
        <v>45696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36832-2020</t>
        </is>
      </c>
      <c r="B265" s="1" t="n">
        <v>44053</v>
      </c>
      <c r="C265" s="1" t="n">
        <v>45696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38031-2020</t>
        </is>
      </c>
      <c r="B266" s="1" t="n">
        <v>44057</v>
      </c>
      <c r="C266" s="1" t="n">
        <v>45696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39093-2020</t>
        </is>
      </c>
      <c r="B267" s="1" t="n">
        <v>44063</v>
      </c>
      <c r="C267" s="1" t="n">
        <v>45696</v>
      </c>
      <c r="D267" t="inlineStr">
        <is>
          <t>ÖSTERGÖTLANDS LÄN</t>
        </is>
      </c>
      <c r="E267" t="inlineStr">
        <is>
          <t>KINDA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39094-2020</t>
        </is>
      </c>
      <c r="B268" s="1" t="n">
        <v>44063</v>
      </c>
      <c r="C268" s="1" t="n">
        <v>45696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39324-2020</t>
        </is>
      </c>
      <c r="B269" s="1" t="n">
        <v>44063</v>
      </c>
      <c r="C269" s="1" t="n">
        <v>45696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39955-2020</t>
        </is>
      </c>
      <c r="B270" s="1" t="n">
        <v>44067</v>
      </c>
      <c r="C270" s="1" t="n">
        <v>45696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40357-2020</t>
        </is>
      </c>
      <c r="B271" s="1" t="n">
        <v>44068</v>
      </c>
      <c r="C271" s="1" t="n">
        <v>45696</v>
      </c>
      <c r="D271" t="inlineStr">
        <is>
          <t>ÖSTERGÖTLANDS LÄN</t>
        </is>
      </c>
      <c r="E271" t="inlineStr">
        <is>
          <t>KINDA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40731-2020</t>
        </is>
      </c>
      <c r="B272" s="1" t="n">
        <v>44069</v>
      </c>
      <c r="C272" s="1" t="n">
        <v>45696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40732-2020</t>
        </is>
      </c>
      <c r="B273" s="1" t="n">
        <v>44069</v>
      </c>
      <c r="C273" s="1" t="n">
        <v>45696</v>
      </c>
      <c r="D273" t="inlineStr">
        <is>
          <t>ÖSTERGÖTLANDS LÄN</t>
        </is>
      </c>
      <c r="E273" t="inlineStr">
        <is>
          <t>KINDA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42379-2020</t>
        </is>
      </c>
      <c r="B274" s="1" t="n">
        <v>44076</v>
      </c>
      <c r="C274" s="1" t="n">
        <v>45696</v>
      </c>
      <c r="D274" t="inlineStr">
        <is>
          <t>ÖSTERGÖTLANDS LÄN</t>
        </is>
      </c>
      <c r="E274" t="inlineStr">
        <is>
          <t>KINDA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42511-2020</t>
        </is>
      </c>
      <c r="B275" s="1" t="n">
        <v>44077</v>
      </c>
      <c r="C275" s="1" t="n">
        <v>45696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43706-2020</t>
        </is>
      </c>
      <c r="B276" s="1" t="n">
        <v>44078</v>
      </c>
      <c r="C276" s="1" t="n">
        <v>45696</v>
      </c>
      <c r="D276" t="inlineStr">
        <is>
          <t>ÖSTERGÖTLANDS LÄN</t>
        </is>
      </c>
      <c r="E276" t="inlineStr">
        <is>
          <t>KINDA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44295-2020</t>
        </is>
      </c>
      <c r="B277" s="1" t="n">
        <v>44084</v>
      </c>
      <c r="C277" s="1" t="n">
        <v>45696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44394-2020</t>
        </is>
      </c>
      <c r="B278" s="1" t="n">
        <v>44084</v>
      </c>
      <c r="C278" s="1" t="n">
        <v>45696</v>
      </c>
      <c r="D278" t="inlineStr">
        <is>
          <t>ÖSTERGÖTLANDS LÄN</t>
        </is>
      </c>
      <c r="E278" t="inlineStr">
        <is>
          <t>KINDA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45194-2020</t>
        </is>
      </c>
      <c r="B279" s="1" t="n">
        <v>44088</v>
      </c>
      <c r="C279" s="1" t="n">
        <v>45696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45522-2020</t>
        </is>
      </c>
      <c r="B280" s="1" t="n">
        <v>44089</v>
      </c>
      <c r="C280" s="1" t="n">
        <v>45696</v>
      </c>
      <c r="D280" t="inlineStr">
        <is>
          <t>ÖSTERGÖTLANDS LÄN</t>
        </is>
      </c>
      <c r="E280" t="inlineStr">
        <is>
          <t>KINDA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45622-2020</t>
        </is>
      </c>
      <c r="B281" s="1" t="n">
        <v>44090</v>
      </c>
      <c r="C281" s="1" t="n">
        <v>45696</v>
      </c>
      <c r="D281" t="inlineStr">
        <is>
          <t>ÖSTERGÖTLANDS LÄN</t>
        </is>
      </c>
      <c r="E281" t="inlineStr">
        <is>
          <t>KINDA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46263-2020</t>
        </is>
      </c>
      <c r="B282" s="1" t="n">
        <v>44092</v>
      </c>
      <c r="C282" s="1" t="n">
        <v>45696</v>
      </c>
      <c r="D282" t="inlineStr">
        <is>
          <t>ÖSTERGÖTLANDS LÄN</t>
        </is>
      </c>
      <c r="E282" t="inlineStr">
        <is>
          <t>KINDA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46591-2020</t>
        </is>
      </c>
      <c r="B283" s="1" t="n">
        <v>44095</v>
      </c>
      <c r="C283" s="1" t="n">
        <v>45696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47959-2020</t>
        </is>
      </c>
      <c r="B284" s="1" t="n">
        <v>44099</v>
      </c>
      <c r="C284" s="1" t="n">
        <v>45696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48070-2020</t>
        </is>
      </c>
      <c r="B285" s="1" t="n">
        <v>44100</v>
      </c>
      <c r="C285" s="1" t="n">
        <v>45696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49006-2020</t>
        </is>
      </c>
      <c r="B286" s="1" t="n">
        <v>44104</v>
      </c>
      <c r="C286" s="1" t="n">
        <v>45696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49524-2020</t>
        </is>
      </c>
      <c r="B287" s="1" t="n">
        <v>44105</v>
      </c>
      <c r="C287" s="1" t="n">
        <v>45696</v>
      </c>
      <c r="D287" t="inlineStr">
        <is>
          <t>ÖSTERGÖTLANDS LÄN</t>
        </is>
      </c>
      <c r="E287" t="inlineStr">
        <is>
          <t>KINDA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52210-2020</t>
        </is>
      </c>
      <c r="B288" s="1" t="n">
        <v>44112</v>
      </c>
      <c r="C288" s="1" t="n">
        <v>45696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52255-2020</t>
        </is>
      </c>
      <c r="B289" s="1" t="n">
        <v>44112</v>
      </c>
      <c r="C289" s="1" t="n">
        <v>45696</v>
      </c>
      <c r="D289" t="inlineStr">
        <is>
          <t>ÖSTERGÖTLANDS LÄN</t>
        </is>
      </c>
      <c r="E289" t="inlineStr">
        <is>
          <t>KINDA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52245-2020</t>
        </is>
      </c>
      <c r="B290" s="1" t="n">
        <v>44112</v>
      </c>
      <c r="C290" s="1" t="n">
        <v>45696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52230-2020</t>
        </is>
      </c>
      <c r="B291" s="1" t="n">
        <v>44112</v>
      </c>
      <c r="C291" s="1" t="n">
        <v>45696</v>
      </c>
      <c r="D291" t="inlineStr">
        <is>
          <t>ÖSTERGÖTLANDS LÄN</t>
        </is>
      </c>
      <c r="E291" t="inlineStr">
        <is>
          <t>KINDA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52249-2020</t>
        </is>
      </c>
      <c r="B292" s="1" t="n">
        <v>44112</v>
      </c>
      <c r="C292" s="1" t="n">
        <v>45696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51575-2020</t>
        </is>
      </c>
      <c r="B293" s="1" t="n">
        <v>44113</v>
      </c>
      <c r="C293" s="1" t="n">
        <v>45696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53439-2020</t>
        </is>
      </c>
      <c r="B294" s="1" t="n">
        <v>44120</v>
      </c>
      <c r="C294" s="1" t="n">
        <v>45696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53633-2020</t>
        </is>
      </c>
      <c r="B295" s="1" t="n">
        <v>44123</v>
      </c>
      <c r="C295" s="1" t="n">
        <v>45696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53640-2020</t>
        </is>
      </c>
      <c r="B296" s="1" t="n">
        <v>44123</v>
      </c>
      <c r="C296" s="1" t="n">
        <v>45696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54246-2020</t>
        </is>
      </c>
      <c r="B297" s="1" t="n">
        <v>44124</v>
      </c>
      <c r="C297" s="1" t="n">
        <v>45696</v>
      </c>
      <c r="D297" t="inlineStr">
        <is>
          <t>ÖSTERGÖTLANDS LÄN</t>
        </is>
      </c>
      <c r="E297" t="inlineStr">
        <is>
          <t>KINDA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54131-2020</t>
        </is>
      </c>
      <c r="B298" s="1" t="n">
        <v>44125</v>
      </c>
      <c r="C298" s="1" t="n">
        <v>45696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55548-2020</t>
        </is>
      </c>
      <c r="B299" s="1" t="n">
        <v>44130</v>
      </c>
      <c r="C299" s="1" t="n">
        <v>45696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57556-2020</t>
        </is>
      </c>
      <c r="B300" s="1" t="n">
        <v>44140</v>
      </c>
      <c r="C300" s="1" t="n">
        <v>45696</v>
      </c>
      <c r="D300" t="inlineStr">
        <is>
          <t>ÖSTERGÖTLANDS LÄN</t>
        </is>
      </c>
      <c r="E300" t="inlineStr">
        <is>
          <t>KINDA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58286-2020</t>
        </is>
      </c>
      <c r="B301" s="1" t="n">
        <v>44144</v>
      </c>
      <c r="C301" s="1" t="n">
        <v>45696</v>
      </c>
      <c r="D301" t="inlineStr">
        <is>
          <t>ÖSTERGÖTLANDS LÄN</t>
        </is>
      </c>
      <c r="E301" t="inlineStr">
        <is>
          <t>KINDA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59384-2020</t>
        </is>
      </c>
      <c r="B302" s="1" t="n">
        <v>44148</v>
      </c>
      <c r="C302" s="1" t="n">
        <v>45696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62558-2020</t>
        </is>
      </c>
      <c r="B303" s="1" t="n">
        <v>44160</v>
      </c>
      <c r="C303" s="1" t="n">
        <v>45696</v>
      </c>
      <c r="D303" t="inlineStr">
        <is>
          <t>ÖSTERGÖTLANDS LÄN</t>
        </is>
      </c>
      <c r="E303" t="inlineStr">
        <is>
          <t>KINDA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62647-2020</t>
        </is>
      </c>
      <c r="B304" s="1" t="n">
        <v>44161</v>
      </c>
      <c r="C304" s="1" t="n">
        <v>45696</v>
      </c>
      <c r="D304" t="inlineStr">
        <is>
          <t>ÖSTERGÖTLANDS LÄN</t>
        </is>
      </c>
      <c r="E304" t="inlineStr">
        <is>
          <t>KINDA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63263-2020</t>
        </is>
      </c>
      <c r="B305" s="1" t="n">
        <v>44164</v>
      </c>
      <c r="C305" s="1" t="n">
        <v>45696</v>
      </c>
      <c r="D305" t="inlineStr">
        <is>
          <t>ÖSTERGÖTLANDS LÄN</t>
        </is>
      </c>
      <c r="E305" t="inlineStr">
        <is>
          <t>KINDA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63848-2020</t>
        </is>
      </c>
      <c r="B306" s="1" t="n">
        <v>44165</v>
      </c>
      <c r="C306" s="1" t="n">
        <v>45696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65047-2020</t>
        </is>
      </c>
      <c r="B307" s="1" t="n">
        <v>44167</v>
      </c>
      <c r="C307" s="1" t="n">
        <v>45696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64295-2020</t>
        </is>
      </c>
      <c r="B308" s="1" t="n">
        <v>44168</v>
      </c>
      <c r="C308" s="1" t="n">
        <v>45696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64436-2020</t>
        </is>
      </c>
      <c r="B309" s="1" t="n">
        <v>44168</v>
      </c>
      <c r="C309" s="1" t="n">
        <v>45696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64894-2020</t>
        </is>
      </c>
      <c r="B310" s="1" t="n">
        <v>44171</v>
      </c>
      <c r="C310" s="1" t="n">
        <v>45696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64893-2020</t>
        </is>
      </c>
      <c r="B311" s="1" t="n">
        <v>44171</v>
      </c>
      <c r="C311" s="1" t="n">
        <v>45696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65231-2020</t>
        </is>
      </c>
      <c r="B312" s="1" t="n">
        <v>44172</v>
      </c>
      <c r="C312" s="1" t="n">
        <v>45696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68850-2020</t>
        </is>
      </c>
      <c r="B313" s="1" t="n">
        <v>44187</v>
      </c>
      <c r="C313" s="1" t="n">
        <v>45696</v>
      </c>
      <c r="D313" t="inlineStr">
        <is>
          <t>ÖSTERGÖTLANDS LÄN</t>
        </is>
      </c>
      <c r="E313" t="inlineStr">
        <is>
          <t>KINDA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491-2021</t>
        </is>
      </c>
      <c r="B314" s="1" t="n">
        <v>44203</v>
      </c>
      <c r="C314" s="1" t="n">
        <v>45696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496-2021</t>
        </is>
      </c>
      <c r="B315" s="1" t="n">
        <v>44203</v>
      </c>
      <c r="C315" s="1" t="n">
        <v>45696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500-2021</t>
        </is>
      </c>
      <c r="B316" s="1" t="n">
        <v>44203</v>
      </c>
      <c r="C316" s="1" t="n">
        <v>45696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1161-2021</t>
        </is>
      </c>
      <c r="B317" s="1" t="n">
        <v>44207</v>
      </c>
      <c r="C317" s="1" t="n">
        <v>45696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3183-2021</t>
        </is>
      </c>
      <c r="B318" s="1" t="n">
        <v>44215</v>
      </c>
      <c r="C318" s="1" t="n">
        <v>45696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3528-2021</t>
        </is>
      </c>
      <c r="B319" s="1" t="n">
        <v>44216</v>
      </c>
      <c r="C319" s="1" t="n">
        <v>45696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3552-2021</t>
        </is>
      </c>
      <c r="B320" s="1" t="n">
        <v>44218</v>
      </c>
      <c r="C320" s="1" t="n">
        <v>45696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3430-2021</t>
        </is>
      </c>
      <c r="B321" s="1" t="n">
        <v>44218</v>
      </c>
      <c r="C321" s="1" t="n">
        <v>45696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4280-2021</t>
        </is>
      </c>
      <c r="B322" s="1" t="n">
        <v>44221</v>
      </c>
      <c r="C322" s="1" t="n">
        <v>45696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4331-2021</t>
        </is>
      </c>
      <c r="B323" s="1" t="n">
        <v>44223</v>
      </c>
      <c r="C323" s="1" t="n">
        <v>45696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4326-2021</t>
        </is>
      </c>
      <c r="B324" s="1" t="n">
        <v>44223</v>
      </c>
      <c r="C324" s="1" t="n">
        <v>45696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6647-2021</t>
        </is>
      </c>
      <c r="B325" s="1" t="n">
        <v>44236</v>
      </c>
      <c r="C325" s="1" t="n">
        <v>45696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7713-2021</t>
        </is>
      </c>
      <c r="B326" s="1" t="n">
        <v>44239</v>
      </c>
      <c r="C326" s="1" t="n">
        <v>45696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7835-2021</t>
        </is>
      </c>
      <c r="B327" s="1" t="n">
        <v>44242</v>
      </c>
      <c r="C327" s="1" t="n">
        <v>45696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7997-2021</t>
        </is>
      </c>
      <c r="B328" s="1" t="n">
        <v>44243</v>
      </c>
      <c r="C328" s="1" t="n">
        <v>45696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8303-2021</t>
        </is>
      </c>
      <c r="B329" s="1" t="n">
        <v>44244</v>
      </c>
      <c r="C329" s="1" t="n">
        <v>45696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9107-2021</t>
        </is>
      </c>
      <c r="B330" s="1" t="n">
        <v>44249</v>
      </c>
      <c r="C330" s="1" t="n">
        <v>45696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9203-2021</t>
        </is>
      </c>
      <c r="B331" s="1" t="n">
        <v>44249</v>
      </c>
      <c r="C331" s="1" t="n">
        <v>45696</v>
      </c>
      <c r="D331" t="inlineStr">
        <is>
          <t>ÖSTERGÖTLANDS LÄN</t>
        </is>
      </c>
      <c r="E331" t="inlineStr">
        <is>
          <t>KINDA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9949-2021</t>
        </is>
      </c>
      <c r="B332" s="1" t="n">
        <v>44252</v>
      </c>
      <c r="C332" s="1" t="n">
        <v>45696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45696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45696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45696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45696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45696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45696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45696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45696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45696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45696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45696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45696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45696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45696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45696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45696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45696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45696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45696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45696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45696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45696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45696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45696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45696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45696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45696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45696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45696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45696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45696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45696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45696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45696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45696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45696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45696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45696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45696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45696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45696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45696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45696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45696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45696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45696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45696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45696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45696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45696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45696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45696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45696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45696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45696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45696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45696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45696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45696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45696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45696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45696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45696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45696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45696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45696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45696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45696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45696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45696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45696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45696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45696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45696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45696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45696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45696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45696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45696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45696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45696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45696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45696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45696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45696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45696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45696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45696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45696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45696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45696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45696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45696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45696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45696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45696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45696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45696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45696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45696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45696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45696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45696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45696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45696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45696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45696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45696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45696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45696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45696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45696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45696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45696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45696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45696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45696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45696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45696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45696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45696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45696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45696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45696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45696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45696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45696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45696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45696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45696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45696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45696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45696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45696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45696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45696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45696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45696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45696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45696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45696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45696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45696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45696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45696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45696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45696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45696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45696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45696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45696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45696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45696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45696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45696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45696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45696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45696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45696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45696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45696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45696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45696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45696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45696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45696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45696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45696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45696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45696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45696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45696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45696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45696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45696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45696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45696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45696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45696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45696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45696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45696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45696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45696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45696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45696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45696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45696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45696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45696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45696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45696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45696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45696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45696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45696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45696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45696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45696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45696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45696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45696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45696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45696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45696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45696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45696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45696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45696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45696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45696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45696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45696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45696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45696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45696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45696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45696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45696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45696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45696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45696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45696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45696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45696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45696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45696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45696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45696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45696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45696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45696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45696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45696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45696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45696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45696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45696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45696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45696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45696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45696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45696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45696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45696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45696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45696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45696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45696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45696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45696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45696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45696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45696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45696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45696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45696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45696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45696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45696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45696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45696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45696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45696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45696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45696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45696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45696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45696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45696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45696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45696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45696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45696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45696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45696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45696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45696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45696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45696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45696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45696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45696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45696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45696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45696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45696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45696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45696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45696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45696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45696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45696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45696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45696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45696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45696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45696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45696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45696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45696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45696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45696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45696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45696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45696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45696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45696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45696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45696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45696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45696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45696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45696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45696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45696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45696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45696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45696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45696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45696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45696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45696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45696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45696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45696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45696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45696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45696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45696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45696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45696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45696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45696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45696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45696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45696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45696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45696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45696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45696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45696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45696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45696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45696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45696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45696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45696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45696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45696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45696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45696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45696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45696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45696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45696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45696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45696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45696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45696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45696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45696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45696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45696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45696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45696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45696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45696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45696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45696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45696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45696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45696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45696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45696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45696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45696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45696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45696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45696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45696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45696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45696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45696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45696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45696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45696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45696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45696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45696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45696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45696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45696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45696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45696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45696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45696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45696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45696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45696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45696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45696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45696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45696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45696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45696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45696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45696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45696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45696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45696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45696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45696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45696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45696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45696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45696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45696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45696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45696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45696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45696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45696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45696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45696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45696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45696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45696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45696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45696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45696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45696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45696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45696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45696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45696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45696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45696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45696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45696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45696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45696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45696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45696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45696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45696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45696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45696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45696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45696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45696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45696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45696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45696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45696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45696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45696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45696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45696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45696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45696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45696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45696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45696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45696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45696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45696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45696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45696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45696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45696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45696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45696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45696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45696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45696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45696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45696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45696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45696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45696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45696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45696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45696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45696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45696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45696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45696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45696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45696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45696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45696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45696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45696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45696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45696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45696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45696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45696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45696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45696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45696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45696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45696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45696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45696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45696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45696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45696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45696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45696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45696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45696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45696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45696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45696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45696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45696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45696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45696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45696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45696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45696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45696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45696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45696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45696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45696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45696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45696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45696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45696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45696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45696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45696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45696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45696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45696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45696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45696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45696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45696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45696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45696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45696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45696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45696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45696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45696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45696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45696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45696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45696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45696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45696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45696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45696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45696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45696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45696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45696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45696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45696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45696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45696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45696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45696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45696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45696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45696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45696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45696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45696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45696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45696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45696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45696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45696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45696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45696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45696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45696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45696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45696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45696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45696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45696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45696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45696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45696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45696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45696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45696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45696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45696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45696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45696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45696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45696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45696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45696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45696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45696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45696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45696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45696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45696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45696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45696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45696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45696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45696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45696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45696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45696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45696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45696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45696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45696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45696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45696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45696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45696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45696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45696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45696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45696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45696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45696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45696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45696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45696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45696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45696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45696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45696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45696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45696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45696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45696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45696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45696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45696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45696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45696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45696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45696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45696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45696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45696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45696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45696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45696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45696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45696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45696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45696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45696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45696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45696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45696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45696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45696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45696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45696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45696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45696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45696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45696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45696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45696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45696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45696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45696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45696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45696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45696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45696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45696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45696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45696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45696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45696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45696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45696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45696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45696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45696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45696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45696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45696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45696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45696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45696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45696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45696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45696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45696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45696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45696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45696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45696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45696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45696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45696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45696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45696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45696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45696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45696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45696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45696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45696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45696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45696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45696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45696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45696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45696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45696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45696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45696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45696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45696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45696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45696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45696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45696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45696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45696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45696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45696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45696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45696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45696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45696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45696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45696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45696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45696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45696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45696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45696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45696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45696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45696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45696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45696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45696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45696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45696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45696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45696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45696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45696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45696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45696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45696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45696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45696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45696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45696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45696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45696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45696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45696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45696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45696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45696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45696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45696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45696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45696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45696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45696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45696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45696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45696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45696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45696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45696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45696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45696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45696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45696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45696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45696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45696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45696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45696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45696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45696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45696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45696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45696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45696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45696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45696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45696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45696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45696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45696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45696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45696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45696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45696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45696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45696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45696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45696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45696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45696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45696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45696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45696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45696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45696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45696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45696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45696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45696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45696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45696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45696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45696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45696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45696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45696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45696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45696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45696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45696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45696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45696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45696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45696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45696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45696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45696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45696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45696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45696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45696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45696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45696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45696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45696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45696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45696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45696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45696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45696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45696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45696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45696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45696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45696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45696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45696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45696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45696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45696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45696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45696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45696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45696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45696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45696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45696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45696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45696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45696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45696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45696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45696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45696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45696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45696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45696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45696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45696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45696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45696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45696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45696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45696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45696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45696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45696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45696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45696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45696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45696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45696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1876-2025</t>
        </is>
      </c>
      <c r="B1278" s="1" t="n">
        <v>45671</v>
      </c>
      <c r="C1278" s="1" t="n">
        <v>45696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1880-2025</t>
        </is>
      </c>
      <c r="B1279" s="1" t="n">
        <v>45671</v>
      </c>
      <c r="C1279" s="1" t="n">
        <v>45696</v>
      </c>
      <c r="D1279" t="inlineStr">
        <is>
          <t>ÖSTERGÖTLANDS LÄN</t>
        </is>
      </c>
      <c r="E1279" t="inlineStr">
        <is>
          <t>KINDA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45696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45696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45696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45696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45696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45696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45696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45696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45696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45696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45696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45696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45696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45696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45696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45696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45696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45696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45696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5992-2025</t>
        </is>
      </c>
      <c r="B1299" s="1" t="n">
        <v>45695</v>
      </c>
      <c r="C1299" s="1" t="n">
        <v>45696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2025-02-08T17:07:54Z</dcterms:created>
  <dcterms:modified xmlns:dcterms="http://purl.org/dc/terms/" xmlns:xsi="http://www.w3.org/2001/XMLSchema-instance" xsi:type="dcterms:W3CDTF">2025-02-08T17:07:55Z</dcterms:modified>
</cp:coreProperties>
</file>