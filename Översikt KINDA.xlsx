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45890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45890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45890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45890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45890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45890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45890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45890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45890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45890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45890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45890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45890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11477-2025</t>
        </is>
      </c>
      <c r="B15" s="1" t="n">
        <v>45726.67396990741</v>
      </c>
      <c r="C15" s="1" t="n">
        <v>45890</v>
      </c>
      <c r="D15" t="inlineStr">
        <is>
          <t>ÖSTERGÖTLANDS LÄN</t>
        </is>
      </c>
      <c r="E15" t="inlineStr">
        <is>
          <t>KINDA</t>
        </is>
      </c>
      <c r="G15" t="n">
        <v>4.1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11477-2025 artfynd.xlsx", "A 11477-2025")</f>
        <v/>
      </c>
      <c r="T15">
        <f>HYPERLINK("https://klasma.github.io/Logging_0513/kartor/A 11477-2025 karta.png", "A 11477-2025")</f>
        <v/>
      </c>
      <c r="U15">
        <f>HYPERLINK("https://klasma.github.io/Logging_0513/knärot/A 11477-2025 karta knärot.png", "A 11477-2025")</f>
        <v/>
      </c>
      <c r="V15">
        <f>HYPERLINK("https://klasma.github.io/Logging_0513/klagomål/A 11477-2025 FSC-klagomål.docx", "A 11477-2025")</f>
        <v/>
      </c>
      <c r="W15">
        <f>HYPERLINK("https://klasma.github.io/Logging_0513/klagomålsmail/A 11477-2025 FSC-klagomål mail.docx", "A 11477-2025")</f>
        <v/>
      </c>
      <c r="X15">
        <f>HYPERLINK("https://klasma.github.io/Logging_0513/tillsyn/A 11477-2025 tillsynsbegäran.docx", "A 11477-2025")</f>
        <v/>
      </c>
      <c r="Y15">
        <f>HYPERLINK("https://klasma.github.io/Logging_0513/tillsynsmail/A 11477-2025 tillsynsbegäran mail.docx", "A 11477-2025")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45890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45890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45890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22006-2025</t>
        </is>
      </c>
      <c r="B19" s="1" t="n">
        <v>45784.71938657408</v>
      </c>
      <c r="C19" s="1" t="n">
        <v>45890</v>
      </c>
      <c r="D19" t="inlineStr">
        <is>
          <t>ÖSTERGÖTLANDS LÄN</t>
        </is>
      </c>
      <c r="E19" t="inlineStr">
        <is>
          <t>KINDA</t>
        </is>
      </c>
      <c r="G19" t="n">
        <v>3.1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Blåsippa</t>
        </is>
      </c>
      <c r="S19">
        <f>HYPERLINK("https://klasma.github.io/Logging_0513/artfynd/A 22006-2025 artfynd.xlsx", "A 22006-2025")</f>
        <v/>
      </c>
      <c r="T19">
        <f>HYPERLINK("https://klasma.github.io/Logging_0513/kartor/A 22006-2025 karta.png", "A 22006-2025")</f>
        <v/>
      </c>
      <c r="V19">
        <f>HYPERLINK("https://klasma.github.io/Logging_0513/klagomål/A 22006-2025 FSC-klagomål.docx", "A 22006-2025")</f>
        <v/>
      </c>
      <c r="W19">
        <f>HYPERLINK("https://klasma.github.io/Logging_0513/klagomålsmail/A 22006-2025 FSC-klagomål mail.docx", "A 22006-2025")</f>
        <v/>
      </c>
      <c r="X19">
        <f>HYPERLINK("https://klasma.github.io/Logging_0513/tillsyn/A 22006-2025 tillsynsbegäran.docx", "A 22006-2025")</f>
        <v/>
      </c>
      <c r="Y19">
        <f>HYPERLINK("https://klasma.github.io/Logging_0513/tillsynsmail/A 22006-2025 tillsynsbegäran mail.docx", "A 22006-2025")</f>
        <v/>
      </c>
      <c r="Z19">
        <f>HYPERLINK("https://klasma.github.io/Logging_0513/fåglar/A 22006-2025 prioriterade fågelarter.docx", "A 22006-2025")</f>
        <v/>
      </c>
    </row>
    <row r="20" ht="15" customHeight="1">
      <c r="A20" t="inlineStr">
        <is>
          <t>A 6298-2025</t>
        </is>
      </c>
      <c r="B20" s="1" t="n">
        <v>45698.67474537037</v>
      </c>
      <c r="C20" s="1" t="n">
        <v>45890</v>
      </c>
      <c r="D20" t="inlineStr">
        <is>
          <t>ÖSTERGÖTLANDS LÄN</t>
        </is>
      </c>
      <c r="E20" t="inlineStr">
        <is>
          <t>KINDA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Bronshjon</t>
        </is>
      </c>
      <c r="S20">
        <f>HYPERLINK("https://klasma.github.io/Logging_0513/artfynd/A 6298-2025 artfynd.xlsx", "A 6298-2025")</f>
        <v/>
      </c>
      <c r="T20">
        <f>HYPERLINK("https://klasma.github.io/Logging_0513/kartor/A 6298-2025 karta.png", "A 6298-2025")</f>
        <v/>
      </c>
      <c r="V20">
        <f>HYPERLINK("https://klasma.github.io/Logging_0513/klagomål/A 6298-2025 FSC-klagomål.docx", "A 6298-2025")</f>
        <v/>
      </c>
      <c r="W20">
        <f>HYPERLINK("https://klasma.github.io/Logging_0513/klagomålsmail/A 6298-2025 FSC-klagomål mail.docx", "A 6298-2025")</f>
        <v/>
      </c>
      <c r="X20">
        <f>HYPERLINK("https://klasma.github.io/Logging_0513/tillsyn/A 6298-2025 tillsynsbegäran.docx", "A 6298-2025")</f>
        <v/>
      </c>
      <c r="Y20">
        <f>HYPERLINK("https://klasma.github.io/Logging_0513/tillsynsmail/A 6298-2025 tillsynsbegäran mail.docx", "A 6298-2025")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45890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45890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37068-2025</t>
        </is>
      </c>
      <c r="B23" s="1" t="n">
        <v>45875</v>
      </c>
      <c r="C23" s="1" t="n">
        <v>45890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Blåsippa</t>
        </is>
      </c>
      <c r="S23">
        <f>HYPERLINK("https://klasma.github.io/Logging_0513/artfynd/A 37068-2025 artfynd.xlsx", "A 37068-2025")</f>
        <v/>
      </c>
      <c r="T23">
        <f>HYPERLINK("https://klasma.github.io/Logging_0513/kartor/A 37068-2025 karta.png", "A 37068-2025")</f>
        <v/>
      </c>
      <c r="V23">
        <f>HYPERLINK("https://klasma.github.io/Logging_0513/klagomål/A 37068-2025 FSC-klagomål.docx", "A 37068-2025")</f>
        <v/>
      </c>
      <c r="W23">
        <f>HYPERLINK("https://klasma.github.io/Logging_0513/klagomålsmail/A 37068-2025 FSC-klagomål mail.docx", "A 37068-2025")</f>
        <v/>
      </c>
      <c r="X23">
        <f>HYPERLINK("https://klasma.github.io/Logging_0513/tillsyn/A 37068-2025 tillsynsbegäran.docx", "A 37068-2025")</f>
        <v/>
      </c>
      <c r="Y23">
        <f>HYPERLINK("https://klasma.github.io/Logging_0513/tillsynsmail/A 37068-2025 tillsynsbegäran mail.docx", "A 37068-2025")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45890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45890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45890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45890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45890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45890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29514-2024</t>
        </is>
      </c>
      <c r="B30" s="1" t="n">
        <v>45484</v>
      </c>
      <c r="C30" s="1" t="n">
        <v>45890</v>
      </c>
      <c r="D30" t="inlineStr">
        <is>
          <t>ÖSTERGÖTLANDS LÄN</t>
        </is>
      </c>
      <c r="E30" t="inlineStr">
        <is>
          <t>KINDA</t>
        </is>
      </c>
      <c r="G30" t="n">
        <v>18.9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Aspelandsfibbla</t>
        </is>
      </c>
      <c r="S30">
        <f>HYPERLINK("https://klasma.github.io/Logging_0513/artfynd/A 29514-2024 artfynd.xlsx", "A 29514-2024")</f>
        <v/>
      </c>
      <c r="T30">
        <f>HYPERLINK("https://klasma.github.io/Logging_0513/kartor/A 29514-2024 karta.png", "A 29514-2024")</f>
        <v/>
      </c>
      <c r="V30">
        <f>HYPERLINK("https://klasma.github.io/Logging_0513/klagomål/A 29514-2024 FSC-klagomål.docx", "A 29514-2024")</f>
        <v/>
      </c>
      <c r="W30">
        <f>HYPERLINK("https://klasma.github.io/Logging_0513/klagomålsmail/A 29514-2024 FSC-klagomål mail.docx", "A 29514-2024")</f>
        <v/>
      </c>
      <c r="X30">
        <f>HYPERLINK("https://klasma.github.io/Logging_0513/tillsyn/A 29514-2024 tillsynsbegäran.docx", "A 29514-2024")</f>
        <v/>
      </c>
      <c r="Y30">
        <f>HYPERLINK("https://klasma.github.io/Logging_0513/tillsynsmail/A 29514-2024 tillsynsbegäran mail.docx", "A 29514-2024")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45890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33003-2024</t>
        </is>
      </c>
      <c r="B32" s="1" t="n">
        <v>45517</v>
      </c>
      <c r="C32" s="1" t="n">
        <v>45890</v>
      </c>
      <c r="D32" t="inlineStr">
        <is>
          <t>ÖSTERGÖTLANDS LÄN</t>
        </is>
      </c>
      <c r="E32" t="inlineStr">
        <is>
          <t>KINDA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HYPERLINK("https://klasma.github.io/Logging_0513/artfynd/A 33003-2024 artfynd.xlsx", "A 33003-2024")</f>
        <v/>
      </c>
      <c r="T32">
        <f>HYPERLINK("https://klasma.github.io/Logging_0513/kartor/A 33003-2024 karta.png", "A 33003-2024")</f>
        <v/>
      </c>
      <c r="V32">
        <f>HYPERLINK("https://klasma.github.io/Logging_0513/klagomål/A 33003-2024 FSC-klagomål.docx", "A 33003-2024")</f>
        <v/>
      </c>
      <c r="W32">
        <f>HYPERLINK("https://klasma.github.io/Logging_0513/klagomålsmail/A 33003-2024 FSC-klagomål mail.docx", "A 33003-2024")</f>
        <v/>
      </c>
      <c r="X32">
        <f>HYPERLINK("https://klasma.github.io/Logging_0513/tillsyn/A 33003-2024 tillsynsbegäran.docx", "A 33003-2024")</f>
        <v/>
      </c>
      <c r="Y32">
        <f>HYPERLINK("https://klasma.github.io/Logging_0513/tillsynsmail/A 33003-2024 tillsynsbegäran mail.docx", "A 33003-2024")</f>
        <v/>
      </c>
      <c r="Z32">
        <f>HYPERLINK("https://klasma.github.io/Logging_0513/fåglar/A 33003-2024 prioriterade fågelarter.docx", "A 33003-2024")</f>
        <v/>
      </c>
    </row>
    <row r="33" ht="15" customHeight="1">
      <c r="A33" t="inlineStr">
        <is>
          <t>A 30255-2024</t>
        </is>
      </c>
      <c r="B33" s="1" t="n">
        <v>45490.56811342593</v>
      </c>
      <c r="C33" s="1" t="n">
        <v>45890</v>
      </c>
      <c r="D33" t="inlineStr">
        <is>
          <t>ÖSTERGÖTLANDS LÄN</t>
        </is>
      </c>
      <c r="E33" t="inlineStr">
        <is>
          <t>KINDA</t>
        </is>
      </c>
      <c r="G33" t="n">
        <v>6.3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Späd fetfibbla</t>
        </is>
      </c>
      <c r="S33">
        <f>HYPERLINK("https://klasma.github.io/Logging_0513/artfynd/A 30255-2024 artfynd.xlsx", "A 30255-2024")</f>
        <v/>
      </c>
      <c r="T33">
        <f>HYPERLINK("https://klasma.github.io/Logging_0513/kartor/A 30255-2024 karta.png", "A 30255-2024")</f>
        <v/>
      </c>
      <c r="V33">
        <f>HYPERLINK("https://klasma.github.io/Logging_0513/klagomål/A 30255-2024 FSC-klagomål.docx", "A 30255-2024")</f>
        <v/>
      </c>
      <c r="W33">
        <f>HYPERLINK("https://klasma.github.io/Logging_0513/klagomålsmail/A 30255-2024 FSC-klagomål mail.docx", "A 30255-2024")</f>
        <v/>
      </c>
      <c r="X33">
        <f>HYPERLINK("https://klasma.github.io/Logging_0513/tillsyn/A 30255-2024 tillsynsbegäran.docx", "A 30255-2024")</f>
        <v/>
      </c>
      <c r="Y33">
        <f>HYPERLINK("https://klasma.github.io/Logging_0513/tillsynsmail/A 30255-2024 tillsynsbegäran mail.docx", "A 30255-2024")</f>
        <v/>
      </c>
    </row>
    <row r="34" ht="15" customHeight="1">
      <c r="A34" t="inlineStr">
        <is>
          <t>A 29509-2024</t>
        </is>
      </c>
      <c r="B34" s="1" t="n">
        <v>45484</v>
      </c>
      <c r="C34" s="1" t="n">
        <v>45890</v>
      </c>
      <c r="D34" t="inlineStr">
        <is>
          <t>ÖSTERGÖTLANDS LÄN</t>
        </is>
      </c>
      <c r="E34" t="inlineStr">
        <is>
          <t>KINDA</t>
        </is>
      </c>
      <c r="G34" t="n">
        <v>10.4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HYPERLINK("https://klasma.github.io/Logging_0513/artfynd/A 29509-2024 artfynd.xlsx", "A 29509-2024")</f>
        <v/>
      </c>
      <c r="T34">
        <f>HYPERLINK("https://klasma.github.io/Logging_0513/kartor/A 29509-2024 karta.png", "A 29509-2024")</f>
        <v/>
      </c>
      <c r="V34">
        <f>HYPERLINK("https://klasma.github.io/Logging_0513/klagomål/A 29509-2024 FSC-klagomål.docx", "A 29509-2024")</f>
        <v/>
      </c>
      <c r="W34">
        <f>HYPERLINK("https://klasma.github.io/Logging_0513/klagomålsmail/A 29509-2024 FSC-klagomål mail.docx", "A 29509-2024")</f>
        <v/>
      </c>
      <c r="X34">
        <f>HYPERLINK("https://klasma.github.io/Logging_0513/tillsyn/A 29509-2024 tillsynsbegäran.docx", "A 29509-2024")</f>
        <v/>
      </c>
      <c r="Y34">
        <f>HYPERLINK("https://klasma.github.io/Logging_0513/tillsynsmail/A 29509-2024 tillsynsbegäran mail.docx", "A 29509-2024")</f>
        <v/>
      </c>
    </row>
    <row r="35" ht="15" customHeight="1">
      <c r="A35" t="inlineStr">
        <is>
          <t>A 7801-2022</t>
        </is>
      </c>
      <c r="B35" s="1" t="n">
        <v>44608.4999537037</v>
      </c>
      <c r="C35" s="1" t="n">
        <v>45890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54872-2022</t>
        </is>
      </c>
      <c r="B36" s="1" t="n">
        <v>44886</v>
      </c>
      <c r="C36" s="1" t="n">
        <v>45890</v>
      </c>
      <c r="D36" t="inlineStr">
        <is>
          <t>ÖSTERGÖTLANDS LÄN</t>
        </is>
      </c>
      <c r="E36" t="inlineStr">
        <is>
          <t>KINDA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HYPERLINK("https://klasma.github.io/Logging_0513/artfynd/A 54872-2022 artfynd.xlsx", "A 54872-2022")</f>
        <v/>
      </c>
      <c r="T36">
        <f>HYPERLINK("https://klasma.github.io/Logging_0513/kartor/A 54872-2022 karta.png", "A 54872-2022")</f>
        <v/>
      </c>
      <c r="V36">
        <f>HYPERLINK("https://klasma.github.io/Logging_0513/klagomål/A 54872-2022 FSC-klagomål.docx", "A 54872-2022")</f>
        <v/>
      </c>
      <c r="W36">
        <f>HYPERLINK("https://klasma.github.io/Logging_0513/klagomålsmail/A 54872-2022 FSC-klagomål mail.docx", "A 54872-2022")</f>
        <v/>
      </c>
      <c r="X36">
        <f>HYPERLINK("https://klasma.github.io/Logging_0513/tillsyn/A 54872-2022 tillsynsbegäran.docx", "A 54872-2022")</f>
        <v/>
      </c>
      <c r="Y36">
        <f>HYPERLINK("https://klasma.github.io/Logging_0513/tillsynsmail/A 54872-2022 tillsynsbegäran mail.docx", "A 54872-2022")</f>
        <v/>
      </c>
      <c r="Z36">
        <f>HYPERLINK("https://klasma.github.io/Logging_0513/fåglar/A 54872-2022 prioriterade fågelarter.docx", "A 54872-2022")</f>
        <v/>
      </c>
    </row>
    <row r="37" ht="15" customHeight="1">
      <c r="A37" t="inlineStr">
        <is>
          <t>A 19360-2023</t>
        </is>
      </c>
      <c r="B37" s="1" t="n">
        <v>45049</v>
      </c>
      <c r="C37" s="1" t="n">
        <v>45890</v>
      </c>
      <c r="D37" t="inlineStr">
        <is>
          <t>ÖSTERGÖTLANDS LÄN</t>
        </is>
      </c>
      <c r="E37" t="inlineStr">
        <is>
          <t>KINDA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HYPERLINK("https://klasma.github.io/Logging_0513/artfynd/A 19360-2023 artfynd.xlsx", "A 19360-2023")</f>
        <v/>
      </c>
      <c r="T37">
        <f>HYPERLINK("https://klasma.github.io/Logging_0513/kartor/A 19360-2023 karta.png", "A 19360-2023")</f>
        <v/>
      </c>
      <c r="V37">
        <f>HYPERLINK("https://klasma.github.io/Logging_0513/klagomål/A 19360-2023 FSC-klagomål.docx", "A 19360-2023")</f>
        <v/>
      </c>
      <c r="W37">
        <f>HYPERLINK("https://klasma.github.io/Logging_0513/klagomålsmail/A 19360-2023 FSC-klagomål mail.docx", "A 19360-2023")</f>
        <v/>
      </c>
      <c r="X37">
        <f>HYPERLINK("https://klasma.github.io/Logging_0513/tillsyn/A 19360-2023 tillsynsbegäran.docx", "A 19360-2023")</f>
        <v/>
      </c>
      <c r="Y37">
        <f>HYPERLINK("https://klasma.github.io/Logging_0513/tillsynsmail/A 19360-2023 tillsynsbegäran mail.docx", "A 19360-2023")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45890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60958-2022</t>
        </is>
      </c>
      <c r="B39" s="1" t="n">
        <v>44914.64768518518</v>
      </c>
      <c r="C39" s="1" t="n">
        <v>45890</v>
      </c>
      <c r="D39" t="inlineStr">
        <is>
          <t>ÖSTERGÖTLANDS LÄN</t>
        </is>
      </c>
      <c r="E39" t="inlineStr">
        <is>
          <t>KINDA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Puckelmaskros</t>
        </is>
      </c>
      <c r="S39">
        <f>HYPERLINK("https://klasma.github.io/Logging_0513/artfynd/A 60958-2022 artfynd.xlsx", "A 60958-2022")</f>
        <v/>
      </c>
      <c r="T39">
        <f>HYPERLINK("https://klasma.github.io/Logging_0513/kartor/A 60958-2022 karta.png", "A 60958-2022")</f>
        <v/>
      </c>
      <c r="V39">
        <f>HYPERLINK("https://klasma.github.io/Logging_0513/klagomål/A 60958-2022 FSC-klagomål.docx", "A 60958-2022")</f>
        <v/>
      </c>
      <c r="W39">
        <f>HYPERLINK("https://klasma.github.io/Logging_0513/klagomålsmail/A 60958-2022 FSC-klagomål mail.docx", "A 60958-2022")</f>
        <v/>
      </c>
      <c r="X39">
        <f>HYPERLINK("https://klasma.github.io/Logging_0513/tillsyn/A 60958-2022 tillsynsbegäran.docx", "A 60958-2022")</f>
        <v/>
      </c>
      <c r="Y39">
        <f>HYPERLINK("https://klasma.github.io/Logging_0513/tillsynsmail/A 60958-2022 tillsynsbegäran mail.docx", "A 60958-2022")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45890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3378-2024</t>
        </is>
      </c>
      <c r="B41" s="1" t="n">
        <v>45317</v>
      </c>
      <c r="C41" s="1" t="n">
        <v>45890</v>
      </c>
      <c r="D41" t="inlineStr">
        <is>
          <t>ÖSTERGÖTLANDS LÄN</t>
        </is>
      </c>
      <c r="E41" t="inlineStr">
        <is>
          <t>KINDA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HYPERLINK("https://klasma.github.io/Logging_0513/artfynd/A 3378-2024 artfynd.xlsx", "A 3378-2024")</f>
        <v/>
      </c>
      <c r="T41">
        <f>HYPERLINK("https://klasma.github.io/Logging_0513/kartor/A 3378-2024 karta.png", "A 3378-2024")</f>
        <v/>
      </c>
      <c r="V41">
        <f>HYPERLINK("https://klasma.github.io/Logging_0513/klagomål/A 3378-2024 FSC-klagomål.docx", "A 3378-2024")</f>
        <v/>
      </c>
      <c r="W41">
        <f>HYPERLINK("https://klasma.github.io/Logging_0513/klagomålsmail/A 3378-2024 FSC-klagomål mail.docx", "A 3378-2024")</f>
        <v/>
      </c>
      <c r="X41">
        <f>HYPERLINK("https://klasma.github.io/Logging_0513/tillsyn/A 3378-2024 tillsynsbegäran.docx", "A 3378-2024")</f>
        <v/>
      </c>
      <c r="Y41">
        <f>HYPERLINK("https://klasma.github.io/Logging_0513/tillsynsmail/A 3378-2024 tillsynsbegäran mail.docx", "A 3378-2024")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45890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10596-2021</t>
        </is>
      </c>
      <c r="B43" s="1" t="n">
        <v>44258</v>
      </c>
      <c r="C43" s="1" t="n">
        <v>45890</v>
      </c>
      <c r="D43" t="inlineStr">
        <is>
          <t>ÖSTERGÖTLANDS LÄN</t>
        </is>
      </c>
      <c r="E43" t="inlineStr">
        <is>
          <t>KINDA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Gröngöling</t>
        </is>
      </c>
      <c r="S43">
        <f>HYPERLINK("https://klasma.github.io/Logging_0513/artfynd/A 10596-2021 artfynd.xlsx", "A 10596-2021")</f>
        <v/>
      </c>
      <c r="T43">
        <f>HYPERLINK("https://klasma.github.io/Logging_0513/kartor/A 10596-2021 karta.png", "A 10596-2021")</f>
        <v/>
      </c>
      <c r="V43">
        <f>HYPERLINK("https://klasma.github.io/Logging_0513/klagomål/A 10596-2021 FSC-klagomål.docx", "A 10596-2021")</f>
        <v/>
      </c>
      <c r="W43">
        <f>HYPERLINK("https://klasma.github.io/Logging_0513/klagomålsmail/A 10596-2021 FSC-klagomål mail.docx", "A 10596-2021")</f>
        <v/>
      </c>
      <c r="X43">
        <f>HYPERLINK("https://klasma.github.io/Logging_0513/tillsyn/A 10596-2021 tillsynsbegäran.docx", "A 10596-2021")</f>
        <v/>
      </c>
      <c r="Y43">
        <f>HYPERLINK("https://klasma.github.io/Logging_0513/tillsynsmail/A 10596-2021 tillsynsbegäran mail.docx", "A 10596-2021")</f>
        <v/>
      </c>
      <c r="Z43">
        <f>HYPERLINK("https://klasma.github.io/Logging_0513/fåglar/A 10596-2021 prioriterade fågelarter.docx", "A 10596-2021")</f>
        <v/>
      </c>
    </row>
    <row r="44" ht="15" customHeight="1">
      <c r="A44" t="inlineStr">
        <is>
          <t>A 24071-2025</t>
        </is>
      </c>
      <c r="B44" s="1" t="n">
        <v>45796.54400462963</v>
      </c>
      <c r="C44" s="1" t="n">
        <v>45890</v>
      </c>
      <c r="D44" t="inlineStr">
        <is>
          <t>ÖSTERGÖTLANDS LÄN</t>
        </is>
      </c>
      <c r="E44" t="inlineStr">
        <is>
          <t>KINDA</t>
        </is>
      </c>
      <c r="G44" t="n">
        <v>3.1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Mörk ängsmaskros</t>
        </is>
      </c>
      <c r="S44">
        <f>HYPERLINK("https://klasma.github.io/Logging_0513/artfynd/A 24071-2025 artfynd.xlsx", "A 24071-2025")</f>
        <v/>
      </c>
      <c r="T44">
        <f>HYPERLINK("https://klasma.github.io/Logging_0513/kartor/A 24071-2025 karta.png", "A 24071-2025")</f>
        <v/>
      </c>
      <c r="V44">
        <f>HYPERLINK("https://klasma.github.io/Logging_0513/klagomål/A 24071-2025 FSC-klagomål.docx", "A 24071-2025")</f>
        <v/>
      </c>
      <c r="W44">
        <f>HYPERLINK("https://klasma.github.io/Logging_0513/klagomålsmail/A 24071-2025 FSC-klagomål mail.docx", "A 24071-2025")</f>
        <v/>
      </c>
      <c r="X44">
        <f>HYPERLINK("https://klasma.github.io/Logging_0513/tillsyn/A 24071-2025 tillsynsbegäran.docx", "A 24071-2025")</f>
        <v/>
      </c>
      <c r="Y44">
        <f>HYPERLINK("https://klasma.github.io/Logging_0513/tillsynsmail/A 24071-2025 tillsynsbegäran mail.docx", "A 24071-2025")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45890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45890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45890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37058-2025</t>
        </is>
      </c>
      <c r="B48" s="1" t="n">
        <v>45875</v>
      </c>
      <c r="C48" s="1" t="n">
        <v>45890</v>
      </c>
      <c r="D48" t="inlineStr">
        <is>
          <t>ÖSTERGÖTLANDS LÄN</t>
        </is>
      </c>
      <c r="E48" t="inlineStr">
        <is>
          <t>KINDA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37058-2025 artfynd.xlsx", "A 37058-2025")</f>
        <v/>
      </c>
      <c r="T48">
        <f>HYPERLINK("https://klasma.github.io/Logging_0513/kartor/A 37058-2025 karta.png", "A 37058-2025")</f>
        <v/>
      </c>
      <c r="V48">
        <f>HYPERLINK("https://klasma.github.io/Logging_0513/klagomål/A 37058-2025 FSC-klagomål.docx", "A 37058-2025")</f>
        <v/>
      </c>
      <c r="W48">
        <f>HYPERLINK("https://klasma.github.io/Logging_0513/klagomålsmail/A 37058-2025 FSC-klagomål mail.docx", "A 37058-2025")</f>
        <v/>
      </c>
      <c r="X48">
        <f>HYPERLINK("https://klasma.github.io/Logging_0513/tillsyn/A 37058-2025 tillsynsbegäran.docx", "A 37058-2025")</f>
        <v/>
      </c>
      <c r="Y48">
        <f>HYPERLINK("https://klasma.github.io/Logging_0513/tillsynsmail/A 37058-2025 tillsynsbegäran mail.docx", "A 37058-2025")</f>
        <v/>
      </c>
    </row>
    <row r="49" ht="15" customHeight="1">
      <c r="A49" t="inlineStr">
        <is>
          <t>A 35863-2025</t>
        </is>
      </c>
      <c r="B49" s="1" t="n">
        <v>45861</v>
      </c>
      <c r="C49" s="1" t="n">
        <v>45890</v>
      </c>
      <c r="D49" t="inlineStr">
        <is>
          <t>ÖSTERGÖTLANDS LÄN</t>
        </is>
      </c>
      <c r="E49" t="inlineStr">
        <is>
          <t>KINDA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HYPERLINK("https://klasma.github.io/Logging_0513/artfynd/A 35863-2025 artfynd.xlsx", "A 35863-2025")</f>
        <v/>
      </c>
      <c r="T49">
        <f>HYPERLINK("https://klasma.github.io/Logging_0513/kartor/A 35863-2025 karta.png", "A 35863-2025")</f>
        <v/>
      </c>
      <c r="V49">
        <f>HYPERLINK("https://klasma.github.io/Logging_0513/klagomål/A 35863-2025 FSC-klagomål.docx", "A 35863-2025")</f>
        <v/>
      </c>
      <c r="W49">
        <f>HYPERLINK("https://klasma.github.io/Logging_0513/klagomålsmail/A 35863-2025 FSC-klagomål mail.docx", "A 35863-2025")</f>
        <v/>
      </c>
      <c r="X49">
        <f>HYPERLINK("https://klasma.github.io/Logging_0513/tillsyn/A 35863-2025 tillsynsbegäran.docx", "A 35863-2025")</f>
        <v/>
      </c>
      <c r="Y49">
        <f>HYPERLINK("https://klasma.github.io/Logging_0513/tillsynsmail/A 35863-2025 tillsynsbegäran mail.docx", "A 35863-2025")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45890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31824-2025</t>
        </is>
      </c>
      <c r="B51" s="1" t="n">
        <v>45834.58208333333</v>
      </c>
      <c r="C51" s="1" t="n">
        <v>45890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31824-2025 artfynd.xlsx", "A 31824-2025")</f>
        <v/>
      </c>
      <c r="T51">
        <f>HYPERLINK("https://klasma.github.io/Logging_0513/kartor/A 31824-2025 karta.png", "A 31824-2025")</f>
        <v/>
      </c>
      <c r="V51">
        <f>HYPERLINK("https://klasma.github.io/Logging_0513/klagomål/A 31824-2025 FSC-klagomål.docx", "A 31824-2025")</f>
        <v/>
      </c>
      <c r="W51">
        <f>HYPERLINK("https://klasma.github.io/Logging_0513/klagomålsmail/A 31824-2025 FSC-klagomål mail.docx", "A 31824-2025")</f>
        <v/>
      </c>
      <c r="X51">
        <f>HYPERLINK("https://klasma.github.io/Logging_0513/tillsyn/A 31824-2025 tillsynsbegäran.docx", "A 31824-2025")</f>
        <v/>
      </c>
      <c r="Y51">
        <f>HYPERLINK("https://klasma.github.io/Logging_0513/tillsynsmail/A 31824-2025 tillsynsbegäran mail.docx", "A 31824-2025")</f>
        <v/>
      </c>
    </row>
    <row r="52" ht="15" customHeight="1">
      <c r="A52" t="inlineStr">
        <is>
          <t>A 145-2024</t>
        </is>
      </c>
      <c r="B52" s="1" t="n">
        <v>45294</v>
      </c>
      <c r="C52" s="1" t="n">
        <v>45890</v>
      </c>
      <c r="D52" t="inlineStr">
        <is>
          <t>ÖSTERGÖTLANDS LÄN</t>
        </is>
      </c>
      <c r="E52" t="inlineStr">
        <is>
          <t>KINDA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Ekgetingbock</t>
        </is>
      </c>
      <c r="S52">
        <f>HYPERLINK("https://klasma.github.io/Logging_0513/artfynd/A 145-2024 artfynd.xlsx", "A 145-2024")</f>
        <v/>
      </c>
      <c r="T52">
        <f>HYPERLINK("https://klasma.github.io/Logging_0513/kartor/A 145-2024 karta.png", "A 145-2024")</f>
        <v/>
      </c>
      <c r="V52">
        <f>HYPERLINK("https://klasma.github.io/Logging_0513/klagomål/A 145-2024 FSC-klagomål.docx", "A 145-2024")</f>
        <v/>
      </c>
      <c r="W52">
        <f>HYPERLINK("https://klasma.github.io/Logging_0513/klagomålsmail/A 145-2024 FSC-klagomål mail.docx", "A 145-2024")</f>
        <v/>
      </c>
      <c r="X52">
        <f>HYPERLINK("https://klasma.github.io/Logging_0513/tillsyn/A 145-2024 tillsynsbegäran.docx", "A 145-2024")</f>
        <v/>
      </c>
      <c r="Y52">
        <f>HYPERLINK("https://klasma.github.io/Logging_0513/tillsynsmail/A 145-2024 tillsynsbegäran mail.docx", "A 145-2024")</f>
        <v/>
      </c>
    </row>
    <row r="53" ht="15" customHeight="1">
      <c r="A53" t="inlineStr">
        <is>
          <t>A 33595-2025</t>
        </is>
      </c>
      <c r="B53" s="1" t="n">
        <v>45841.6012962963</v>
      </c>
      <c r="C53" s="1" t="n">
        <v>45890</v>
      </c>
      <c r="D53" t="inlineStr">
        <is>
          <t>ÖSTERGÖTLANDS LÄN</t>
        </is>
      </c>
      <c r="E53" t="inlineStr">
        <is>
          <t>KINDA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HYPERLINK("https://klasma.github.io/Logging_0513/artfynd/A 33595-2025 artfynd.xlsx", "A 33595-2025")</f>
        <v/>
      </c>
      <c r="T53">
        <f>HYPERLINK("https://klasma.github.io/Logging_0513/kartor/A 33595-2025 karta.png", "A 33595-2025")</f>
        <v/>
      </c>
      <c r="V53">
        <f>HYPERLINK("https://klasma.github.io/Logging_0513/klagomål/A 33595-2025 FSC-klagomål.docx", "A 33595-2025")</f>
        <v/>
      </c>
      <c r="W53">
        <f>HYPERLINK("https://klasma.github.io/Logging_0513/klagomålsmail/A 33595-2025 FSC-klagomål mail.docx", "A 33595-2025")</f>
        <v/>
      </c>
      <c r="X53">
        <f>HYPERLINK("https://klasma.github.io/Logging_0513/tillsyn/A 33595-2025 tillsynsbegäran.docx", "A 33595-2025")</f>
        <v/>
      </c>
      <c r="Y53">
        <f>HYPERLINK("https://klasma.github.io/Logging_0513/tillsynsmail/A 33595-2025 tillsynsbegäran mail.docx", "A 33595-2025")</f>
        <v/>
      </c>
    </row>
    <row r="54" ht="15" customHeight="1">
      <c r="A54" t="inlineStr">
        <is>
          <t>A 44552-2021</t>
        </is>
      </c>
      <c r="B54" s="1" t="n">
        <v>44435</v>
      </c>
      <c r="C54" s="1" t="n">
        <v>45890</v>
      </c>
      <c r="D54" t="inlineStr">
        <is>
          <t>ÖSTERGÖTLANDS LÄN</t>
        </is>
      </c>
      <c r="E54" t="inlineStr">
        <is>
          <t>KINDA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Storgröe</t>
        </is>
      </c>
      <c r="S54">
        <f>HYPERLINK("https://klasma.github.io/Logging_0513/artfynd/A 44552-2021 artfynd.xlsx", "A 44552-2021")</f>
        <v/>
      </c>
      <c r="T54">
        <f>HYPERLINK("https://klasma.github.io/Logging_0513/kartor/A 44552-2021 karta.png", "A 44552-2021")</f>
        <v/>
      </c>
      <c r="V54">
        <f>HYPERLINK("https://klasma.github.io/Logging_0513/klagomål/A 44552-2021 FSC-klagomål.docx", "A 44552-2021")</f>
        <v/>
      </c>
      <c r="W54">
        <f>HYPERLINK("https://klasma.github.io/Logging_0513/klagomålsmail/A 44552-2021 FSC-klagomål mail.docx", "A 44552-2021")</f>
        <v/>
      </c>
      <c r="X54">
        <f>HYPERLINK("https://klasma.github.io/Logging_0513/tillsyn/A 44552-2021 tillsynsbegäran.docx", "A 44552-2021")</f>
        <v/>
      </c>
      <c r="Y54">
        <f>HYPERLINK("https://klasma.github.io/Logging_0513/tillsynsmail/A 44552-2021 tillsynsbegäran mail.docx", "A 44552-2021")</f>
        <v/>
      </c>
    </row>
    <row r="55" ht="15" customHeight="1">
      <c r="A55" t="inlineStr">
        <is>
          <t>A 57522-2024</t>
        </is>
      </c>
      <c r="B55" s="1" t="n">
        <v>45630.41168981481</v>
      </c>
      <c r="C55" s="1" t="n">
        <v>45890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HYPERLINK("https://klasma.github.io/Logging_0513/artfynd/A 57522-2024 artfynd.xlsx", "A 57522-2024")</f>
        <v/>
      </c>
      <c r="T55">
        <f>HYPERLINK("https://klasma.github.io/Logging_0513/kartor/A 57522-2024 karta.png", "A 57522-2024")</f>
        <v/>
      </c>
      <c r="V55">
        <f>HYPERLINK("https://klasma.github.io/Logging_0513/klagomål/A 57522-2024 FSC-klagomål.docx", "A 57522-2024")</f>
        <v/>
      </c>
      <c r="W55">
        <f>HYPERLINK("https://klasma.github.io/Logging_0513/klagomålsmail/A 57522-2024 FSC-klagomål mail.docx", "A 57522-2024")</f>
        <v/>
      </c>
      <c r="X55">
        <f>HYPERLINK("https://klasma.github.io/Logging_0513/tillsyn/A 57522-2024 tillsynsbegäran.docx", "A 57522-2024")</f>
        <v/>
      </c>
      <c r="Y55">
        <f>HYPERLINK("https://klasma.github.io/Logging_0513/tillsynsmail/A 57522-2024 tillsynsbegäran mail.docx", "A 57522-2024")</f>
        <v/>
      </c>
    </row>
    <row r="56" ht="15" customHeight="1">
      <c r="A56" t="inlineStr">
        <is>
          <t>A 67789-2021</t>
        </is>
      </c>
      <c r="B56" s="1" t="n">
        <v>44525</v>
      </c>
      <c r="C56" s="1" t="n">
        <v>45890</v>
      </c>
      <c r="D56" t="inlineStr">
        <is>
          <t>ÖSTERGÖTLANDS LÄN</t>
        </is>
      </c>
      <c r="E56" t="inlineStr">
        <is>
          <t>KINDA</t>
        </is>
      </c>
      <c r="G56" t="n">
        <v>19.4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HYPERLINK("https://klasma.github.io/Logging_0513/artfynd/A 67789-2021 artfynd.xlsx", "A 67789-2021")</f>
        <v/>
      </c>
      <c r="T56">
        <f>HYPERLINK("https://klasma.github.io/Logging_0513/kartor/A 67789-2021 karta.png", "A 67789-2021")</f>
        <v/>
      </c>
      <c r="V56">
        <f>HYPERLINK("https://klasma.github.io/Logging_0513/klagomål/A 67789-2021 FSC-klagomål.docx", "A 67789-2021")</f>
        <v/>
      </c>
      <c r="W56">
        <f>HYPERLINK("https://klasma.github.io/Logging_0513/klagomålsmail/A 67789-2021 FSC-klagomål mail.docx", "A 67789-2021")</f>
        <v/>
      </c>
      <c r="X56">
        <f>HYPERLINK("https://klasma.github.io/Logging_0513/tillsyn/A 67789-2021 tillsynsbegäran.docx", "A 67789-2021")</f>
        <v/>
      </c>
      <c r="Y56">
        <f>HYPERLINK("https://klasma.github.io/Logging_0513/tillsynsmail/A 67789-2021 tillsynsbegäran mail.docx", "A 67789-2021")</f>
        <v/>
      </c>
      <c r="Z56">
        <f>HYPERLINK("https://klasma.github.io/Logging_0513/fåglar/A 67789-2021 prioriterade fågelarter.docx", "A 67789-2021")</f>
        <v/>
      </c>
    </row>
    <row r="57" ht="15" customHeight="1">
      <c r="A57" t="inlineStr">
        <is>
          <t>A 56584-2024</t>
        </is>
      </c>
      <c r="B57" s="1" t="n">
        <v>45625.60760416667</v>
      </c>
      <c r="C57" s="1" t="n">
        <v>45890</v>
      </c>
      <c r="D57" t="inlineStr">
        <is>
          <t>ÖSTERGÖTLANDS LÄN</t>
        </is>
      </c>
      <c r="E57" t="inlineStr">
        <is>
          <t>KINDA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HYPERLINK("https://klasma.github.io/Logging_0513/artfynd/A 56584-2024 artfynd.xlsx", "A 56584-2024")</f>
        <v/>
      </c>
      <c r="T57">
        <f>HYPERLINK("https://klasma.github.io/Logging_0513/kartor/A 56584-2024 karta.png", "A 56584-2024")</f>
        <v/>
      </c>
      <c r="V57">
        <f>HYPERLINK("https://klasma.github.io/Logging_0513/klagomål/A 56584-2024 FSC-klagomål.docx", "A 56584-2024")</f>
        <v/>
      </c>
      <c r="W57">
        <f>HYPERLINK("https://klasma.github.io/Logging_0513/klagomålsmail/A 56584-2024 FSC-klagomål mail.docx", "A 56584-2024")</f>
        <v/>
      </c>
      <c r="X57">
        <f>HYPERLINK("https://klasma.github.io/Logging_0513/tillsyn/A 56584-2024 tillsynsbegäran.docx", "A 56584-2024")</f>
        <v/>
      </c>
      <c r="Y57">
        <f>HYPERLINK("https://klasma.github.io/Logging_0513/tillsynsmail/A 56584-2024 tillsynsbegäran mail.docx", "A 56584-2024")</f>
        <v/>
      </c>
      <c r="Z57">
        <f>HYPERLINK("https://klasma.github.io/Logging_0513/fåglar/A 56584-2024 prioriterade fågelarter.docx", "A 56584-2024")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45890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45890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45890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45890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45890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45890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45890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45890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45890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29556-2021</t>
        </is>
      </c>
      <c r="B67" s="1" t="n">
        <v>44361.87231481481</v>
      </c>
      <c r="C67" s="1" t="n">
        <v>45890</v>
      </c>
      <c r="D67" t="inlineStr">
        <is>
          <t>ÖSTERGÖTLANDS LÄN</t>
        </is>
      </c>
      <c r="E67" t="inlineStr">
        <is>
          <t>KINDA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45890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45890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45890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45890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31817-2022</t>
        </is>
      </c>
      <c r="B72" s="1" t="n">
        <v>44776</v>
      </c>
      <c r="C72" s="1" t="n">
        <v>45890</v>
      </c>
      <c r="D72" t="inlineStr">
        <is>
          <t>ÖSTERGÖTLANDS LÄN</t>
        </is>
      </c>
      <c r="E72" t="inlineStr">
        <is>
          <t>KINDA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18597-2022</t>
        </is>
      </c>
      <c r="B73" s="1" t="n">
        <v>44687</v>
      </c>
      <c r="C73" s="1" t="n">
        <v>45890</v>
      </c>
      <c r="D73" t="inlineStr">
        <is>
          <t>ÖSTERGÖTLANDS LÄN</t>
        </is>
      </c>
      <c r="E73" t="inlineStr">
        <is>
          <t>KINDA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45890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45890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45890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45890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52047-2022</t>
        </is>
      </c>
      <c r="B78" s="1" t="n">
        <v>44873</v>
      </c>
      <c r="C78" s="1" t="n">
        <v>45890</v>
      </c>
      <c r="D78" t="inlineStr">
        <is>
          <t>ÖSTERGÖTLANDS LÄN</t>
        </is>
      </c>
      <c r="E78" t="inlineStr">
        <is>
          <t>KINDA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45890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45890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56725-2021</t>
        </is>
      </c>
      <c r="B81" s="1" t="n">
        <v>44481</v>
      </c>
      <c r="C81" s="1" t="n">
        <v>45890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57950-2021</t>
        </is>
      </c>
      <c r="B82" s="1" t="n">
        <v>44484</v>
      </c>
      <c r="C82" s="1" t="n">
        <v>45890</v>
      </c>
      <c r="D82" t="inlineStr">
        <is>
          <t>ÖSTERGÖTLANDS LÄN</t>
        </is>
      </c>
      <c r="E82" t="inlineStr">
        <is>
          <t>KINDA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45890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27774-2022</t>
        </is>
      </c>
      <c r="B84" s="1" t="n">
        <v>44743.54180555556</v>
      </c>
      <c r="C84" s="1" t="n">
        <v>45890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38948-2021</t>
        </is>
      </c>
      <c r="B85" s="1" t="n">
        <v>44411</v>
      </c>
      <c r="C85" s="1" t="n">
        <v>45890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45890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45890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45890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57496-2021</t>
        </is>
      </c>
      <c r="B89" s="1" t="n">
        <v>44483.77188657408</v>
      </c>
      <c r="C89" s="1" t="n">
        <v>45890</v>
      </c>
      <c r="D89" t="inlineStr">
        <is>
          <t>ÖSTERGÖTLANDS LÄN</t>
        </is>
      </c>
      <c r="E89" t="inlineStr">
        <is>
          <t>KINDA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45890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644-2022</t>
        </is>
      </c>
      <c r="B91" s="1" t="n">
        <v>44568.4189699074</v>
      </c>
      <c r="C91" s="1" t="n">
        <v>45890</v>
      </c>
      <c r="D91" t="inlineStr">
        <is>
          <t>ÖSTERGÖTLANDS LÄN</t>
        </is>
      </c>
      <c r="E91" t="inlineStr">
        <is>
          <t>KINDA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51575-2020</t>
        </is>
      </c>
      <c r="B92" s="1" t="n">
        <v>44113</v>
      </c>
      <c r="C92" s="1" t="n">
        <v>45890</v>
      </c>
      <c r="D92" t="inlineStr">
        <is>
          <t>ÖSTERGÖTLANDS LÄN</t>
        </is>
      </c>
      <c r="E92" t="inlineStr">
        <is>
          <t>KINDA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39552-2021</t>
        </is>
      </c>
      <c r="B93" s="1" t="n">
        <v>44416</v>
      </c>
      <c r="C93" s="1" t="n">
        <v>45890</v>
      </c>
      <c r="D93" t="inlineStr">
        <is>
          <t>ÖSTERGÖTLANDS LÄN</t>
        </is>
      </c>
      <c r="E93" t="inlineStr">
        <is>
          <t>KINDA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45890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45890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45890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45890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45890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45890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45890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45890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45890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45890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45890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45890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45890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45890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45890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4280-2021</t>
        </is>
      </c>
      <c r="B109" s="1" t="n">
        <v>44221</v>
      </c>
      <c r="C109" s="1" t="n">
        <v>45890</v>
      </c>
      <c r="D109" t="inlineStr">
        <is>
          <t>ÖSTERGÖTLANDS LÄN</t>
        </is>
      </c>
      <c r="E109" t="inlineStr">
        <is>
          <t>KINDA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24362-2021</t>
        </is>
      </c>
      <c r="B110" s="1" t="n">
        <v>44337</v>
      </c>
      <c r="C110" s="1" t="n">
        <v>45890</v>
      </c>
      <c r="D110" t="inlineStr">
        <is>
          <t>ÖSTERGÖTLANDS LÄN</t>
        </is>
      </c>
      <c r="E110" t="inlineStr">
        <is>
          <t>KINDA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24370-2021</t>
        </is>
      </c>
      <c r="B111" s="1" t="n">
        <v>44337</v>
      </c>
      <c r="C111" s="1" t="n">
        <v>45890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45890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45890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45890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45890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45890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45890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45890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45890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45890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45890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25670-2022</t>
        </is>
      </c>
      <c r="B122" s="1" t="n">
        <v>44733.01248842593</v>
      </c>
      <c r="C122" s="1" t="n">
        <v>45890</v>
      </c>
      <c r="D122" t="inlineStr">
        <is>
          <t>ÖSTERGÖTLANDS LÄN</t>
        </is>
      </c>
      <c r="E122" t="inlineStr">
        <is>
          <t>KINDA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23614-2022</t>
        </is>
      </c>
      <c r="B123" s="1" t="n">
        <v>44721.6180787037</v>
      </c>
      <c r="C123" s="1" t="n">
        <v>45890</v>
      </c>
      <c r="D123" t="inlineStr">
        <is>
          <t>ÖSTERGÖTLANDS LÄN</t>
        </is>
      </c>
      <c r="E123" t="inlineStr">
        <is>
          <t>KINDA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30364-2021</t>
        </is>
      </c>
      <c r="B124" s="1" t="n">
        <v>44364.44892361111</v>
      </c>
      <c r="C124" s="1" t="n">
        <v>45890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52048-2022</t>
        </is>
      </c>
      <c r="B125" s="1" t="n">
        <v>44873.32138888889</v>
      </c>
      <c r="C125" s="1" t="n">
        <v>45890</v>
      </c>
      <c r="D125" t="inlineStr">
        <is>
          <t>ÖSTERGÖTLANDS LÄN</t>
        </is>
      </c>
      <c r="E125" t="inlineStr">
        <is>
          <t>KINDA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44160-2022</t>
        </is>
      </c>
      <c r="B126" s="1" t="n">
        <v>44837</v>
      </c>
      <c r="C126" s="1" t="n">
        <v>45890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42511-2020</t>
        </is>
      </c>
      <c r="B127" s="1" t="n">
        <v>44077</v>
      </c>
      <c r="C127" s="1" t="n">
        <v>45890</v>
      </c>
      <c r="D127" t="inlineStr">
        <is>
          <t>ÖSTERGÖTLANDS LÄN</t>
        </is>
      </c>
      <c r="E127" t="inlineStr">
        <is>
          <t>KINDA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53493-2022</t>
        </is>
      </c>
      <c r="B128" s="1" t="n">
        <v>44874</v>
      </c>
      <c r="C128" s="1" t="n">
        <v>45890</v>
      </c>
      <c r="D128" t="inlineStr">
        <is>
          <t>ÖSTERGÖTLANDS LÄN</t>
        </is>
      </c>
      <c r="E128" t="inlineStr">
        <is>
          <t>KINDA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26604-2022</t>
        </is>
      </c>
      <c r="B129" s="1" t="n">
        <v>44739.55577546296</v>
      </c>
      <c r="C129" s="1" t="n">
        <v>45890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22687-2022</t>
        </is>
      </c>
      <c r="B130" s="1" t="n">
        <v>44714.53115740741</v>
      </c>
      <c r="C130" s="1" t="n">
        <v>45890</v>
      </c>
      <c r="D130" t="inlineStr">
        <is>
          <t>ÖSTERGÖTLANDS LÄN</t>
        </is>
      </c>
      <c r="E130" t="inlineStr">
        <is>
          <t>KINDA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19897-2022</t>
        </is>
      </c>
      <c r="B131" s="1" t="n">
        <v>44697</v>
      </c>
      <c r="C131" s="1" t="n">
        <v>45890</v>
      </c>
      <c r="D131" t="inlineStr">
        <is>
          <t>ÖSTERGÖTLANDS LÄN</t>
        </is>
      </c>
      <c r="E131" t="inlineStr">
        <is>
          <t>KINDA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7835-2021</t>
        </is>
      </c>
      <c r="B132" s="1" t="n">
        <v>44242</v>
      </c>
      <c r="C132" s="1" t="n">
        <v>45890</v>
      </c>
      <c r="D132" t="inlineStr">
        <is>
          <t>ÖSTERGÖTLANDS LÄN</t>
        </is>
      </c>
      <c r="E132" t="inlineStr">
        <is>
          <t>KINDA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26021-2022</t>
        </is>
      </c>
      <c r="B133" s="1" t="n">
        <v>44734.56722222222</v>
      </c>
      <c r="C133" s="1" t="n">
        <v>45890</v>
      </c>
      <c r="D133" t="inlineStr">
        <is>
          <t>ÖSTERGÖTLANDS LÄN</t>
        </is>
      </c>
      <c r="E133" t="inlineStr">
        <is>
          <t>KINDA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36826-2022</t>
        </is>
      </c>
      <c r="B134" s="1" t="n">
        <v>44805.56214120371</v>
      </c>
      <c r="C134" s="1" t="n">
        <v>45890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21148-2022</t>
        </is>
      </c>
      <c r="B135" s="1" t="n">
        <v>44704.65763888889</v>
      </c>
      <c r="C135" s="1" t="n">
        <v>45890</v>
      </c>
      <c r="D135" t="inlineStr">
        <is>
          <t>ÖSTERGÖTLANDS LÄN</t>
        </is>
      </c>
      <c r="E135" t="inlineStr">
        <is>
          <t>KINDA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45890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45890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45890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45890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40246-2021</t>
        </is>
      </c>
      <c r="B140" s="1" t="n">
        <v>44419</v>
      </c>
      <c r="C140" s="1" t="n">
        <v>45890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7142-2022</t>
        </is>
      </c>
      <c r="B141" s="1" t="n">
        <v>44603.75377314815</v>
      </c>
      <c r="C141" s="1" t="n">
        <v>45890</v>
      </c>
      <c r="D141" t="inlineStr">
        <is>
          <t>ÖSTERGÖTLANDS LÄN</t>
        </is>
      </c>
      <c r="E141" t="inlineStr">
        <is>
          <t>KINDA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47051-2022</t>
        </is>
      </c>
      <c r="B142" s="1" t="n">
        <v>44852</v>
      </c>
      <c r="C142" s="1" t="n">
        <v>45890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45890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43467-2022</t>
        </is>
      </c>
      <c r="B144" s="1" t="n">
        <v>44836.74738425926</v>
      </c>
      <c r="C144" s="1" t="n">
        <v>45890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49440-2021</t>
        </is>
      </c>
      <c r="B145" s="1" t="n">
        <v>44454</v>
      </c>
      <c r="C145" s="1" t="n">
        <v>45890</v>
      </c>
      <c r="D145" t="inlineStr">
        <is>
          <t>ÖSTERGÖTLANDS LÄN</t>
        </is>
      </c>
      <c r="E145" t="inlineStr">
        <is>
          <t>KINDA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49349-2022</t>
        </is>
      </c>
      <c r="B146" s="1" t="n">
        <v>44861</v>
      </c>
      <c r="C146" s="1" t="n">
        <v>45890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57497-2021</t>
        </is>
      </c>
      <c r="B147" s="1" t="n">
        <v>44483</v>
      </c>
      <c r="C147" s="1" t="n">
        <v>45890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44303-2022</t>
        </is>
      </c>
      <c r="B148" s="1" t="n">
        <v>44839.62386574074</v>
      </c>
      <c r="C148" s="1" t="n">
        <v>45890</v>
      </c>
      <c r="D148" t="inlineStr">
        <is>
          <t>ÖSTERGÖTLANDS LÄN</t>
        </is>
      </c>
      <c r="E148" t="inlineStr">
        <is>
          <t>KINDA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65047-2020</t>
        </is>
      </c>
      <c r="B149" s="1" t="n">
        <v>44167</v>
      </c>
      <c r="C149" s="1" t="n">
        <v>45890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34139-2021</t>
        </is>
      </c>
      <c r="B150" s="1" t="n">
        <v>44379</v>
      </c>
      <c r="C150" s="1" t="n">
        <v>45890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9468-2022</t>
        </is>
      </c>
      <c r="B151" s="1" t="n">
        <v>44616.80707175926</v>
      </c>
      <c r="C151" s="1" t="n">
        <v>45890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28802-2021</t>
        </is>
      </c>
      <c r="B152" s="1" t="n">
        <v>44357</v>
      </c>
      <c r="C152" s="1" t="n">
        <v>45890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46686-2021</t>
        </is>
      </c>
      <c r="B153" s="1" t="n">
        <v>44445</v>
      </c>
      <c r="C153" s="1" t="n">
        <v>45890</v>
      </c>
      <c r="D153" t="inlineStr">
        <is>
          <t>ÖSTERGÖTLANDS LÄN</t>
        </is>
      </c>
      <c r="E153" t="inlineStr">
        <is>
          <t>KINDA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53640-2020</t>
        </is>
      </c>
      <c r="B154" s="1" t="n">
        <v>44123</v>
      </c>
      <c r="C154" s="1" t="n">
        <v>45890</v>
      </c>
      <c r="D154" t="inlineStr">
        <is>
          <t>ÖSTERGÖTLANDS LÄN</t>
        </is>
      </c>
      <c r="E154" t="inlineStr">
        <is>
          <t>KINDA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52210-2020</t>
        </is>
      </c>
      <c r="B155" s="1" t="n">
        <v>44112</v>
      </c>
      <c r="C155" s="1" t="n">
        <v>45890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40731-2020</t>
        </is>
      </c>
      <c r="B156" s="1" t="n">
        <v>44069</v>
      </c>
      <c r="C156" s="1" t="n">
        <v>45890</v>
      </c>
      <c r="D156" t="inlineStr">
        <is>
          <t>ÖSTERGÖTLANDS LÄN</t>
        </is>
      </c>
      <c r="E156" t="inlineStr">
        <is>
          <t>KINDA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46591-2020</t>
        </is>
      </c>
      <c r="B157" s="1" t="n">
        <v>44095</v>
      </c>
      <c r="C157" s="1" t="n">
        <v>45890</v>
      </c>
      <c r="D157" t="inlineStr">
        <is>
          <t>ÖSTERGÖTLANDS LÄN</t>
        </is>
      </c>
      <c r="E157" t="inlineStr">
        <is>
          <t>KINDA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23248-2022</t>
        </is>
      </c>
      <c r="B158" s="1" t="n">
        <v>44720</v>
      </c>
      <c r="C158" s="1" t="n">
        <v>45890</v>
      </c>
      <c r="D158" t="inlineStr">
        <is>
          <t>ÖSTERGÖTLANDS LÄN</t>
        </is>
      </c>
      <c r="E158" t="inlineStr">
        <is>
          <t>KINDA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57657-2021</t>
        </is>
      </c>
      <c r="B159" s="1" t="n">
        <v>44484</v>
      </c>
      <c r="C159" s="1" t="n">
        <v>45890</v>
      </c>
      <c r="D159" t="inlineStr">
        <is>
          <t>ÖSTERGÖTLANDS LÄN</t>
        </is>
      </c>
      <c r="E159" t="inlineStr">
        <is>
          <t>KINDA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15349-2024</t>
        </is>
      </c>
      <c r="B160" s="1" t="n">
        <v>45400.7590162037</v>
      </c>
      <c r="C160" s="1" t="n">
        <v>45890</v>
      </c>
      <c r="D160" t="inlineStr">
        <is>
          <t>ÖSTERGÖTLANDS LÄN</t>
        </is>
      </c>
      <c r="E160" t="inlineStr">
        <is>
          <t>KINDA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23887-2023</t>
        </is>
      </c>
      <c r="B161" s="1" t="n">
        <v>45078.52990740741</v>
      </c>
      <c r="C161" s="1" t="n">
        <v>45890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57894-2021</t>
        </is>
      </c>
      <c r="B162" s="1" t="n">
        <v>44486</v>
      </c>
      <c r="C162" s="1" t="n">
        <v>45890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10806-2024</t>
        </is>
      </c>
      <c r="B163" s="1" t="n">
        <v>45369.62628472222</v>
      </c>
      <c r="C163" s="1" t="n">
        <v>45890</v>
      </c>
      <c r="D163" t="inlineStr">
        <is>
          <t>ÖSTERGÖTLANDS LÄN</t>
        </is>
      </c>
      <c r="E163" t="inlineStr">
        <is>
          <t>KINDA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20083-2021</t>
        </is>
      </c>
      <c r="B164" s="1" t="n">
        <v>44314</v>
      </c>
      <c r="C164" s="1" t="n">
        <v>45890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74446-2021</t>
        </is>
      </c>
      <c r="B165" s="1" t="n">
        <v>44560</v>
      </c>
      <c r="C165" s="1" t="n">
        <v>45890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29516-2024</t>
        </is>
      </c>
      <c r="B166" s="1" t="n">
        <v>45484</v>
      </c>
      <c r="C166" s="1" t="n">
        <v>45890</v>
      </c>
      <c r="D166" t="inlineStr">
        <is>
          <t>ÖSTERGÖTLANDS LÄN</t>
        </is>
      </c>
      <c r="E166" t="inlineStr">
        <is>
          <t>KINDA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34815-2022</t>
        </is>
      </c>
      <c r="B167" s="1" t="n">
        <v>44796.31537037037</v>
      </c>
      <c r="C167" s="1" t="n">
        <v>45890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33562-2022</t>
        </is>
      </c>
      <c r="B168" s="1" t="n">
        <v>44789.39914351852</v>
      </c>
      <c r="C168" s="1" t="n">
        <v>45890</v>
      </c>
      <c r="D168" t="inlineStr">
        <is>
          <t>ÖSTERGÖTLANDS LÄN</t>
        </is>
      </c>
      <c r="E168" t="inlineStr">
        <is>
          <t>KINDA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61954-2022</t>
        </is>
      </c>
      <c r="B169" s="1" t="n">
        <v>44918.33840277778</v>
      </c>
      <c r="C169" s="1" t="n">
        <v>45890</v>
      </c>
      <c r="D169" t="inlineStr">
        <is>
          <t>ÖSTERGÖTLANDS LÄN</t>
        </is>
      </c>
      <c r="E169" t="inlineStr">
        <is>
          <t>KINDA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57194-2023</t>
        </is>
      </c>
      <c r="B170" s="1" t="n">
        <v>45245.47634259259</v>
      </c>
      <c r="C170" s="1" t="n">
        <v>45890</v>
      </c>
      <c r="D170" t="inlineStr">
        <is>
          <t>ÖSTERGÖTLANDS LÄN</t>
        </is>
      </c>
      <c r="E170" t="inlineStr">
        <is>
          <t>KINDA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35152-2024</t>
        </is>
      </c>
      <c r="B171" s="1" t="n">
        <v>45530.38082175926</v>
      </c>
      <c r="C171" s="1" t="n">
        <v>45890</v>
      </c>
      <c r="D171" t="inlineStr">
        <is>
          <t>ÖSTERGÖTLANDS LÄN</t>
        </is>
      </c>
      <c r="E171" t="inlineStr">
        <is>
          <t>KINDA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22151-2024</t>
        </is>
      </c>
      <c r="B172" s="1" t="n">
        <v>45445.39447916667</v>
      </c>
      <c r="C172" s="1" t="n">
        <v>45890</v>
      </c>
      <c r="D172" t="inlineStr">
        <is>
          <t>ÖSTERGÖTLANDS LÄN</t>
        </is>
      </c>
      <c r="E172" t="inlineStr">
        <is>
          <t>KINDA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47056-2022</t>
        </is>
      </c>
      <c r="B173" s="1" t="n">
        <v>44852</v>
      </c>
      <c r="C173" s="1" t="n">
        <v>45890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6409-2025</t>
        </is>
      </c>
      <c r="B174" s="1" t="n">
        <v>45699.45700231481</v>
      </c>
      <c r="C174" s="1" t="n">
        <v>45890</v>
      </c>
      <c r="D174" t="inlineStr">
        <is>
          <t>ÖSTERGÖTLANDS LÄN</t>
        </is>
      </c>
      <c r="E174" t="inlineStr">
        <is>
          <t>KINDA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41331-2023</t>
        </is>
      </c>
      <c r="B175" s="1" t="n">
        <v>45174</v>
      </c>
      <c r="C175" s="1" t="n">
        <v>45890</v>
      </c>
      <c r="D175" t="inlineStr">
        <is>
          <t>ÖSTERGÖTLANDS LÄN</t>
        </is>
      </c>
      <c r="E175" t="inlineStr">
        <is>
          <t>KINDA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3911-2023</t>
        </is>
      </c>
      <c r="B176" s="1" t="n">
        <v>44952</v>
      </c>
      <c r="C176" s="1" t="n">
        <v>45890</v>
      </c>
      <c r="D176" t="inlineStr">
        <is>
          <t>ÖSTERGÖTLANDS LÄN</t>
        </is>
      </c>
      <c r="E176" t="inlineStr">
        <is>
          <t>KINDA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8088-2024</t>
        </is>
      </c>
      <c r="B177" s="1" t="n">
        <v>45351</v>
      </c>
      <c r="C177" s="1" t="n">
        <v>45890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45108-2023</t>
        </is>
      </c>
      <c r="B178" s="1" t="n">
        <v>45187</v>
      </c>
      <c r="C178" s="1" t="n">
        <v>45890</v>
      </c>
      <c r="D178" t="inlineStr">
        <is>
          <t>ÖSTERGÖTLANDS LÄN</t>
        </is>
      </c>
      <c r="E178" t="inlineStr">
        <is>
          <t>KINDA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2969-2024</t>
        </is>
      </c>
      <c r="B179" s="1" t="n">
        <v>45315.66914351852</v>
      </c>
      <c r="C179" s="1" t="n">
        <v>45890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20972-2021</t>
        </is>
      </c>
      <c r="B180" s="1" t="n">
        <v>44319.56430555556</v>
      </c>
      <c r="C180" s="1" t="n">
        <v>45890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21071-2024</t>
        </is>
      </c>
      <c r="B181" s="1" t="n">
        <v>45439.8615625</v>
      </c>
      <c r="C181" s="1" t="n">
        <v>45890</v>
      </c>
      <c r="D181" t="inlineStr">
        <is>
          <t>ÖSTERGÖTLANDS LÄN</t>
        </is>
      </c>
      <c r="E181" t="inlineStr">
        <is>
          <t>KINDA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41580-2023</t>
        </is>
      </c>
      <c r="B182" s="1" t="n">
        <v>45175.62292824074</v>
      </c>
      <c r="C182" s="1" t="n">
        <v>45890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14817-2023</t>
        </is>
      </c>
      <c r="B183" s="1" t="n">
        <v>45014.65841435185</v>
      </c>
      <c r="C183" s="1" t="n">
        <v>45890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12269-2023</t>
        </is>
      </c>
      <c r="B184" s="1" t="n">
        <v>44998</v>
      </c>
      <c r="C184" s="1" t="n">
        <v>45890</v>
      </c>
      <c r="D184" t="inlineStr">
        <is>
          <t>ÖSTERGÖTLANDS LÄN</t>
        </is>
      </c>
      <c r="E184" t="inlineStr">
        <is>
          <t>KINDA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57987-2024</t>
        </is>
      </c>
      <c r="B185" s="1" t="n">
        <v>45631.62002314815</v>
      </c>
      <c r="C185" s="1" t="n">
        <v>45890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47959-2020</t>
        </is>
      </c>
      <c r="B186" s="1" t="n">
        <v>44099</v>
      </c>
      <c r="C186" s="1" t="n">
        <v>45890</v>
      </c>
      <c r="D186" t="inlineStr">
        <is>
          <t>ÖSTERGÖTLANDS LÄN</t>
        </is>
      </c>
      <c r="E186" t="inlineStr">
        <is>
          <t>KINDA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25490-2023</t>
        </is>
      </c>
      <c r="B187" s="1" t="n">
        <v>45082</v>
      </c>
      <c r="C187" s="1" t="n">
        <v>45890</v>
      </c>
      <c r="D187" t="inlineStr">
        <is>
          <t>ÖSTERGÖTLANDS LÄN</t>
        </is>
      </c>
      <c r="E187" t="inlineStr">
        <is>
          <t>KINDA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15029-2024</t>
        </is>
      </c>
      <c r="B188" s="1" t="n">
        <v>45399.46633101852</v>
      </c>
      <c r="C188" s="1" t="n">
        <v>45890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17479-2025</t>
        </is>
      </c>
      <c r="B189" s="1" t="n">
        <v>45757.48659722223</v>
      </c>
      <c r="C189" s="1" t="n">
        <v>45890</v>
      </c>
      <c r="D189" t="inlineStr">
        <is>
          <t>ÖSTERGÖTLANDS LÄN</t>
        </is>
      </c>
      <c r="E189" t="inlineStr">
        <is>
          <t>KINDA</t>
        </is>
      </c>
      <c r="F189" t="inlineStr">
        <is>
          <t>Allmännings- och besparingsskogar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38596-2023</t>
        </is>
      </c>
      <c r="B190" s="1" t="n">
        <v>45162</v>
      </c>
      <c r="C190" s="1" t="n">
        <v>45890</v>
      </c>
      <c r="D190" t="inlineStr">
        <is>
          <t>ÖSTERGÖTLANDS LÄN</t>
        </is>
      </c>
      <c r="E190" t="inlineStr">
        <is>
          <t>KINDA</t>
        </is>
      </c>
      <c r="F190" t="inlineStr">
        <is>
          <t>Allmännings- och besparingsskogar</t>
        </is>
      </c>
      <c r="G190" t="n">
        <v>12.2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16607-2023</t>
        </is>
      </c>
      <c r="B191" s="1" t="n">
        <v>45030</v>
      </c>
      <c r="C191" s="1" t="n">
        <v>45890</v>
      </c>
      <c r="D191" t="inlineStr">
        <is>
          <t>ÖSTERGÖTLANDS LÄN</t>
        </is>
      </c>
      <c r="E191" t="inlineStr">
        <is>
          <t>KINDA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16609-2023</t>
        </is>
      </c>
      <c r="B192" s="1" t="n">
        <v>45030</v>
      </c>
      <c r="C192" s="1" t="n">
        <v>45890</v>
      </c>
      <c r="D192" t="inlineStr">
        <is>
          <t>ÖSTERGÖTLANDS LÄN</t>
        </is>
      </c>
      <c r="E192" t="inlineStr">
        <is>
          <t>KINDA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16610-2023</t>
        </is>
      </c>
      <c r="B193" s="1" t="n">
        <v>45030</v>
      </c>
      <c r="C193" s="1" t="n">
        <v>45890</v>
      </c>
      <c r="D193" t="inlineStr">
        <is>
          <t>ÖSTERGÖTLANDS LÄN</t>
        </is>
      </c>
      <c r="E193" t="inlineStr">
        <is>
          <t>KINDA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49881-2021</t>
        </is>
      </c>
      <c r="B194" s="1" t="n">
        <v>44455.68322916667</v>
      </c>
      <c r="C194" s="1" t="n">
        <v>45890</v>
      </c>
      <c r="D194" t="inlineStr">
        <is>
          <t>ÖSTERGÖTLANDS LÄN</t>
        </is>
      </c>
      <c r="E194" t="inlineStr">
        <is>
          <t>KINDA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4326-2021</t>
        </is>
      </c>
      <c r="B195" s="1" t="n">
        <v>44223</v>
      </c>
      <c r="C195" s="1" t="n">
        <v>45890</v>
      </c>
      <c r="D195" t="inlineStr">
        <is>
          <t>ÖSTERGÖTLANDS LÄN</t>
        </is>
      </c>
      <c r="E195" t="inlineStr">
        <is>
          <t>KINDA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4331-2021</t>
        </is>
      </c>
      <c r="B196" s="1" t="n">
        <v>44223</v>
      </c>
      <c r="C196" s="1" t="n">
        <v>45890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60824-2023</t>
        </is>
      </c>
      <c r="B197" s="1" t="n">
        <v>45260.80365740741</v>
      </c>
      <c r="C197" s="1" t="n">
        <v>45890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57767-2022</t>
        </is>
      </c>
      <c r="B198" s="1" t="n">
        <v>44897.60309027778</v>
      </c>
      <c r="C198" s="1" t="n">
        <v>45890</v>
      </c>
      <c r="D198" t="inlineStr">
        <is>
          <t>ÖSTERGÖTLANDS LÄN</t>
        </is>
      </c>
      <c r="E198" t="inlineStr">
        <is>
          <t>KINDA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23897-2023</t>
        </is>
      </c>
      <c r="B199" s="1" t="n">
        <v>45078</v>
      </c>
      <c r="C199" s="1" t="n">
        <v>45890</v>
      </c>
      <c r="D199" t="inlineStr">
        <is>
          <t>ÖSTERGÖTLANDS LÄN</t>
        </is>
      </c>
      <c r="E199" t="inlineStr">
        <is>
          <t>KINDA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37489-2024</t>
        </is>
      </c>
      <c r="B200" s="1" t="n">
        <v>45541.34607638889</v>
      </c>
      <c r="C200" s="1" t="n">
        <v>45890</v>
      </c>
      <c r="D200" t="inlineStr">
        <is>
          <t>ÖSTERGÖTLANDS LÄN</t>
        </is>
      </c>
      <c r="E200" t="inlineStr">
        <is>
          <t>KINDA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6837-2023</t>
        </is>
      </c>
      <c r="B201" s="1" t="n">
        <v>44967</v>
      </c>
      <c r="C201" s="1" t="n">
        <v>45890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41450-2022</t>
        </is>
      </c>
      <c r="B202" s="1" t="n">
        <v>44826</v>
      </c>
      <c r="C202" s="1" t="n">
        <v>45890</v>
      </c>
      <c r="D202" t="inlineStr">
        <is>
          <t>ÖSTERGÖTLANDS LÄN</t>
        </is>
      </c>
      <c r="E202" t="inlineStr">
        <is>
          <t>KINDA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4731-2025</t>
        </is>
      </c>
      <c r="B203" s="1" t="n">
        <v>45688.43620370371</v>
      </c>
      <c r="C203" s="1" t="n">
        <v>45890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5508-2025</t>
        </is>
      </c>
      <c r="B204" s="1" t="n">
        <v>45693.39354166666</v>
      </c>
      <c r="C204" s="1" t="n">
        <v>45890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37831-2023</t>
        </is>
      </c>
      <c r="B205" s="1" t="n">
        <v>45160.3425</v>
      </c>
      <c r="C205" s="1" t="n">
        <v>45890</v>
      </c>
      <c r="D205" t="inlineStr">
        <is>
          <t>ÖSTERGÖTLANDS LÄN</t>
        </is>
      </c>
      <c r="E205" t="inlineStr">
        <is>
          <t>KINDA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29726-2022</t>
        </is>
      </c>
      <c r="B206" s="1" t="n">
        <v>44755.45060185185</v>
      </c>
      <c r="C206" s="1" t="n">
        <v>45890</v>
      </c>
      <c r="D206" t="inlineStr">
        <is>
          <t>ÖSTERGÖTLANDS LÄN</t>
        </is>
      </c>
      <c r="E206" t="inlineStr">
        <is>
          <t>KINDA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35213-2023</t>
        </is>
      </c>
      <c r="B207" s="1" t="n">
        <v>45145.63927083334</v>
      </c>
      <c r="C207" s="1" t="n">
        <v>45890</v>
      </c>
      <c r="D207" t="inlineStr">
        <is>
          <t>ÖSTERGÖTLANDS LÄN</t>
        </is>
      </c>
      <c r="E207" t="inlineStr">
        <is>
          <t>KINDA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48520-2024</t>
        </is>
      </c>
      <c r="B208" s="1" t="n">
        <v>45593.32488425926</v>
      </c>
      <c r="C208" s="1" t="n">
        <v>45890</v>
      </c>
      <c r="D208" t="inlineStr">
        <is>
          <t>ÖSTERGÖTLANDS LÄN</t>
        </is>
      </c>
      <c r="E208" t="inlineStr">
        <is>
          <t>KINDA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26625-2022</t>
        </is>
      </c>
      <c r="B209" s="1" t="n">
        <v>44739.5850462963</v>
      </c>
      <c r="C209" s="1" t="n">
        <v>45890</v>
      </c>
      <c r="D209" t="inlineStr">
        <is>
          <t>ÖSTERGÖTLANDS LÄN</t>
        </is>
      </c>
      <c r="E209" t="inlineStr">
        <is>
          <t>KINDA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68850-2020</t>
        </is>
      </c>
      <c r="B210" s="1" t="n">
        <v>44187</v>
      </c>
      <c r="C210" s="1" t="n">
        <v>45890</v>
      </c>
      <c r="D210" t="inlineStr">
        <is>
          <t>ÖSTERGÖTLANDS LÄN</t>
        </is>
      </c>
      <c r="E210" t="inlineStr">
        <is>
          <t>KINDA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34127-2021</t>
        </is>
      </c>
      <c r="B211" s="1" t="n">
        <v>44379</v>
      </c>
      <c r="C211" s="1" t="n">
        <v>45890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28291-2023</t>
        </is>
      </c>
      <c r="B212" s="1" t="n">
        <v>45098</v>
      </c>
      <c r="C212" s="1" t="n">
        <v>45890</v>
      </c>
      <c r="D212" t="inlineStr">
        <is>
          <t>ÖSTERGÖTLANDS LÄN</t>
        </is>
      </c>
      <c r="E212" t="inlineStr">
        <is>
          <t>KINDA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23883-2023</t>
        </is>
      </c>
      <c r="B213" s="1" t="n">
        <v>45078.51806712963</v>
      </c>
      <c r="C213" s="1" t="n">
        <v>45890</v>
      </c>
      <c r="D213" t="inlineStr">
        <is>
          <t>ÖSTERGÖTLANDS LÄN</t>
        </is>
      </c>
      <c r="E213" t="inlineStr">
        <is>
          <t>KINDA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5184-2023</t>
        </is>
      </c>
      <c r="B214" s="1" t="n">
        <v>44959.3233912037</v>
      </c>
      <c r="C214" s="1" t="n">
        <v>45890</v>
      </c>
      <c r="D214" t="inlineStr">
        <is>
          <t>ÖSTERGÖTLANDS LÄN</t>
        </is>
      </c>
      <c r="E214" t="inlineStr">
        <is>
          <t>KINDA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31849-2023</t>
        </is>
      </c>
      <c r="B215" s="1" t="n">
        <v>45118.58756944445</v>
      </c>
      <c r="C215" s="1" t="n">
        <v>45890</v>
      </c>
      <c r="D215" t="inlineStr">
        <is>
          <t>ÖSTERGÖTLANDS LÄN</t>
        </is>
      </c>
      <c r="E215" t="inlineStr">
        <is>
          <t>KINDA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133-2024</t>
        </is>
      </c>
      <c r="B216" s="1" t="n">
        <v>45294.43197916666</v>
      </c>
      <c r="C216" s="1" t="n">
        <v>45890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44295-2020</t>
        </is>
      </c>
      <c r="B217" s="1" t="n">
        <v>44084</v>
      </c>
      <c r="C217" s="1" t="n">
        <v>45890</v>
      </c>
      <c r="D217" t="inlineStr">
        <is>
          <t>ÖSTERGÖTLANDS LÄN</t>
        </is>
      </c>
      <c r="E217" t="inlineStr">
        <is>
          <t>KINDA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8501-2024</t>
        </is>
      </c>
      <c r="B218" s="1" t="n">
        <v>45355.45898148148</v>
      </c>
      <c r="C218" s="1" t="n">
        <v>45890</v>
      </c>
      <c r="D218" t="inlineStr">
        <is>
          <t>ÖSTERGÖTLANDS LÄN</t>
        </is>
      </c>
      <c r="E218" t="inlineStr">
        <is>
          <t>KINDA</t>
        </is>
      </c>
      <c r="F218" t="inlineStr">
        <is>
          <t>Övriga Aktiebolag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4659-2023</t>
        </is>
      </c>
      <c r="B219" s="1" t="n">
        <v>44952</v>
      </c>
      <c r="C219" s="1" t="n">
        <v>45890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7792-2022</t>
        </is>
      </c>
      <c r="B220" s="1" t="n">
        <v>44608.48450231482</v>
      </c>
      <c r="C220" s="1" t="n">
        <v>45890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46262-2021</t>
        </is>
      </c>
      <c r="B221" s="1" t="n">
        <v>44442.55604166666</v>
      </c>
      <c r="C221" s="1" t="n">
        <v>45890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15271-2021</t>
        </is>
      </c>
      <c r="B222" s="1" t="n">
        <v>44284.57011574074</v>
      </c>
      <c r="C222" s="1" t="n">
        <v>45890</v>
      </c>
      <c r="D222" t="inlineStr">
        <is>
          <t>ÖSTERGÖTLANDS LÄN</t>
        </is>
      </c>
      <c r="E222" t="inlineStr">
        <is>
          <t>KINDA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44278-2022</t>
        </is>
      </c>
      <c r="B223" s="1" t="n">
        <v>44839.58741898148</v>
      </c>
      <c r="C223" s="1" t="n">
        <v>45890</v>
      </c>
      <c r="D223" t="inlineStr">
        <is>
          <t>ÖSTERGÖTLANDS LÄN</t>
        </is>
      </c>
      <c r="E223" t="inlineStr">
        <is>
          <t>KINDA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1760-2024</t>
        </is>
      </c>
      <c r="B224" s="1" t="n">
        <v>45307.48108796297</v>
      </c>
      <c r="C224" s="1" t="n">
        <v>45890</v>
      </c>
      <c r="D224" t="inlineStr">
        <is>
          <t>ÖSTERGÖTLANDS LÄN</t>
        </is>
      </c>
      <c r="E224" t="inlineStr">
        <is>
          <t>KINDA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3988-2025</t>
        </is>
      </c>
      <c r="B225" s="1" t="n">
        <v>45684.55570601852</v>
      </c>
      <c r="C225" s="1" t="n">
        <v>45890</v>
      </c>
      <c r="D225" t="inlineStr">
        <is>
          <t>ÖSTERGÖTLANDS LÄN</t>
        </is>
      </c>
      <c r="E225" t="inlineStr">
        <is>
          <t>KINDA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53306-2024</t>
        </is>
      </c>
      <c r="B226" s="1" t="n">
        <v>45614.39091435185</v>
      </c>
      <c r="C226" s="1" t="n">
        <v>45890</v>
      </c>
      <c r="D226" t="inlineStr">
        <is>
          <t>ÖSTERGÖTLANDS LÄN</t>
        </is>
      </c>
      <c r="E226" t="inlineStr">
        <is>
          <t>KINDA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46704-2024</t>
        </is>
      </c>
      <c r="B227" s="1" t="n">
        <v>45583.44207175926</v>
      </c>
      <c r="C227" s="1" t="n">
        <v>45890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3953-2025</t>
        </is>
      </c>
      <c r="B228" s="1" t="n">
        <v>45684.49472222223</v>
      </c>
      <c r="C228" s="1" t="n">
        <v>45890</v>
      </c>
      <c r="D228" t="inlineStr">
        <is>
          <t>ÖSTERGÖTLANDS LÄN</t>
        </is>
      </c>
      <c r="E228" t="inlineStr">
        <is>
          <t>KINDA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61987-2023</t>
        </is>
      </c>
      <c r="B229" s="1" t="n">
        <v>45266.61387731481</v>
      </c>
      <c r="C229" s="1" t="n">
        <v>45890</v>
      </c>
      <c r="D229" t="inlineStr">
        <is>
          <t>ÖSTERGÖTLANDS LÄN</t>
        </is>
      </c>
      <c r="E229" t="inlineStr">
        <is>
          <t>KINDA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38827-2021</t>
        </is>
      </c>
      <c r="B230" s="1" t="n">
        <v>44411</v>
      </c>
      <c r="C230" s="1" t="n">
        <v>45890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61955-2022</t>
        </is>
      </c>
      <c r="B231" s="1" t="n">
        <v>44918.3396875</v>
      </c>
      <c r="C231" s="1" t="n">
        <v>45890</v>
      </c>
      <c r="D231" t="inlineStr">
        <is>
          <t>ÖSTERGÖTLANDS LÄN</t>
        </is>
      </c>
      <c r="E231" t="inlineStr">
        <is>
          <t>KINDA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61960-2022</t>
        </is>
      </c>
      <c r="B232" s="1" t="n">
        <v>44918.34784722222</v>
      </c>
      <c r="C232" s="1" t="n">
        <v>45890</v>
      </c>
      <c r="D232" t="inlineStr">
        <is>
          <t>ÖSTERGÖTLANDS LÄN</t>
        </is>
      </c>
      <c r="E232" t="inlineStr">
        <is>
          <t>KINDA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61961-2022</t>
        </is>
      </c>
      <c r="B233" s="1" t="n">
        <v>44918</v>
      </c>
      <c r="C233" s="1" t="n">
        <v>45890</v>
      </c>
      <c r="D233" t="inlineStr">
        <is>
          <t>ÖSTERGÖTLANDS LÄN</t>
        </is>
      </c>
      <c r="E233" t="inlineStr">
        <is>
          <t>KINDA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43432-2023</t>
        </is>
      </c>
      <c r="B234" s="1" t="n">
        <v>45184.40974537037</v>
      </c>
      <c r="C234" s="1" t="n">
        <v>45890</v>
      </c>
      <c r="D234" t="inlineStr">
        <is>
          <t>ÖSTERGÖTLANDS LÄN</t>
        </is>
      </c>
      <c r="E234" t="inlineStr">
        <is>
          <t>KINDA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44303-2023</t>
        </is>
      </c>
      <c r="B235" s="1" t="n">
        <v>45188.64319444444</v>
      </c>
      <c r="C235" s="1" t="n">
        <v>45890</v>
      </c>
      <c r="D235" t="inlineStr">
        <is>
          <t>ÖSTERGÖTLANDS LÄN</t>
        </is>
      </c>
      <c r="E235" t="inlineStr">
        <is>
          <t>KINDA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12016-2021</t>
        </is>
      </c>
      <c r="B236" s="1" t="n">
        <v>44266.44692129629</v>
      </c>
      <c r="C236" s="1" t="n">
        <v>45890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3907-2023</t>
        </is>
      </c>
      <c r="B237" s="1" t="n">
        <v>44952.00760416667</v>
      </c>
      <c r="C237" s="1" t="n">
        <v>45890</v>
      </c>
      <c r="D237" t="inlineStr">
        <is>
          <t>ÖSTERGÖTLANDS LÄN</t>
        </is>
      </c>
      <c r="E237" t="inlineStr">
        <is>
          <t>KINDA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8413-2025</t>
        </is>
      </c>
      <c r="B238" s="1" t="n">
        <v>45709.39325231482</v>
      </c>
      <c r="C238" s="1" t="n">
        <v>45890</v>
      </c>
      <c r="D238" t="inlineStr">
        <is>
          <t>ÖSTERGÖTLANDS LÄN</t>
        </is>
      </c>
      <c r="E238" t="inlineStr">
        <is>
          <t>KINDA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57457-2021</t>
        </is>
      </c>
      <c r="B239" s="1" t="n">
        <v>44483.65719907408</v>
      </c>
      <c r="C239" s="1" t="n">
        <v>45890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8233-2023</t>
        </is>
      </c>
      <c r="B240" s="1" t="n">
        <v>44974.57886574074</v>
      </c>
      <c r="C240" s="1" t="n">
        <v>45890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34135-2021</t>
        </is>
      </c>
      <c r="B241" s="1" t="n">
        <v>44379</v>
      </c>
      <c r="C241" s="1" t="n">
        <v>45890</v>
      </c>
      <c r="D241" t="inlineStr">
        <is>
          <t>ÖSTERGÖTLANDS LÄN</t>
        </is>
      </c>
      <c r="E241" t="inlineStr">
        <is>
          <t>KINDA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53239-2024</t>
        </is>
      </c>
      <c r="B242" s="1" t="n">
        <v>45613.8235300926</v>
      </c>
      <c r="C242" s="1" t="n">
        <v>45890</v>
      </c>
      <c r="D242" t="inlineStr">
        <is>
          <t>ÖSTERGÖTLANDS LÄN</t>
        </is>
      </c>
      <c r="E242" t="inlineStr">
        <is>
          <t>KINDA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13845-2025</t>
        </is>
      </c>
      <c r="B243" s="1" t="n">
        <v>45737.5596875</v>
      </c>
      <c r="C243" s="1" t="n">
        <v>45890</v>
      </c>
      <c r="D243" t="inlineStr">
        <is>
          <t>ÖSTERGÖTLANDS LÄN</t>
        </is>
      </c>
      <c r="E243" t="inlineStr">
        <is>
          <t>KINDA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34882-2023</t>
        </is>
      </c>
      <c r="B244" s="1" t="n">
        <v>45141</v>
      </c>
      <c r="C244" s="1" t="n">
        <v>45890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54484-2022</t>
        </is>
      </c>
      <c r="B245" s="1" t="n">
        <v>44882</v>
      </c>
      <c r="C245" s="1" t="n">
        <v>45890</v>
      </c>
      <c r="D245" t="inlineStr">
        <is>
          <t>ÖSTERGÖTLANDS LÄN</t>
        </is>
      </c>
      <c r="E245" t="inlineStr">
        <is>
          <t>KINDA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12622-2024</t>
        </is>
      </c>
      <c r="B246" s="1" t="n">
        <v>45383</v>
      </c>
      <c r="C246" s="1" t="n">
        <v>45890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20914-2021</t>
        </is>
      </c>
      <c r="B247" s="1" t="n">
        <v>44319</v>
      </c>
      <c r="C247" s="1" t="n">
        <v>45890</v>
      </c>
      <c r="D247" t="inlineStr">
        <is>
          <t>ÖSTERGÖTLANDS LÄN</t>
        </is>
      </c>
      <c r="E247" t="inlineStr">
        <is>
          <t>KINDA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15568-2023</t>
        </is>
      </c>
      <c r="B248" s="1" t="n">
        <v>45020.61570601852</v>
      </c>
      <c r="C248" s="1" t="n">
        <v>45890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650-2023</t>
        </is>
      </c>
      <c r="B249" s="1" t="n">
        <v>44930.64962962963</v>
      </c>
      <c r="C249" s="1" t="n">
        <v>45890</v>
      </c>
      <c r="D249" t="inlineStr">
        <is>
          <t>ÖSTERGÖTLANDS LÄN</t>
        </is>
      </c>
      <c r="E249" t="inlineStr">
        <is>
          <t>KINDA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41718-2023</t>
        </is>
      </c>
      <c r="B250" s="1" t="n">
        <v>45176.39657407408</v>
      </c>
      <c r="C250" s="1" t="n">
        <v>45890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31831-2023</t>
        </is>
      </c>
      <c r="B251" s="1" t="n">
        <v>45118.5630787037</v>
      </c>
      <c r="C251" s="1" t="n">
        <v>45890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38130-2023</t>
        </is>
      </c>
      <c r="B252" s="1" t="n">
        <v>45161</v>
      </c>
      <c r="C252" s="1" t="n">
        <v>45890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38132-2023</t>
        </is>
      </c>
      <c r="B253" s="1" t="n">
        <v>45161.36759259259</v>
      </c>
      <c r="C253" s="1" t="n">
        <v>45890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38133-2023</t>
        </is>
      </c>
      <c r="B254" s="1" t="n">
        <v>45161.36928240741</v>
      </c>
      <c r="C254" s="1" t="n">
        <v>45890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20829-2022</t>
        </is>
      </c>
      <c r="B255" s="1" t="n">
        <v>44701</v>
      </c>
      <c r="C255" s="1" t="n">
        <v>45890</v>
      </c>
      <c r="D255" t="inlineStr">
        <is>
          <t>ÖSTERGÖTLANDS LÄN</t>
        </is>
      </c>
      <c r="E255" t="inlineStr">
        <is>
          <t>KINDA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13064-2024</t>
        </is>
      </c>
      <c r="B256" s="1" t="n">
        <v>45385</v>
      </c>
      <c r="C256" s="1" t="n">
        <v>45890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27841-2024</t>
        </is>
      </c>
      <c r="B257" s="1" t="n">
        <v>45475.62894675926</v>
      </c>
      <c r="C257" s="1" t="n">
        <v>45890</v>
      </c>
      <c r="D257" t="inlineStr">
        <is>
          <t>ÖSTERGÖTLANDS LÄN</t>
        </is>
      </c>
      <c r="E257" t="inlineStr">
        <is>
          <t>KINDA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35789-2022</t>
        </is>
      </c>
      <c r="B258" s="1" t="n">
        <v>44801</v>
      </c>
      <c r="C258" s="1" t="n">
        <v>45890</v>
      </c>
      <c r="D258" t="inlineStr">
        <is>
          <t>ÖSTERGÖTLANDS LÄN</t>
        </is>
      </c>
      <c r="E258" t="inlineStr">
        <is>
          <t>KINDA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32781-2021</t>
        </is>
      </c>
      <c r="B259" s="1" t="n">
        <v>44375</v>
      </c>
      <c r="C259" s="1" t="n">
        <v>45890</v>
      </c>
      <c r="D259" t="inlineStr">
        <is>
          <t>ÖSTERGÖTLANDS LÄN</t>
        </is>
      </c>
      <c r="E259" t="inlineStr">
        <is>
          <t>KINDA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HYPERLINK("https://klasma.github.io/Logging_0513/knärot/A 32781-2021 karta knärot.png", "A 32781-2021")</f>
        <v/>
      </c>
      <c r="V259">
        <f>HYPERLINK("https://klasma.github.io/Logging_0513/klagomål/A 32781-2021 FSC-klagomål.docx", "A 32781-2021")</f>
        <v/>
      </c>
      <c r="W259">
        <f>HYPERLINK("https://klasma.github.io/Logging_0513/klagomålsmail/A 32781-2021 FSC-klagomål mail.docx", "A 32781-2021")</f>
        <v/>
      </c>
      <c r="X259">
        <f>HYPERLINK("https://klasma.github.io/Logging_0513/tillsyn/A 32781-2021 tillsynsbegäran.docx", "A 32781-2021")</f>
        <v/>
      </c>
      <c r="Y259">
        <f>HYPERLINK("https://klasma.github.io/Logging_0513/tillsynsmail/A 32781-2021 tillsynsbegäran mail.docx", "A 32781-2021")</f>
        <v/>
      </c>
    </row>
    <row r="260" ht="15" customHeight="1">
      <c r="A260" t="inlineStr">
        <is>
          <t>A 35947-2023</t>
        </is>
      </c>
      <c r="B260" s="1" t="n">
        <v>45148.70342592592</v>
      </c>
      <c r="C260" s="1" t="n">
        <v>45890</v>
      </c>
      <c r="D260" t="inlineStr">
        <is>
          <t>ÖSTERGÖTLANDS LÄN</t>
        </is>
      </c>
      <c r="E260" t="inlineStr">
        <is>
          <t>KINDA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9465-2022</t>
        </is>
      </c>
      <c r="B261" s="1" t="n">
        <v>44616.78555555556</v>
      </c>
      <c r="C261" s="1" t="n">
        <v>45890</v>
      </c>
      <c r="D261" t="inlineStr">
        <is>
          <t>ÖSTERGÖTLANDS LÄN</t>
        </is>
      </c>
      <c r="E261" t="inlineStr">
        <is>
          <t>KINDA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51047-2022</t>
        </is>
      </c>
      <c r="B262" s="1" t="n">
        <v>44868</v>
      </c>
      <c r="C262" s="1" t="n">
        <v>45890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767-2025</t>
        </is>
      </c>
      <c r="B263" s="1" t="n">
        <v>45665.45471064815</v>
      </c>
      <c r="C263" s="1" t="n">
        <v>45890</v>
      </c>
      <c r="D263" t="inlineStr">
        <is>
          <t>ÖSTERGÖTLANDS LÄN</t>
        </is>
      </c>
      <c r="E263" t="inlineStr">
        <is>
          <t>KINDA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34627-2023</t>
        </is>
      </c>
      <c r="B264" s="1" t="n">
        <v>45139</v>
      </c>
      <c r="C264" s="1" t="n">
        <v>45890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54671-2023</t>
        </is>
      </c>
      <c r="B265" s="1" t="n">
        <v>45235</v>
      </c>
      <c r="C265" s="1" t="n">
        <v>45890</v>
      </c>
      <c r="D265" t="inlineStr">
        <is>
          <t>ÖSTERGÖTLANDS LÄN</t>
        </is>
      </c>
      <c r="E265" t="inlineStr">
        <is>
          <t>KINDA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10035-2025</t>
        </is>
      </c>
      <c r="B266" s="1" t="n">
        <v>45719.49922453704</v>
      </c>
      <c r="C266" s="1" t="n">
        <v>45890</v>
      </c>
      <c r="D266" t="inlineStr">
        <is>
          <t>ÖSTERGÖTLANDS LÄN</t>
        </is>
      </c>
      <c r="E266" t="inlineStr">
        <is>
          <t>KINDA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HYPERLINK("https://klasma.github.io/Logging_0513/knärot/A 10035-2025 karta knärot.png", "A 10035-2025")</f>
        <v/>
      </c>
      <c r="V266">
        <f>HYPERLINK("https://klasma.github.io/Logging_0513/klagomål/A 10035-2025 FSC-klagomål.docx", "A 10035-2025")</f>
        <v/>
      </c>
      <c r="W266">
        <f>HYPERLINK("https://klasma.github.io/Logging_0513/klagomålsmail/A 10035-2025 FSC-klagomål mail.docx", "A 10035-2025")</f>
        <v/>
      </c>
      <c r="X266">
        <f>HYPERLINK("https://klasma.github.io/Logging_0513/tillsyn/A 10035-2025 tillsynsbegäran.docx", "A 10035-2025")</f>
        <v/>
      </c>
      <c r="Y266">
        <f>HYPERLINK("https://klasma.github.io/Logging_0513/tillsynsmail/A 10035-2025 tillsynsbegäran mail.docx", "A 10035-2025")</f>
        <v/>
      </c>
    </row>
    <row r="267" ht="15" customHeight="1">
      <c r="A267" t="inlineStr">
        <is>
          <t>A 3908-2023</t>
        </is>
      </c>
      <c r="B267" s="1" t="n">
        <v>44952</v>
      </c>
      <c r="C267" s="1" t="n">
        <v>45890</v>
      </c>
      <c r="D267" t="inlineStr">
        <is>
          <t>ÖSTERGÖTLANDS LÄN</t>
        </is>
      </c>
      <c r="E267" t="inlineStr">
        <is>
          <t>KINDA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23717-2021</t>
        </is>
      </c>
      <c r="B268" s="1" t="n">
        <v>44334.71728009259</v>
      </c>
      <c r="C268" s="1" t="n">
        <v>45890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937-2024</t>
        </is>
      </c>
      <c r="B269" s="1" t="n">
        <v>45301</v>
      </c>
      <c r="C269" s="1" t="n">
        <v>45890</v>
      </c>
      <c r="D269" t="inlineStr">
        <is>
          <t>ÖSTERGÖTLANDS LÄN</t>
        </is>
      </c>
      <c r="E269" t="inlineStr">
        <is>
          <t>KINDA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2967-2024</t>
        </is>
      </c>
      <c r="B270" s="1" t="n">
        <v>45315.66689814815</v>
      </c>
      <c r="C270" s="1" t="n">
        <v>45890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15159-2022</t>
        </is>
      </c>
      <c r="B271" s="1" t="n">
        <v>44658.49030092593</v>
      </c>
      <c r="C271" s="1" t="n">
        <v>45890</v>
      </c>
      <c r="D271" t="inlineStr">
        <is>
          <t>ÖSTERGÖTLANDS LÄN</t>
        </is>
      </c>
      <c r="E271" t="inlineStr">
        <is>
          <t>KINDA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11881-2025</t>
        </is>
      </c>
      <c r="B272" s="1" t="n">
        <v>45728.44758101852</v>
      </c>
      <c r="C272" s="1" t="n">
        <v>45890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21795-2024</t>
        </is>
      </c>
      <c r="B273" s="1" t="n">
        <v>45442.6459837963</v>
      </c>
      <c r="C273" s="1" t="n">
        <v>45890</v>
      </c>
      <c r="D273" t="inlineStr">
        <is>
          <t>ÖSTERGÖTLANDS LÄN</t>
        </is>
      </c>
      <c r="E273" t="inlineStr">
        <is>
          <t>KINDA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54131-2020</t>
        </is>
      </c>
      <c r="B274" s="1" t="n">
        <v>44125</v>
      </c>
      <c r="C274" s="1" t="n">
        <v>45890</v>
      </c>
      <c r="D274" t="inlineStr">
        <is>
          <t>ÖSTERGÖTLANDS LÄN</t>
        </is>
      </c>
      <c r="E274" t="inlineStr">
        <is>
          <t>KINDA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33997-2023</t>
        </is>
      </c>
      <c r="B275" s="1" t="n">
        <v>45134</v>
      </c>
      <c r="C275" s="1" t="n">
        <v>45890</v>
      </c>
      <c r="D275" t="inlineStr">
        <is>
          <t>ÖSTERGÖTLANDS LÄN</t>
        </is>
      </c>
      <c r="E275" t="inlineStr">
        <is>
          <t>KINDA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8228-2025</t>
        </is>
      </c>
      <c r="B276" s="1" t="n">
        <v>45708.46913194445</v>
      </c>
      <c r="C276" s="1" t="n">
        <v>45890</v>
      </c>
      <c r="D276" t="inlineStr">
        <is>
          <t>ÖSTERGÖTLANDS LÄN</t>
        </is>
      </c>
      <c r="E276" t="inlineStr">
        <is>
          <t>KINDA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8229-2025</t>
        </is>
      </c>
      <c r="B277" s="1" t="n">
        <v>45708.46960648148</v>
      </c>
      <c r="C277" s="1" t="n">
        <v>45890</v>
      </c>
      <c r="D277" t="inlineStr">
        <is>
          <t>ÖSTERGÖTLANDS LÄN</t>
        </is>
      </c>
      <c r="E277" t="inlineStr">
        <is>
          <t>KINDA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27648-2023</t>
        </is>
      </c>
      <c r="B278" s="1" t="n">
        <v>45097.68376157407</v>
      </c>
      <c r="C278" s="1" t="n">
        <v>45890</v>
      </c>
      <c r="D278" t="inlineStr">
        <is>
          <t>ÖSTERGÖTLANDS LÄN</t>
        </is>
      </c>
      <c r="E278" t="inlineStr">
        <is>
          <t>KINDA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27809-2024</t>
        </is>
      </c>
      <c r="B279" s="1" t="n">
        <v>45475</v>
      </c>
      <c r="C279" s="1" t="n">
        <v>45890</v>
      </c>
      <c r="D279" t="inlineStr">
        <is>
          <t>ÖSTERGÖTLANDS LÄN</t>
        </is>
      </c>
      <c r="E279" t="inlineStr">
        <is>
          <t>KINDA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915-2024</t>
        </is>
      </c>
      <c r="B280" s="1" t="n">
        <v>45301.47129629629</v>
      </c>
      <c r="C280" s="1" t="n">
        <v>45890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8064-2024</t>
        </is>
      </c>
      <c r="B281" s="1" t="n">
        <v>45351.40523148148</v>
      </c>
      <c r="C281" s="1" t="n">
        <v>45890</v>
      </c>
      <c r="D281" t="inlineStr">
        <is>
          <t>ÖSTERGÖTLANDS LÄN</t>
        </is>
      </c>
      <c r="E281" t="inlineStr">
        <is>
          <t>KINDA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59573-2022</t>
        </is>
      </c>
      <c r="B282" s="1" t="n">
        <v>44907</v>
      </c>
      <c r="C282" s="1" t="n">
        <v>45890</v>
      </c>
      <c r="D282" t="inlineStr">
        <is>
          <t>ÖSTERGÖTLANDS LÄN</t>
        </is>
      </c>
      <c r="E282" t="inlineStr">
        <is>
          <t>KINDA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58738-2024</t>
        </is>
      </c>
      <c r="B283" s="1" t="n">
        <v>45635.6921875</v>
      </c>
      <c r="C283" s="1" t="n">
        <v>45890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HYPERLINK("https://klasma.github.io/Logging_0513/knärot/A 58738-2024 karta knärot.png", "A 58738-2024")</f>
        <v/>
      </c>
      <c r="V283">
        <f>HYPERLINK("https://klasma.github.io/Logging_0513/klagomål/A 58738-2024 FSC-klagomål.docx", "A 58738-2024")</f>
        <v/>
      </c>
      <c r="W283">
        <f>HYPERLINK("https://klasma.github.io/Logging_0513/klagomålsmail/A 58738-2024 FSC-klagomål mail.docx", "A 58738-2024")</f>
        <v/>
      </c>
      <c r="X283">
        <f>HYPERLINK("https://klasma.github.io/Logging_0513/tillsyn/A 58738-2024 tillsynsbegäran.docx", "A 58738-2024")</f>
        <v/>
      </c>
      <c r="Y283">
        <f>HYPERLINK("https://klasma.github.io/Logging_0513/tillsynsmail/A 58738-2024 tillsynsbegäran mail.docx", "A 58738-2024")</f>
        <v/>
      </c>
    </row>
    <row r="284" ht="15" customHeight="1">
      <c r="A284" t="inlineStr">
        <is>
          <t>A 57449-2021</t>
        </is>
      </c>
      <c r="B284" s="1" t="n">
        <v>44483</v>
      </c>
      <c r="C284" s="1" t="n">
        <v>45890</v>
      </c>
      <c r="D284" t="inlineStr">
        <is>
          <t>ÖSTERGÖTLANDS LÄN</t>
        </is>
      </c>
      <c r="E284" t="inlineStr">
        <is>
          <t>KINDA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61544-2024</t>
        </is>
      </c>
      <c r="B285" s="1" t="n">
        <v>45646.5981712963</v>
      </c>
      <c r="C285" s="1" t="n">
        <v>45890</v>
      </c>
      <c r="D285" t="inlineStr">
        <is>
          <t>ÖSTERGÖTLANDS LÄN</t>
        </is>
      </c>
      <c r="E285" t="inlineStr">
        <is>
          <t>KINDA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28316-2023</t>
        </is>
      </c>
      <c r="B286" s="1" t="n">
        <v>45098</v>
      </c>
      <c r="C286" s="1" t="n">
        <v>45890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22694-2023</t>
        </is>
      </c>
      <c r="B287" s="1" t="n">
        <v>45071</v>
      </c>
      <c r="C287" s="1" t="n">
        <v>45890</v>
      </c>
      <c r="D287" t="inlineStr">
        <is>
          <t>ÖSTERGÖTLANDS LÄN</t>
        </is>
      </c>
      <c r="E287" t="inlineStr">
        <is>
          <t>KINDA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4001-2025</t>
        </is>
      </c>
      <c r="B288" s="1" t="n">
        <v>45684.57195601852</v>
      </c>
      <c r="C288" s="1" t="n">
        <v>45890</v>
      </c>
      <c r="D288" t="inlineStr">
        <is>
          <t>ÖSTERGÖTLANDS LÄN</t>
        </is>
      </c>
      <c r="E288" t="inlineStr">
        <is>
          <t>KINDA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6411-2025</t>
        </is>
      </c>
      <c r="B289" s="1" t="n">
        <v>45699.45978009259</v>
      </c>
      <c r="C289" s="1" t="n">
        <v>45890</v>
      </c>
      <c r="D289" t="inlineStr">
        <is>
          <t>ÖSTERGÖTLANDS LÄN</t>
        </is>
      </c>
      <c r="E289" t="inlineStr">
        <is>
          <t>KINDA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42956-2023</t>
        </is>
      </c>
      <c r="B290" s="1" t="n">
        <v>45182</v>
      </c>
      <c r="C290" s="1" t="n">
        <v>45890</v>
      </c>
      <c r="D290" t="inlineStr">
        <is>
          <t>ÖSTERGÖTLANDS LÄN</t>
        </is>
      </c>
      <c r="E290" t="inlineStr">
        <is>
          <t>KINDA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58737-2024</t>
        </is>
      </c>
      <c r="B291" s="1" t="n">
        <v>45635.68952546296</v>
      </c>
      <c r="C291" s="1" t="n">
        <v>45890</v>
      </c>
      <c r="D291" t="inlineStr">
        <is>
          <t>ÖSTERGÖTLANDS LÄN</t>
        </is>
      </c>
      <c r="E291" t="inlineStr">
        <is>
          <t>KINDA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20997-2025</t>
        </is>
      </c>
      <c r="B292" s="1" t="n">
        <v>45777.48113425926</v>
      </c>
      <c r="C292" s="1" t="n">
        <v>45890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21049-2025</t>
        </is>
      </c>
      <c r="B293" s="1" t="n">
        <v>45777.55960648148</v>
      </c>
      <c r="C293" s="1" t="n">
        <v>45890</v>
      </c>
      <c r="D293" t="inlineStr">
        <is>
          <t>ÖSTERGÖTLANDS LÄN</t>
        </is>
      </c>
      <c r="E293" t="inlineStr">
        <is>
          <t>KINDA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18182-2025</t>
        </is>
      </c>
      <c r="B294" s="1" t="n">
        <v>45761</v>
      </c>
      <c r="C294" s="1" t="n">
        <v>45890</v>
      </c>
      <c r="D294" t="inlineStr">
        <is>
          <t>ÖSTERGÖTLANDS LÄN</t>
        </is>
      </c>
      <c r="E294" t="inlineStr">
        <is>
          <t>KINDA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20677-2025</t>
        </is>
      </c>
      <c r="B295" s="1" t="n">
        <v>45776.44575231482</v>
      </c>
      <c r="C295" s="1" t="n">
        <v>45890</v>
      </c>
      <c r="D295" t="inlineStr">
        <is>
          <t>ÖSTERGÖTLANDS LÄN</t>
        </is>
      </c>
      <c r="E295" t="inlineStr">
        <is>
          <t>KINDA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20711-2025</t>
        </is>
      </c>
      <c r="B296" s="1" t="n">
        <v>45776.48627314815</v>
      </c>
      <c r="C296" s="1" t="n">
        <v>45890</v>
      </c>
      <c r="D296" t="inlineStr">
        <is>
          <t>ÖSTERGÖTLANDS LÄN</t>
        </is>
      </c>
      <c r="E296" t="inlineStr">
        <is>
          <t>KINDA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38015-2023</t>
        </is>
      </c>
      <c r="B297" s="1" t="n">
        <v>45160</v>
      </c>
      <c r="C297" s="1" t="n">
        <v>45890</v>
      </c>
      <c r="D297" t="inlineStr">
        <is>
          <t>ÖSTERGÖTLANDS LÄN</t>
        </is>
      </c>
      <c r="E297" t="inlineStr">
        <is>
          <t>KINDA</t>
        </is>
      </c>
      <c r="F297" t="inlineStr">
        <is>
          <t>Allmännings- och besparingsskogar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20989-2025</t>
        </is>
      </c>
      <c r="B298" s="1" t="n">
        <v>45777.47508101852</v>
      </c>
      <c r="C298" s="1" t="n">
        <v>45890</v>
      </c>
      <c r="D298" t="inlineStr">
        <is>
          <t>ÖSTERGÖTLANDS LÄN</t>
        </is>
      </c>
      <c r="E298" t="inlineStr">
        <is>
          <t>KINDA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20701-2025</t>
        </is>
      </c>
      <c r="B299" s="1" t="n">
        <v>45776.47818287037</v>
      </c>
      <c r="C299" s="1" t="n">
        <v>45890</v>
      </c>
      <c r="D299" t="inlineStr">
        <is>
          <t>ÖSTERGÖTLANDS LÄN</t>
        </is>
      </c>
      <c r="E299" t="inlineStr">
        <is>
          <t>KINDA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36005-2024</t>
        </is>
      </c>
      <c r="B300" s="1" t="n">
        <v>45533.54908564815</v>
      </c>
      <c r="C300" s="1" t="n">
        <v>45890</v>
      </c>
      <c r="D300" t="inlineStr">
        <is>
          <t>ÖSTERGÖTLANDS LÄN</t>
        </is>
      </c>
      <c r="E300" t="inlineStr">
        <is>
          <t>KINDA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45119-2023</t>
        </is>
      </c>
      <c r="B301" s="1" t="n">
        <v>45187</v>
      </c>
      <c r="C301" s="1" t="n">
        <v>45890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54246-2020</t>
        </is>
      </c>
      <c r="B302" s="1" t="n">
        <v>44124</v>
      </c>
      <c r="C302" s="1" t="n">
        <v>45890</v>
      </c>
      <c r="D302" t="inlineStr">
        <is>
          <t>ÖSTERGÖTLANDS LÄN</t>
        </is>
      </c>
      <c r="E302" t="inlineStr">
        <is>
          <t>KINDA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49443-2021</t>
        </is>
      </c>
      <c r="B303" s="1" t="n">
        <v>44454.66972222222</v>
      </c>
      <c r="C303" s="1" t="n">
        <v>45890</v>
      </c>
      <c r="D303" t="inlineStr">
        <is>
          <t>ÖSTERGÖTLANDS LÄN</t>
        </is>
      </c>
      <c r="E303" t="inlineStr">
        <is>
          <t>KINDA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20350-2025</t>
        </is>
      </c>
      <c r="B304" s="1" t="n">
        <v>45775</v>
      </c>
      <c r="C304" s="1" t="n">
        <v>45890</v>
      </c>
      <c r="D304" t="inlineStr">
        <is>
          <t>ÖSTERGÖTLANDS LÄN</t>
        </is>
      </c>
      <c r="E304" t="inlineStr">
        <is>
          <t>KINDA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23886-2023</t>
        </is>
      </c>
      <c r="B305" s="1" t="n">
        <v>45078.5274537037</v>
      </c>
      <c r="C305" s="1" t="n">
        <v>45890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21700-2023</t>
        </is>
      </c>
      <c r="B306" s="1" t="n">
        <v>45062</v>
      </c>
      <c r="C306" s="1" t="n">
        <v>45890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22029-2025</t>
        </is>
      </c>
      <c r="B307" s="1" t="n">
        <v>45785.24804398148</v>
      </c>
      <c r="C307" s="1" t="n">
        <v>45890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52230-2020</t>
        </is>
      </c>
      <c r="B308" s="1" t="n">
        <v>44112</v>
      </c>
      <c r="C308" s="1" t="n">
        <v>45890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22044-2025</t>
        </is>
      </c>
      <c r="B309" s="1" t="n">
        <v>45785.34126157407</v>
      </c>
      <c r="C309" s="1" t="n">
        <v>45890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2966-2024</t>
        </is>
      </c>
      <c r="B310" s="1" t="n">
        <v>45315.66575231482</v>
      </c>
      <c r="C310" s="1" t="n">
        <v>45890</v>
      </c>
      <c r="D310" t="inlineStr">
        <is>
          <t>ÖSTERGÖTLANDS LÄN</t>
        </is>
      </c>
      <c r="E310" t="inlineStr">
        <is>
          <t>KINDA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56140-2024</t>
        </is>
      </c>
      <c r="B311" s="1" t="n">
        <v>45624</v>
      </c>
      <c r="C311" s="1" t="n">
        <v>45890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16585-2021</t>
        </is>
      </c>
      <c r="B312" s="1" t="n">
        <v>44294.33396990741</v>
      </c>
      <c r="C312" s="1" t="n">
        <v>45890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22002-2025</t>
        </is>
      </c>
      <c r="B313" s="1" t="n">
        <v>45784.70443287037</v>
      </c>
      <c r="C313" s="1" t="n">
        <v>45890</v>
      </c>
      <c r="D313" t="inlineStr">
        <is>
          <t>ÖSTERGÖTLANDS LÄN</t>
        </is>
      </c>
      <c r="E313" t="inlineStr">
        <is>
          <t>KINDA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21948-2025</t>
        </is>
      </c>
      <c r="B314" s="1" t="n">
        <v>45784.59287037037</v>
      </c>
      <c r="C314" s="1" t="n">
        <v>45890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17071-2025</t>
        </is>
      </c>
      <c r="B315" s="1" t="n">
        <v>45755.61784722222</v>
      </c>
      <c r="C315" s="1" t="n">
        <v>45890</v>
      </c>
      <c r="D315" t="inlineStr">
        <is>
          <t>ÖSTERGÖTLANDS LÄN</t>
        </is>
      </c>
      <c r="E315" t="inlineStr">
        <is>
          <t>KINDA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39242-2024</t>
        </is>
      </c>
      <c r="B316" s="1" t="n">
        <v>45551.28467592593</v>
      </c>
      <c r="C316" s="1" t="n">
        <v>45890</v>
      </c>
      <c r="D316" t="inlineStr">
        <is>
          <t>ÖSTERGÖTLANDS LÄN</t>
        </is>
      </c>
      <c r="E316" t="inlineStr">
        <is>
          <t>KINDA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46908-2022</t>
        </is>
      </c>
      <c r="B317" s="1" t="n">
        <v>44851</v>
      </c>
      <c r="C317" s="1" t="n">
        <v>45890</v>
      </c>
      <c r="D317" t="inlineStr">
        <is>
          <t>ÖSTERGÖTLANDS LÄN</t>
        </is>
      </c>
      <c r="E317" t="inlineStr">
        <is>
          <t>KINDA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35218-2023</t>
        </is>
      </c>
      <c r="B318" s="1" t="n">
        <v>45145.64796296296</v>
      </c>
      <c r="C318" s="1" t="n">
        <v>45890</v>
      </c>
      <c r="D318" t="inlineStr">
        <is>
          <t>ÖSTERGÖTLANDS LÄN</t>
        </is>
      </c>
      <c r="E318" t="inlineStr">
        <is>
          <t>KINDA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17047-2025</t>
        </is>
      </c>
      <c r="B319" s="1" t="n">
        <v>45755.59559027778</v>
      </c>
      <c r="C319" s="1" t="n">
        <v>45890</v>
      </c>
      <c r="D319" t="inlineStr">
        <is>
          <t>ÖSTERGÖTLANDS LÄN</t>
        </is>
      </c>
      <c r="E319" t="inlineStr">
        <is>
          <t>KINDA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58289-2024</t>
        </is>
      </c>
      <c r="B320" s="1" t="n">
        <v>45632.59153935185</v>
      </c>
      <c r="C320" s="1" t="n">
        <v>45890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8409-2025</t>
        </is>
      </c>
      <c r="B321" s="1" t="n">
        <v>45709.38978009259</v>
      </c>
      <c r="C321" s="1" t="n">
        <v>45890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HYPERLINK("https://klasma.github.io/Logging_0513/knärot/A 8409-2025 karta knärot.png", "A 8409-2025")</f>
        <v/>
      </c>
      <c r="V321">
        <f>HYPERLINK("https://klasma.github.io/Logging_0513/klagomål/A 8409-2025 FSC-klagomål.docx", "A 8409-2025")</f>
        <v/>
      </c>
      <c r="W321">
        <f>HYPERLINK("https://klasma.github.io/Logging_0513/klagomålsmail/A 8409-2025 FSC-klagomål mail.docx", "A 8409-2025")</f>
        <v/>
      </c>
      <c r="X321">
        <f>HYPERLINK("https://klasma.github.io/Logging_0513/tillsyn/A 8409-2025 tillsynsbegäran.docx", "A 8409-2025")</f>
        <v/>
      </c>
      <c r="Y321">
        <f>HYPERLINK("https://klasma.github.io/Logging_0513/tillsynsmail/A 8409-2025 tillsynsbegäran mail.docx", "A 8409-2025")</f>
        <v/>
      </c>
    </row>
    <row r="322" ht="15" customHeight="1">
      <c r="A322" t="inlineStr">
        <is>
          <t>A 52863-2023</t>
        </is>
      </c>
      <c r="B322" s="1" t="n">
        <v>45219</v>
      </c>
      <c r="C322" s="1" t="n">
        <v>45890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22804-2025</t>
        </is>
      </c>
      <c r="B323" s="1" t="n">
        <v>45789.67196759259</v>
      </c>
      <c r="C323" s="1" t="n">
        <v>45890</v>
      </c>
      <c r="D323" t="inlineStr">
        <is>
          <t>ÖSTERGÖTLANDS LÄN</t>
        </is>
      </c>
      <c r="E323" t="inlineStr">
        <is>
          <t>KINDA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53439-2020</t>
        </is>
      </c>
      <c r="B324" s="1" t="n">
        <v>44120</v>
      </c>
      <c r="C324" s="1" t="n">
        <v>45890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46228-2024</t>
        </is>
      </c>
      <c r="B325" s="1" t="n">
        <v>45581.57662037037</v>
      </c>
      <c r="C325" s="1" t="n">
        <v>45890</v>
      </c>
      <c r="D325" t="inlineStr">
        <is>
          <t>ÖSTERGÖTLANDS LÄN</t>
        </is>
      </c>
      <c r="E325" t="inlineStr">
        <is>
          <t>KINDA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22806-2025</t>
        </is>
      </c>
      <c r="B326" s="1" t="n">
        <v>45789.67461805556</v>
      </c>
      <c r="C326" s="1" t="n">
        <v>45890</v>
      </c>
      <c r="D326" t="inlineStr">
        <is>
          <t>ÖSTERGÖTLANDS LÄN</t>
        </is>
      </c>
      <c r="E326" t="inlineStr">
        <is>
          <t>KINDA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38019-2024</t>
        </is>
      </c>
      <c r="B327" s="1" t="n">
        <v>45544.6372337963</v>
      </c>
      <c r="C327" s="1" t="n">
        <v>45890</v>
      </c>
      <c r="D327" t="inlineStr">
        <is>
          <t>ÖSTERGÖTLANDS LÄN</t>
        </is>
      </c>
      <c r="E327" t="inlineStr">
        <is>
          <t>KINDA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HYPERLINK("https://klasma.github.io/Logging_0513/knärot/A 38019-2024 karta knärot.png", "A 38019-2024")</f>
        <v/>
      </c>
      <c r="V327">
        <f>HYPERLINK("https://klasma.github.io/Logging_0513/klagomål/A 38019-2024 FSC-klagomål.docx", "A 38019-2024")</f>
        <v/>
      </c>
      <c r="W327">
        <f>HYPERLINK("https://klasma.github.io/Logging_0513/klagomålsmail/A 38019-2024 FSC-klagomål mail.docx", "A 38019-2024")</f>
        <v/>
      </c>
      <c r="X327">
        <f>HYPERLINK("https://klasma.github.io/Logging_0513/tillsyn/A 38019-2024 tillsynsbegäran.docx", "A 38019-2024")</f>
        <v/>
      </c>
      <c r="Y327">
        <f>HYPERLINK("https://klasma.github.io/Logging_0513/tillsynsmail/A 38019-2024 tillsynsbegäran mail.docx", "A 38019-2024")</f>
        <v/>
      </c>
    </row>
    <row r="328" ht="15" customHeight="1">
      <c r="A328" t="inlineStr">
        <is>
          <t>A 46925-2023</t>
        </is>
      </c>
      <c r="B328" s="1" t="n">
        <v>45201.40716435185</v>
      </c>
      <c r="C328" s="1" t="n">
        <v>45890</v>
      </c>
      <c r="D328" t="inlineStr">
        <is>
          <t>ÖSTERGÖTLANDS LÄN</t>
        </is>
      </c>
      <c r="E328" t="inlineStr">
        <is>
          <t>KINDA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10621-2023</t>
        </is>
      </c>
      <c r="B329" s="1" t="n">
        <v>44988</v>
      </c>
      <c r="C329" s="1" t="n">
        <v>45890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21293-2021</t>
        </is>
      </c>
      <c r="B330" s="1" t="n">
        <v>44320.65725694445</v>
      </c>
      <c r="C330" s="1" t="n">
        <v>45890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19645-2025</t>
        </is>
      </c>
      <c r="B331" s="1" t="n">
        <v>45770.65983796296</v>
      </c>
      <c r="C331" s="1" t="n">
        <v>45890</v>
      </c>
      <c r="D331" t="inlineStr">
        <is>
          <t>ÖSTERGÖTLANDS LÄN</t>
        </is>
      </c>
      <c r="E331" t="inlineStr">
        <is>
          <t>KINDA</t>
        </is>
      </c>
      <c r="F331" t="inlineStr">
        <is>
          <t>Allmännings- och besparingsskogar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9615-2024</t>
        </is>
      </c>
      <c r="B332" s="1" t="n">
        <v>45361.75074074074</v>
      </c>
      <c r="C332" s="1" t="n">
        <v>45890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2952-2024</t>
        </is>
      </c>
      <c r="B333" s="1" t="n">
        <v>45315</v>
      </c>
      <c r="C333" s="1" t="n">
        <v>45890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22443-2025</t>
        </is>
      </c>
      <c r="B334" s="1" t="n">
        <v>45786</v>
      </c>
      <c r="C334" s="1" t="n">
        <v>45890</v>
      </c>
      <c r="D334" t="inlineStr">
        <is>
          <t>ÖSTERGÖTLANDS LÄN</t>
        </is>
      </c>
      <c r="E334" t="inlineStr">
        <is>
          <t>KINDA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22448-2025</t>
        </is>
      </c>
      <c r="B335" s="1" t="n">
        <v>45786</v>
      </c>
      <c r="C335" s="1" t="n">
        <v>45890</v>
      </c>
      <c r="D335" t="inlineStr">
        <is>
          <t>ÖSTERGÖTLANDS LÄN</t>
        </is>
      </c>
      <c r="E335" t="inlineStr">
        <is>
          <t>KINDA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22473-2025</t>
        </is>
      </c>
      <c r="B336" s="1" t="n">
        <v>45786.62056712963</v>
      </c>
      <c r="C336" s="1" t="n">
        <v>45890</v>
      </c>
      <c r="D336" t="inlineStr">
        <is>
          <t>ÖSTERGÖTLANDS LÄN</t>
        </is>
      </c>
      <c r="E336" t="inlineStr">
        <is>
          <t>KINDA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17046-2025</t>
        </is>
      </c>
      <c r="B337" s="1" t="n">
        <v>45755.59457175926</v>
      </c>
      <c r="C337" s="1" t="n">
        <v>45890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34661-2024</t>
        </is>
      </c>
      <c r="B338" s="1" t="n">
        <v>45526</v>
      </c>
      <c r="C338" s="1" t="n">
        <v>45890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43857-2023</t>
        </is>
      </c>
      <c r="B339" s="1" t="n">
        <v>45187.61545138889</v>
      </c>
      <c r="C339" s="1" t="n">
        <v>45890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24454-2023</t>
        </is>
      </c>
      <c r="B340" s="1" t="n">
        <v>45082.55885416667</v>
      </c>
      <c r="C340" s="1" t="n">
        <v>45890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43069-2024</t>
        </is>
      </c>
      <c r="B341" s="1" t="n">
        <v>45567.47780092592</v>
      </c>
      <c r="C341" s="1" t="n">
        <v>45890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45890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4433-2024</t>
        </is>
      </c>
      <c r="B343" s="1" t="n">
        <v>45327.4684375</v>
      </c>
      <c r="C343" s="1" t="n">
        <v>45890</v>
      </c>
      <c r="D343" t="inlineStr">
        <is>
          <t>ÖSTERGÖTLANDS LÄN</t>
        </is>
      </c>
      <c r="E343" t="inlineStr">
        <is>
          <t>KINDA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20325-2025</t>
        </is>
      </c>
      <c r="B344" s="1" t="n">
        <v>45775</v>
      </c>
      <c r="C344" s="1" t="n">
        <v>45890</v>
      </c>
      <c r="D344" t="inlineStr">
        <is>
          <t>ÖSTERGÖTLANDS LÄN</t>
        </is>
      </c>
      <c r="E344" t="inlineStr">
        <is>
          <t>KINDA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36824-2022</t>
        </is>
      </c>
      <c r="B345" s="1" t="n">
        <v>44805.55975694444</v>
      </c>
      <c r="C345" s="1" t="n">
        <v>45890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36126-2023</t>
        </is>
      </c>
      <c r="B346" s="1" t="n">
        <v>45149.57319444444</v>
      </c>
      <c r="C346" s="1" t="n">
        <v>45890</v>
      </c>
      <c r="D346" t="inlineStr">
        <is>
          <t>ÖSTERGÖTLANDS LÄN</t>
        </is>
      </c>
      <c r="E346" t="inlineStr">
        <is>
          <t>KINDA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6301-2025</t>
        </is>
      </c>
      <c r="B347" s="1" t="n">
        <v>45698.67719907407</v>
      </c>
      <c r="C347" s="1" t="n">
        <v>45890</v>
      </c>
      <c r="D347" t="inlineStr">
        <is>
          <t>ÖSTERGÖTLANDS LÄN</t>
        </is>
      </c>
      <c r="E347" t="inlineStr">
        <is>
          <t>KINDA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61946-2022</t>
        </is>
      </c>
      <c r="B348" s="1" t="n">
        <v>44918.32740740741</v>
      </c>
      <c r="C348" s="1" t="n">
        <v>45890</v>
      </c>
      <c r="D348" t="inlineStr">
        <is>
          <t>ÖSTERGÖTLANDS LÄN</t>
        </is>
      </c>
      <c r="E348" t="inlineStr">
        <is>
          <t>KINDA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61949-2022</t>
        </is>
      </c>
      <c r="B349" s="1" t="n">
        <v>44918.33414351852</v>
      </c>
      <c r="C349" s="1" t="n">
        <v>45890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61962-2022</t>
        </is>
      </c>
      <c r="B350" s="1" t="n">
        <v>44918</v>
      </c>
      <c r="C350" s="1" t="n">
        <v>45890</v>
      </c>
      <c r="D350" t="inlineStr">
        <is>
          <t>ÖSTERGÖTLANDS LÄN</t>
        </is>
      </c>
      <c r="E350" t="inlineStr">
        <is>
          <t>KINDA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343-2025</t>
        </is>
      </c>
      <c r="B351" s="1" t="n">
        <v>45660.71824074074</v>
      </c>
      <c r="C351" s="1" t="n">
        <v>45890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51294-2022</t>
        </is>
      </c>
      <c r="B352" s="1" t="n">
        <v>44868</v>
      </c>
      <c r="C352" s="1" t="n">
        <v>45890</v>
      </c>
      <c r="D352" t="inlineStr">
        <is>
          <t>ÖSTERGÖTLANDS LÄN</t>
        </is>
      </c>
      <c r="E352" t="inlineStr">
        <is>
          <t>KINDA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8318-2025</t>
        </is>
      </c>
      <c r="B353" s="1" t="n">
        <v>45708.62505787037</v>
      </c>
      <c r="C353" s="1" t="n">
        <v>45890</v>
      </c>
      <c r="D353" t="inlineStr">
        <is>
          <t>ÖSTERGÖTLANDS LÄN</t>
        </is>
      </c>
      <c r="E353" t="inlineStr">
        <is>
          <t>KINDA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24110-2024</t>
        </is>
      </c>
      <c r="B354" s="1" t="n">
        <v>45456.61288194444</v>
      </c>
      <c r="C354" s="1" t="n">
        <v>45890</v>
      </c>
      <c r="D354" t="inlineStr">
        <is>
          <t>ÖSTERGÖTLANDS LÄN</t>
        </is>
      </c>
      <c r="E354" t="inlineStr">
        <is>
          <t>KINDA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35203-2023</t>
        </is>
      </c>
      <c r="B355" s="1" t="n">
        <v>45145</v>
      </c>
      <c r="C355" s="1" t="n">
        <v>45890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1881-2025</t>
        </is>
      </c>
      <c r="B356" s="1" t="n">
        <v>45671.62480324074</v>
      </c>
      <c r="C356" s="1" t="n">
        <v>45890</v>
      </c>
      <c r="D356" t="inlineStr">
        <is>
          <t>ÖSTERGÖTLANDS LÄN</t>
        </is>
      </c>
      <c r="E356" t="inlineStr">
        <is>
          <t>KINDA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23372-2025</t>
        </is>
      </c>
      <c r="B357" s="1" t="n">
        <v>45791</v>
      </c>
      <c r="C357" s="1" t="n">
        <v>45890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5086-2023</t>
        </is>
      </c>
      <c r="B358" s="1" t="n">
        <v>44953</v>
      </c>
      <c r="C358" s="1" t="n">
        <v>45890</v>
      </c>
      <c r="D358" t="inlineStr">
        <is>
          <t>ÖSTERGÖTLANDS LÄN</t>
        </is>
      </c>
      <c r="E358" t="inlineStr">
        <is>
          <t>KINDA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19545-2023</t>
        </is>
      </c>
      <c r="B359" s="1" t="n">
        <v>45049</v>
      </c>
      <c r="C359" s="1" t="n">
        <v>45890</v>
      </c>
      <c r="D359" t="inlineStr">
        <is>
          <t>ÖSTERGÖTLANDS LÄN</t>
        </is>
      </c>
      <c r="E359" t="inlineStr">
        <is>
          <t>KINDA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47187-2023</t>
        </is>
      </c>
      <c r="B360" s="1" t="n">
        <v>45202.26611111111</v>
      </c>
      <c r="C360" s="1" t="n">
        <v>45890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13769-2023</t>
        </is>
      </c>
      <c r="B361" s="1" t="n">
        <v>45007.45686342593</v>
      </c>
      <c r="C361" s="1" t="n">
        <v>45890</v>
      </c>
      <c r="D361" t="inlineStr">
        <is>
          <t>ÖSTERGÖTLANDS LÄN</t>
        </is>
      </c>
      <c r="E361" t="inlineStr">
        <is>
          <t>KINDA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4914-2023</t>
        </is>
      </c>
      <c r="B362" s="1" t="n">
        <v>44958.38997685185</v>
      </c>
      <c r="C362" s="1" t="n">
        <v>45890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51836-2021</t>
        </is>
      </c>
      <c r="B363" s="1" t="n">
        <v>44462</v>
      </c>
      <c r="C363" s="1" t="n">
        <v>45890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60343-2023</t>
        </is>
      </c>
      <c r="B364" s="1" t="n">
        <v>45259.31565972222</v>
      </c>
      <c r="C364" s="1" t="n">
        <v>45890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6404-2025</t>
        </is>
      </c>
      <c r="B365" s="1" t="n">
        <v>45699.45336805555</v>
      </c>
      <c r="C365" s="1" t="n">
        <v>45890</v>
      </c>
      <c r="D365" t="inlineStr">
        <is>
          <t>ÖSTERGÖTLANDS LÄN</t>
        </is>
      </c>
      <c r="E365" t="inlineStr">
        <is>
          <t>KINDA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6406-2025</t>
        </is>
      </c>
      <c r="B366" s="1" t="n">
        <v>45699.45508101852</v>
      </c>
      <c r="C366" s="1" t="n">
        <v>45890</v>
      </c>
      <c r="D366" t="inlineStr">
        <is>
          <t>ÖSTERGÖTLANDS LÄN</t>
        </is>
      </c>
      <c r="E366" t="inlineStr">
        <is>
          <t>KINDA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41657-2024</t>
        </is>
      </c>
      <c r="B367" s="1" t="n">
        <v>45560.64243055556</v>
      </c>
      <c r="C367" s="1" t="n">
        <v>45890</v>
      </c>
      <c r="D367" t="inlineStr">
        <is>
          <t>ÖSTERGÖTLANDS LÄN</t>
        </is>
      </c>
      <c r="E367" t="inlineStr">
        <is>
          <t>KINDA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23437-2025</t>
        </is>
      </c>
      <c r="B368" s="1" t="n">
        <v>45792.37238425926</v>
      </c>
      <c r="C368" s="1" t="n">
        <v>45890</v>
      </c>
      <c r="D368" t="inlineStr">
        <is>
          <t>ÖSTERGÖTLANDS LÄN</t>
        </is>
      </c>
      <c r="E368" t="inlineStr">
        <is>
          <t>KINDA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24023-2024</t>
        </is>
      </c>
      <c r="B369" s="1" t="n">
        <v>45456.44684027778</v>
      </c>
      <c r="C369" s="1" t="n">
        <v>45890</v>
      </c>
      <c r="D369" t="inlineStr">
        <is>
          <t>ÖSTERGÖTLANDS LÄN</t>
        </is>
      </c>
      <c r="E369" t="inlineStr">
        <is>
          <t>KINDA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1161-2021</t>
        </is>
      </c>
      <c r="B370" s="1" t="n">
        <v>44207</v>
      </c>
      <c r="C370" s="1" t="n">
        <v>45890</v>
      </c>
      <c r="D370" t="inlineStr">
        <is>
          <t>ÖSTERGÖTLANDS LÄN</t>
        </is>
      </c>
      <c r="E370" t="inlineStr">
        <is>
          <t>KINDA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14244-2024</t>
        </is>
      </c>
      <c r="B371" s="1" t="n">
        <v>45393</v>
      </c>
      <c r="C371" s="1" t="n">
        <v>45890</v>
      </c>
      <c r="D371" t="inlineStr">
        <is>
          <t>ÖSTERGÖTLANDS LÄN</t>
        </is>
      </c>
      <c r="E371" t="inlineStr">
        <is>
          <t>KINDA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24133-2025</t>
        </is>
      </c>
      <c r="B372" s="1" t="n">
        <v>45796.63584490741</v>
      </c>
      <c r="C372" s="1" t="n">
        <v>45890</v>
      </c>
      <c r="D372" t="inlineStr">
        <is>
          <t>ÖSTERGÖTLANDS LÄN</t>
        </is>
      </c>
      <c r="E372" t="inlineStr">
        <is>
          <t>KINDA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47724-2024</t>
        </is>
      </c>
      <c r="B373" s="1" t="n">
        <v>45588.49065972222</v>
      </c>
      <c r="C373" s="1" t="n">
        <v>45890</v>
      </c>
      <c r="D373" t="inlineStr">
        <is>
          <t>ÖSTERGÖTLANDS LÄN</t>
        </is>
      </c>
      <c r="E373" t="inlineStr">
        <is>
          <t>KINDA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25268-2023</t>
        </is>
      </c>
      <c r="B374" s="1" t="n">
        <v>45086.66693287037</v>
      </c>
      <c r="C374" s="1" t="n">
        <v>45890</v>
      </c>
      <c r="D374" t="inlineStr">
        <is>
          <t>ÖSTERGÖTLANDS LÄN</t>
        </is>
      </c>
      <c r="E374" t="inlineStr">
        <is>
          <t>KINDA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22048-2021</t>
        </is>
      </c>
      <c r="B375" s="1" t="n">
        <v>44323</v>
      </c>
      <c r="C375" s="1" t="n">
        <v>45890</v>
      </c>
      <c r="D375" t="inlineStr">
        <is>
          <t>ÖSTERGÖTLANDS LÄN</t>
        </is>
      </c>
      <c r="E375" t="inlineStr">
        <is>
          <t>KINDA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10020-2025</t>
        </is>
      </c>
      <c r="B376" s="1" t="n">
        <v>45719.48104166667</v>
      </c>
      <c r="C376" s="1" t="n">
        <v>45890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610-2022</t>
        </is>
      </c>
      <c r="B377" s="1" t="n">
        <v>44567.77518518519</v>
      </c>
      <c r="C377" s="1" t="n">
        <v>45890</v>
      </c>
      <c r="D377" t="inlineStr">
        <is>
          <t>ÖSTERGÖTLANDS LÄN</t>
        </is>
      </c>
      <c r="E377" t="inlineStr">
        <is>
          <t>KINDA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5649-2023</t>
        </is>
      </c>
      <c r="B378" s="1" t="n">
        <v>44960</v>
      </c>
      <c r="C378" s="1" t="n">
        <v>45890</v>
      </c>
      <c r="D378" t="inlineStr">
        <is>
          <t>ÖSTERGÖTLANDS LÄN</t>
        </is>
      </c>
      <c r="E378" t="inlineStr">
        <is>
          <t>KINDA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60597-2023</t>
        </is>
      </c>
      <c r="B379" s="1" t="n">
        <v>45260</v>
      </c>
      <c r="C379" s="1" t="n">
        <v>45890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74202-2021</t>
        </is>
      </c>
      <c r="B380" s="1" t="n">
        <v>44558.51175925926</v>
      </c>
      <c r="C380" s="1" t="n">
        <v>45890</v>
      </c>
      <c r="D380" t="inlineStr">
        <is>
          <t>ÖSTERGÖTLANDS LÄN</t>
        </is>
      </c>
      <c r="E380" t="inlineStr">
        <is>
          <t>KINDA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24075-2025</t>
        </is>
      </c>
      <c r="B381" s="1" t="n">
        <v>45796.54888888889</v>
      </c>
      <c r="C381" s="1" t="n">
        <v>45890</v>
      </c>
      <c r="D381" t="inlineStr">
        <is>
          <t>ÖSTERGÖTLANDS LÄN</t>
        </is>
      </c>
      <c r="E381" t="inlineStr">
        <is>
          <t>KINDA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52861-2023</t>
        </is>
      </c>
      <c r="B382" s="1" t="n">
        <v>45219</v>
      </c>
      <c r="C382" s="1" t="n">
        <v>45890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24130-2025</t>
        </is>
      </c>
      <c r="B383" s="1" t="n">
        <v>45796.63424768519</v>
      </c>
      <c r="C383" s="1" t="n">
        <v>45890</v>
      </c>
      <c r="D383" t="inlineStr">
        <is>
          <t>ÖSTERGÖTLANDS LÄN</t>
        </is>
      </c>
      <c r="E383" t="inlineStr">
        <is>
          <t>KINDA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7645-2024</t>
        </is>
      </c>
      <c r="B384" s="1" t="n">
        <v>45348.65997685185</v>
      </c>
      <c r="C384" s="1" t="n">
        <v>45890</v>
      </c>
      <c r="D384" t="inlineStr">
        <is>
          <t>ÖSTERGÖTLANDS LÄN</t>
        </is>
      </c>
      <c r="E384" t="inlineStr">
        <is>
          <t>KINDA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24128-2025</t>
        </is>
      </c>
      <c r="B385" s="1" t="n">
        <v>45796.63180555555</v>
      </c>
      <c r="C385" s="1" t="n">
        <v>45890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12568-2025</t>
        </is>
      </c>
      <c r="B386" s="1" t="n">
        <v>45731.65049768519</v>
      </c>
      <c r="C386" s="1" t="n">
        <v>45890</v>
      </c>
      <c r="D386" t="inlineStr">
        <is>
          <t>ÖSTERGÖTLANDS LÄN</t>
        </is>
      </c>
      <c r="E386" t="inlineStr">
        <is>
          <t>KINDA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1503-2023</t>
        </is>
      </c>
      <c r="B387" s="1" t="n">
        <v>44935</v>
      </c>
      <c r="C387" s="1" t="n">
        <v>45890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54507-2022</t>
        </is>
      </c>
      <c r="B388" s="1" t="n">
        <v>44882</v>
      </c>
      <c r="C388" s="1" t="n">
        <v>45890</v>
      </c>
      <c r="D388" t="inlineStr">
        <is>
          <t>ÖSTERGÖTLANDS LÄN</t>
        </is>
      </c>
      <c r="E388" t="inlineStr">
        <is>
          <t>KINDA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25626-2022</t>
        </is>
      </c>
      <c r="B389" s="1" t="n">
        <v>44732</v>
      </c>
      <c r="C389" s="1" t="n">
        <v>45890</v>
      </c>
      <c r="D389" t="inlineStr">
        <is>
          <t>ÖSTERGÖTLANDS LÄN</t>
        </is>
      </c>
      <c r="E389" t="inlineStr">
        <is>
          <t>KINDA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62647-2020</t>
        </is>
      </c>
      <c r="B390" s="1" t="n">
        <v>44161</v>
      </c>
      <c r="C390" s="1" t="n">
        <v>45890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15110-2022</t>
        </is>
      </c>
      <c r="B391" s="1" t="n">
        <v>44657</v>
      </c>
      <c r="C391" s="1" t="n">
        <v>45890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24446-2025</t>
        </is>
      </c>
      <c r="B392" s="1" t="n">
        <v>45798.33460648148</v>
      </c>
      <c r="C392" s="1" t="n">
        <v>45890</v>
      </c>
      <c r="D392" t="inlineStr">
        <is>
          <t>ÖSTERGÖTLANDS LÄN</t>
        </is>
      </c>
      <c r="E392" t="inlineStr">
        <is>
          <t>KINDA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24448-2025</t>
        </is>
      </c>
      <c r="B393" s="1" t="n">
        <v>45798.33824074074</v>
      </c>
      <c r="C393" s="1" t="n">
        <v>45890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6104-2022</t>
        </is>
      </c>
      <c r="B394" s="1" t="n">
        <v>44599</v>
      </c>
      <c r="C394" s="1" t="n">
        <v>45890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58286-2020</t>
        </is>
      </c>
      <c r="B395" s="1" t="n">
        <v>44144</v>
      </c>
      <c r="C395" s="1" t="n">
        <v>45890</v>
      </c>
      <c r="D395" t="inlineStr">
        <is>
          <t>ÖSTERGÖTLANDS LÄN</t>
        </is>
      </c>
      <c r="E395" t="inlineStr">
        <is>
          <t>KINDA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2638-2024</t>
        </is>
      </c>
      <c r="B396" s="1" t="n">
        <v>45314.33872685185</v>
      </c>
      <c r="C396" s="1" t="n">
        <v>45890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45457-2024</t>
        </is>
      </c>
      <c r="B397" s="1" t="n">
        <v>45576.67208333333</v>
      </c>
      <c r="C397" s="1" t="n">
        <v>45890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17174-2022</t>
        </is>
      </c>
      <c r="B398" s="1" t="n">
        <v>44677</v>
      </c>
      <c r="C398" s="1" t="n">
        <v>45890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24774-2025</t>
        </is>
      </c>
      <c r="B399" s="1" t="n">
        <v>45799</v>
      </c>
      <c r="C399" s="1" t="n">
        <v>45890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7749-2024</t>
        </is>
      </c>
      <c r="B400" s="1" t="n">
        <v>45349.48241898148</v>
      </c>
      <c r="C400" s="1" t="n">
        <v>45890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24754-2025</t>
        </is>
      </c>
      <c r="B401" s="1" t="n">
        <v>45799.36881944445</v>
      </c>
      <c r="C401" s="1" t="n">
        <v>45890</v>
      </c>
      <c r="D401" t="inlineStr">
        <is>
          <t>ÖSTERGÖTLANDS LÄN</t>
        </is>
      </c>
      <c r="E401" t="inlineStr">
        <is>
          <t>KINDA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3978-2025</t>
        </is>
      </c>
      <c r="B402" s="1" t="n">
        <v>45684.54318287037</v>
      </c>
      <c r="C402" s="1" t="n">
        <v>45890</v>
      </c>
      <c r="D402" t="inlineStr">
        <is>
          <t>ÖSTERGÖTLANDS LÄN</t>
        </is>
      </c>
      <c r="E402" t="inlineStr">
        <is>
          <t>KINDA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3474-2023</t>
        </is>
      </c>
      <c r="B403" s="1" t="n">
        <v>44949</v>
      </c>
      <c r="C403" s="1" t="n">
        <v>45890</v>
      </c>
      <c r="D403" t="inlineStr">
        <is>
          <t>ÖSTERGÖTLANDS LÄN</t>
        </is>
      </c>
      <c r="E403" t="inlineStr">
        <is>
          <t>KINDA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56129-2024</t>
        </is>
      </c>
      <c r="B404" s="1" t="n">
        <v>45624</v>
      </c>
      <c r="C404" s="1" t="n">
        <v>45890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23613-2022</t>
        </is>
      </c>
      <c r="B405" s="1" t="n">
        <v>44721.61611111111</v>
      </c>
      <c r="C405" s="1" t="n">
        <v>45890</v>
      </c>
      <c r="D405" t="inlineStr">
        <is>
          <t>ÖSTERGÖTLANDS LÄN</t>
        </is>
      </c>
      <c r="E405" t="inlineStr">
        <is>
          <t>KINDA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41379-2024</t>
        </is>
      </c>
      <c r="B406" s="1" t="n">
        <v>45560.2703125</v>
      </c>
      <c r="C406" s="1" t="n">
        <v>45890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41231-2023</t>
        </is>
      </c>
      <c r="B407" s="1" t="n">
        <v>45174</v>
      </c>
      <c r="C407" s="1" t="n">
        <v>45890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61957-2022</t>
        </is>
      </c>
      <c r="B408" s="1" t="n">
        <v>44918.34216435185</v>
      </c>
      <c r="C408" s="1" t="n">
        <v>45890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57556-2020</t>
        </is>
      </c>
      <c r="B409" s="1" t="n">
        <v>44140</v>
      </c>
      <c r="C409" s="1" t="n">
        <v>45890</v>
      </c>
      <c r="D409" t="inlineStr">
        <is>
          <t>ÖSTERGÖTLANDS LÄN</t>
        </is>
      </c>
      <c r="E409" t="inlineStr">
        <is>
          <t>KINDA</t>
        </is>
      </c>
      <c r="G409" t="n">
        <v>27.1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4288-2023</t>
        </is>
      </c>
      <c r="B410" s="1" t="n">
        <v>44953</v>
      </c>
      <c r="C410" s="1" t="n">
        <v>45890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45450-2024</t>
        </is>
      </c>
      <c r="B411" s="1" t="n">
        <v>45576.65969907407</v>
      </c>
      <c r="C411" s="1" t="n">
        <v>45890</v>
      </c>
      <c r="D411" t="inlineStr">
        <is>
          <t>ÖSTERGÖTLANDS LÄN</t>
        </is>
      </c>
      <c r="E411" t="inlineStr">
        <is>
          <t>KINDA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7631-2024</t>
        </is>
      </c>
      <c r="B412" s="1" t="n">
        <v>45348.6147337963</v>
      </c>
      <c r="C412" s="1" t="n">
        <v>45890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9182-2024</t>
        </is>
      </c>
      <c r="B413" s="1" t="n">
        <v>45358.44520833333</v>
      </c>
      <c r="C413" s="1" t="n">
        <v>45890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8092-2024</t>
        </is>
      </c>
      <c r="B414" s="1" t="n">
        <v>45351.4491550926</v>
      </c>
      <c r="C414" s="1" t="n">
        <v>45890</v>
      </c>
      <c r="D414" t="inlineStr">
        <is>
          <t>ÖSTERGÖTLANDS LÄN</t>
        </is>
      </c>
      <c r="E414" t="inlineStr">
        <is>
          <t>KINDA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1885-2022</t>
        </is>
      </c>
      <c r="B415" s="1" t="n">
        <v>44575</v>
      </c>
      <c r="C415" s="1" t="n">
        <v>45890</v>
      </c>
      <c r="D415" t="inlineStr">
        <is>
          <t>ÖSTERGÖTLANDS LÄN</t>
        </is>
      </c>
      <c r="E415" t="inlineStr">
        <is>
          <t>KINDA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44329-2023</t>
        </is>
      </c>
      <c r="B416" s="1" t="n">
        <v>45188.66209490741</v>
      </c>
      <c r="C416" s="1" t="n">
        <v>45890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1896-2024</t>
        </is>
      </c>
      <c r="B417" s="1" t="n">
        <v>45308.33431712963</v>
      </c>
      <c r="C417" s="1" t="n">
        <v>45890</v>
      </c>
      <c r="D417" t="inlineStr">
        <is>
          <t>ÖSTERGÖTLANDS LÄN</t>
        </is>
      </c>
      <c r="E417" t="inlineStr">
        <is>
          <t>KINDA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49798-2024</t>
        </is>
      </c>
      <c r="B418" s="1" t="n">
        <v>45597.37384259259</v>
      </c>
      <c r="C418" s="1" t="n">
        <v>45890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32285-2023</t>
        </is>
      </c>
      <c r="B419" s="1" t="n">
        <v>45120</v>
      </c>
      <c r="C419" s="1" t="n">
        <v>45890</v>
      </c>
      <c r="D419" t="inlineStr">
        <is>
          <t>ÖSTERGÖTLANDS LÄN</t>
        </is>
      </c>
      <c r="E419" t="inlineStr">
        <is>
          <t>KINDA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49524-2020</t>
        </is>
      </c>
      <c r="B420" s="1" t="n">
        <v>44105</v>
      </c>
      <c r="C420" s="1" t="n">
        <v>45890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26567-2025</t>
        </is>
      </c>
      <c r="B421" s="1" t="n">
        <v>45807.66878472222</v>
      </c>
      <c r="C421" s="1" t="n">
        <v>45890</v>
      </c>
      <c r="D421" t="inlineStr">
        <is>
          <t>ÖSTERGÖTLANDS LÄN</t>
        </is>
      </c>
      <c r="E421" t="inlineStr">
        <is>
          <t>KINDA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17480-2025</t>
        </is>
      </c>
      <c r="B422" s="1" t="n">
        <v>45757.48918981481</v>
      </c>
      <c r="C422" s="1" t="n">
        <v>45890</v>
      </c>
      <c r="D422" t="inlineStr">
        <is>
          <t>ÖSTERGÖTLANDS LÄN</t>
        </is>
      </c>
      <c r="E422" t="inlineStr">
        <is>
          <t>KINDA</t>
        </is>
      </c>
      <c r="F422" t="inlineStr">
        <is>
          <t>Allmännings- och besparingsskogar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10823-2024</t>
        </is>
      </c>
      <c r="B423" s="1" t="n">
        <v>45369.67408564815</v>
      </c>
      <c r="C423" s="1" t="n">
        <v>45890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22813-2024</t>
        </is>
      </c>
      <c r="B424" s="1" t="n">
        <v>45448.52539351852</v>
      </c>
      <c r="C424" s="1" t="n">
        <v>45890</v>
      </c>
      <c r="D424" t="inlineStr">
        <is>
          <t>ÖSTERGÖTLANDS LÄN</t>
        </is>
      </c>
      <c r="E424" t="inlineStr">
        <is>
          <t>KINDA</t>
        </is>
      </c>
      <c r="F424" t="inlineStr">
        <is>
          <t>Allmännings- och besparingsskogar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62491-2023</t>
        </is>
      </c>
      <c r="B425" s="1" t="n">
        <v>45267</v>
      </c>
      <c r="C425" s="1" t="n">
        <v>45890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57455-2021</t>
        </is>
      </c>
      <c r="B426" s="1" t="n">
        <v>44483.65453703704</v>
      </c>
      <c r="C426" s="1" t="n">
        <v>45890</v>
      </c>
      <c r="D426" t="inlineStr">
        <is>
          <t>ÖSTERGÖTLANDS LÄN</t>
        </is>
      </c>
      <c r="E426" t="inlineStr">
        <is>
          <t>KINDA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21244-2023</t>
        </is>
      </c>
      <c r="B427" s="1" t="n">
        <v>45062.57160879629</v>
      </c>
      <c r="C427" s="1" t="n">
        <v>45890</v>
      </c>
      <c r="D427" t="inlineStr">
        <is>
          <t>ÖSTERGÖTLANDS LÄN</t>
        </is>
      </c>
      <c r="E427" t="inlineStr">
        <is>
          <t>KINDA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9576-2024</t>
        </is>
      </c>
      <c r="B428" s="1" t="n">
        <v>45360.41204861111</v>
      </c>
      <c r="C428" s="1" t="n">
        <v>45890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17669-2025</t>
        </is>
      </c>
      <c r="B429" s="1" t="n">
        <v>45758.36638888889</v>
      </c>
      <c r="C429" s="1" t="n">
        <v>45890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50403-2024</t>
        </is>
      </c>
      <c r="B430" s="1" t="n">
        <v>45601.35335648148</v>
      </c>
      <c r="C430" s="1" t="n">
        <v>45890</v>
      </c>
      <c r="D430" t="inlineStr">
        <is>
          <t>ÖSTERGÖTLANDS LÄN</t>
        </is>
      </c>
      <c r="E430" t="inlineStr">
        <is>
          <t>KINDA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50404-2024</t>
        </is>
      </c>
      <c r="B431" s="1" t="n">
        <v>45601.3566087963</v>
      </c>
      <c r="C431" s="1" t="n">
        <v>45890</v>
      </c>
      <c r="D431" t="inlineStr">
        <is>
          <t>ÖSTERGÖTLANDS LÄN</t>
        </is>
      </c>
      <c r="E431" t="inlineStr">
        <is>
          <t>KINDA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32978-2024</t>
        </is>
      </c>
      <c r="B432" s="1" t="n">
        <v>45517.44506944445</v>
      </c>
      <c r="C432" s="1" t="n">
        <v>45890</v>
      </c>
      <c r="D432" t="inlineStr">
        <is>
          <t>ÖSTERGÖTLANDS LÄN</t>
        </is>
      </c>
      <c r="E432" t="inlineStr">
        <is>
          <t>KINDA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9573-2024</t>
        </is>
      </c>
      <c r="B433" s="1" t="n">
        <v>45360.40449074074</v>
      </c>
      <c r="C433" s="1" t="n">
        <v>45890</v>
      </c>
      <c r="D433" t="inlineStr">
        <is>
          <t>ÖSTERGÖTLANDS LÄN</t>
        </is>
      </c>
      <c r="E433" t="inlineStr">
        <is>
          <t>KINDA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9578-2024</t>
        </is>
      </c>
      <c r="B434" s="1" t="n">
        <v>45360.41894675926</v>
      </c>
      <c r="C434" s="1" t="n">
        <v>45890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35650-2022</t>
        </is>
      </c>
      <c r="B435" s="1" t="n">
        <v>44799</v>
      </c>
      <c r="C435" s="1" t="n">
        <v>45890</v>
      </c>
      <c r="D435" t="inlineStr">
        <is>
          <t>ÖSTERGÖTLANDS LÄN</t>
        </is>
      </c>
      <c r="E435" t="inlineStr">
        <is>
          <t>KINDA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35654-2022</t>
        </is>
      </c>
      <c r="B436" s="1" t="n">
        <v>44799.57753472222</v>
      </c>
      <c r="C436" s="1" t="n">
        <v>45890</v>
      </c>
      <c r="D436" t="inlineStr">
        <is>
          <t>ÖSTERGÖTLANDS LÄN</t>
        </is>
      </c>
      <c r="E436" t="inlineStr">
        <is>
          <t>KINDA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24711-2023</t>
        </is>
      </c>
      <c r="B437" s="1" t="n">
        <v>45078</v>
      </c>
      <c r="C437" s="1" t="n">
        <v>45890</v>
      </c>
      <c r="D437" t="inlineStr">
        <is>
          <t>ÖSTERGÖTLANDS LÄN</t>
        </is>
      </c>
      <c r="E437" t="inlineStr">
        <is>
          <t>KINDA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37196-2024</t>
        </is>
      </c>
      <c r="B438" s="1" t="n">
        <v>45539.66679398148</v>
      </c>
      <c r="C438" s="1" t="n">
        <v>45890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8813-2023</t>
        </is>
      </c>
      <c r="B439" s="1" t="n">
        <v>44978.63537037037</v>
      </c>
      <c r="C439" s="1" t="n">
        <v>45890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57500-2024</t>
        </is>
      </c>
      <c r="B440" s="1" t="n">
        <v>45629</v>
      </c>
      <c r="C440" s="1" t="n">
        <v>45890</v>
      </c>
      <c r="D440" t="inlineStr">
        <is>
          <t>ÖSTERGÖTLANDS LÄN</t>
        </is>
      </c>
      <c r="E440" t="inlineStr">
        <is>
          <t>KINDA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27105-2025</t>
        </is>
      </c>
      <c r="B441" s="1" t="n">
        <v>45811</v>
      </c>
      <c r="C441" s="1" t="n">
        <v>45890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62558-2020</t>
        </is>
      </c>
      <c r="B442" s="1" t="n">
        <v>44160</v>
      </c>
      <c r="C442" s="1" t="n">
        <v>45890</v>
      </c>
      <c r="D442" t="inlineStr">
        <is>
          <t>ÖSTERGÖTLANDS LÄN</t>
        </is>
      </c>
      <c r="E442" t="inlineStr">
        <is>
          <t>KINDA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27600-2025</t>
        </is>
      </c>
      <c r="B443" s="1" t="n">
        <v>45813.52677083333</v>
      </c>
      <c r="C443" s="1" t="n">
        <v>45890</v>
      </c>
      <c r="D443" t="inlineStr">
        <is>
          <t>ÖSTERGÖTLANDS LÄN</t>
        </is>
      </c>
      <c r="E443" t="inlineStr">
        <is>
          <t>KINDA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27587-2025</t>
        </is>
      </c>
      <c r="B444" s="1" t="n">
        <v>45813.50763888889</v>
      </c>
      <c r="C444" s="1" t="n">
        <v>45890</v>
      </c>
      <c r="D444" t="inlineStr">
        <is>
          <t>ÖSTERGÖTLANDS LÄN</t>
        </is>
      </c>
      <c r="E444" t="inlineStr">
        <is>
          <t>KINDA</t>
        </is>
      </c>
      <c r="F444" t="inlineStr">
        <is>
          <t>Övriga Aktiebolag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4368-2025</t>
        </is>
      </c>
      <c r="B445" s="1" t="n">
        <v>45686.34563657407</v>
      </c>
      <c r="C445" s="1" t="n">
        <v>45890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18198-2025</t>
        </is>
      </c>
      <c r="B446" s="1" t="n">
        <v>45761.68063657408</v>
      </c>
      <c r="C446" s="1" t="n">
        <v>45890</v>
      </c>
      <c r="D446" t="inlineStr">
        <is>
          <t>ÖSTERGÖTLANDS LÄN</t>
        </is>
      </c>
      <c r="E446" t="inlineStr">
        <is>
          <t>KINDA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27608-2025</t>
        </is>
      </c>
      <c r="B447" s="1" t="n">
        <v>45813.53402777778</v>
      </c>
      <c r="C447" s="1" t="n">
        <v>45890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15303-2024</t>
        </is>
      </c>
      <c r="B448" s="1" t="n">
        <v>45400</v>
      </c>
      <c r="C448" s="1" t="n">
        <v>45890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11479-2025</t>
        </is>
      </c>
      <c r="B449" s="1" t="n">
        <v>45726.6749537037</v>
      </c>
      <c r="C449" s="1" t="n">
        <v>45890</v>
      </c>
      <c r="D449" t="inlineStr">
        <is>
          <t>ÖSTERGÖTLANDS LÄN</t>
        </is>
      </c>
      <c r="E449" t="inlineStr">
        <is>
          <t>KINDA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36942-2023</t>
        </is>
      </c>
      <c r="B450" s="1" t="n">
        <v>45154.72465277778</v>
      </c>
      <c r="C450" s="1" t="n">
        <v>45890</v>
      </c>
      <c r="D450" t="inlineStr">
        <is>
          <t>ÖSTERGÖTLANDS LÄN</t>
        </is>
      </c>
      <c r="E450" t="inlineStr">
        <is>
          <t>KINDA</t>
        </is>
      </c>
      <c r="F450" t="inlineStr">
        <is>
          <t>Allmännings- och besparingsskogar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40357-2020</t>
        </is>
      </c>
      <c r="B451" s="1" t="n">
        <v>44068</v>
      </c>
      <c r="C451" s="1" t="n">
        <v>45890</v>
      </c>
      <c r="D451" t="inlineStr">
        <is>
          <t>ÖSTERGÖTLANDS LÄN</t>
        </is>
      </c>
      <c r="E451" t="inlineStr">
        <is>
          <t>KINDA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26146-2024</t>
        </is>
      </c>
      <c r="B452" s="1" t="n">
        <v>45468.49909722222</v>
      </c>
      <c r="C452" s="1" t="n">
        <v>45890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47000-2021</t>
        </is>
      </c>
      <c r="B453" s="1" t="n">
        <v>44446</v>
      </c>
      <c r="C453" s="1" t="n">
        <v>45890</v>
      </c>
      <c r="D453" t="inlineStr">
        <is>
          <t>ÖSTERGÖTLANDS LÄN</t>
        </is>
      </c>
      <c r="E453" t="inlineStr">
        <is>
          <t>KINDA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62565-2021</t>
        </is>
      </c>
      <c r="B454" s="1" t="n">
        <v>44502</v>
      </c>
      <c r="C454" s="1" t="n">
        <v>45890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57336-2023</t>
        </is>
      </c>
      <c r="B455" s="1" t="n">
        <v>45245.66636574074</v>
      </c>
      <c r="C455" s="1" t="n">
        <v>45890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13782-2023</t>
        </is>
      </c>
      <c r="B456" s="1" t="n">
        <v>45007</v>
      </c>
      <c r="C456" s="1" t="n">
        <v>45890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17671-2025</t>
        </is>
      </c>
      <c r="B457" s="1" t="n">
        <v>45758.36788194445</v>
      </c>
      <c r="C457" s="1" t="n">
        <v>45890</v>
      </c>
      <c r="D457" t="inlineStr">
        <is>
          <t>ÖSTERGÖTLANDS LÄN</t>
        </is>
      </c>
      <c r="E457" t="inlineStr">
        <is>
          <t>KINDA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17680-2025</t>
        </is>
      </c>
      <c r="B458" s="1" t="n">
        <v>45758</v>
      </c>
      <c r="C458" s="1" t="n">
        <v>45890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15302-2025</t>
        </is>
      </c>
      <c r="B459" s="1" t="n">
        <v>45746.48921296297</v>
      </c>
      <c r="C459" s="1" t="n">
        <v>45890</v>
      </c>
      <c r="D459" t="inlineStr">
        <is>
          <t>ÖSTERGÖTLANDS LÄN</t>
        </is>
      </c>
      <c r="E459" t="inlineStr">
        <is>
          <t>KINDA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27969-2025</t>
        </is>
      </c>
      <c r="B460" s="1" t="n">
        <v>45817.55887731481</v>
      </c>
      <c r="C460" s="1" t="n">
        <v>45890</v>
      </c>
      <c r="D460" t="inlineStr">
        <is>
          <t>ÖSTERGÖTLANDS LÄN</t>
        </is>
      </c>
      <c r="E460" t="inlineStr">
        <is>
          <t>KINDA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27966-2025</t>
        </is>
      </c>
      <c r="B461" s="1" t="n">
        <v>45817.55668981482</v>
      </c>
      <c r="C461" s="1" t="n">
        <v>45890</v>
      </c>
      <c r="D461" t="inlineStr">
        <is>
          <t>ÖSTERGÖTLANDS LÄN</t>
        </is>
      </c>
      <c r="E461" t="inlineStr">
        <is>
          <t>KINDA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19654-2025</t>
        </is>
      </c>
      <c r="B462" s="1" t="n">
        <v>45770.67305555556</v>
      </c>
      <c r="C462" s="1" t="n">
        <v>45890</v>
      </c>
      <c r="D462" t="inlineStr">
        <is>
          <t>ÖSTERGÖTLANDS LÄN</t>
        </is>
      </c>
      <c r="E462" t="inlineStr">
        <is>
          <t>KINDA</t>
        </is>
      </c>
      <c r="F462" t="inlineStr">
        <is>
          <t>Allmännings- och besparingsskogar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35572-2024</t>
        </is>
      </c>
      <c r="B463" s="1" t="n">
        <v>45531.64358796296</v>
      </c>
      <c r="C463" s="1" t="n">
        <v>45890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15599-2023</t>
        </is>
      </c>
      <c r="B464" s="1" t="n">
        <v>45020.71773148148</v>
      </c>
      <c r="C464" s="1" t="n">
        <v>45890</v>
      </c>
      <c r="D464" t="inlineStr">
        <is>
          <t>ÖSTERGÖTLANDS LÄN</t>
        </is>
      </c>
      <c r="E464" t="inlineStr">
        <is>
          <t>KINDA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7216-2023</t>
        </is>
      </c>
      <c r="B465" s="1" t="n">
        <v>44970.57682870371</v>
      </c>
      <c r="C465" s="1" t="n">
        <v>45890</v>
      </c>
      <c r="D465" t="inlineStr">
        <is>
          <t>ÖSTERGÖTLANDS LÄN</t>
        </is>
      </c>
      <c r="E465" t="inlineStr">
        <is>
          <t>KINDA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5706-2024</t>
        </is>
      </c>
      <c r="B466" s="1" t="n">
        <v>45334.82431712963</v>
      </c>
      <c r="C466" s="1" t="n">
        <v>45890</v>
      </c>
      <c r="D466" t="inlineStr">
        <is>
          <t>ÖSTERGÖTLANDS LÄN</t>
        </is>
      </c>
      <c r="E466" t="inlineStr">
        <is>
          <t>KINDA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62260-2023</t>
        </is>
      </c>
      <c r="B467" s="1" t="n">
        <v>45267.6274537037</v>
      </c>
      <c r="C467" s="1" t="n">
        <v>45890</v>
      </c>
      <c r="D467" t="inlineStr">
        <is>
          <t>ÖSTERGÖTLANDS LÄN</t>
        </is>
      </c>
      <c r="E467" t="inlineStr">
        <is>
          <t>KINDA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3820-2024</t>
        </is>
      </c>
      <c r="B468" s="1" t="n">
        <v>45321.70762731481</v>
      </c>
      <c r="C468" s="1" t="n">
        <v>45890</v>
      </c>
      <c r="D468" t="inlineStr">
        <is>
          <t>ÖSTERGÖTLANDS LÄN</t>
        </is>
      </c>
      <c r="E468" t="inlineStr">
        <is>
          <t>KINDA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71098-2021</t>
        </is>
      </c>
      <c r="B469" s="1" t="n">
        <v>44539.34103009259</v>
      </c>
      <c r="C469" s="1" t="n">
        <v>45890</v>
      </c>
      <c r="D469" t="inlineStr">
        <is>
          <t>ÖSTERGÖTLANDS LÄN</t>
        </is>
      </c>
      <c r="E469" t="inlineStr">
        <is>
          <t>KINDA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66100-2021</t>
        </is>
      </c>
      <c r="B470" s="1" t="n">
        <v>44517</v>
      </c>
      <c r="C470" s="1" t="n">
        <v>45890</v>
      </c>
      <c r="D470" t="inlineStr">
        <is>
          <t>ÖSTERGÖTLANDS LÄN</t>
        </is>
      </c>
      <c r="E470" t="inlineStr">
        <is>
          <t>KINDA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28256-2025</t>
        </is>
      </c>
      <c r="B471" s="1" t="n">
        <v>45818</v>
      </c>
      <c r="C471" s="1" t="n">
        <v>45890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28258-2025</t>
        </is>
      </c>
      <c r="B472" s="1" t="n">
        <v>45818</v>
      </c>
      <c r="C472" s="1" t="n">
        <v>45890</v>
      </c>
      <c r="D472" t="inlineStr">
        <is>
          <t>ÖSTERGÖTLANDS LÄN</t>
        </is>
      </c>
      <c r="E472" t="inlineStr">
        <is>
          <t>KINDA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28552-2025</t>
        </is>
      </c>
      <c r="B473" s="1" t="n">
        <v>45819.53686342593</v>
      </c>
      <c r="C473" s="1" t="n">
        <v>45890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28568-2025</t>
        </is>
      </c>
      <c r="B474" s="1" t="n">
        <v>45819.55849537037</v>
      </c>
      <c r="C474" s="1" t="n">
        <v>45890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28611-2025</t>
        </is>
      </c>
      <c r="B475" s="1" t="n">
        <v>45819.60376157407</v>
      </c>
      <c r="C475" s="1" t="n">
        <v>45890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62286-2022</t>
        </is>
      </c>
      <c r="B476" s="1" t="n">
        <v>44923.40631944445</v>
      </c>
      <c r="C476" s="1" t="n">
        <v>45890</v>
      </c>
      <c r="D476" t="inlineStr">
        <is>
          <t>ÖSTERGÖTLANDS LÄN</t>
        </is>
      </c>
      <c r="E476" t="inlineStr">
        <is>
          <t>KINDA</t>
        </is>
      </c>
      <c r="F476" t="inlineStr">
        <is>
          <t>Allmännings- och besparingsskogar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45693-2023</t>
        </is>
      </c>
      <c r="B477" s="1" t="n">
        <v>45195</v>
      </c>
      <c r="C477" s="1" t="n">
        <v>45890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28479-2025</t>
        </is>
      </c>
      <c r="B478" s="1" t="n">
        <v>45819.4475</v>
      </c>
      <c r="C478" s="1" t="n">
        <v>45890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12130-2021</t>
        </is>
      </c>
      <c r="B479" s="1" t="n">
        <v>44266</v>
      </c>
      <c r="C479" s="1" t="n">
        <v>45890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45890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9399-2023</t>
        </is>
      </c>
      <c r="B481" s="1" t="n">
        <v>44981</v>
      </c>
      <c r="C481" s="1" t="n">
        <v>45890</v>
      </c>
      <c r="D481" t="inlineStr">
        <is>
          <t>ÖSTERGÖTLANDS LÄN</t>
        </is>
      </c>
      <c r="E481" t="inlineStr">
        <is>
          <t>KINDA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35662-2022</t>
        </is>
      </c>
      <c r="B482" s="1" t="n">
        <v>44799.58758101852</v>
      </c>
      <c r="C482" s="1" t="n">
        <v>45890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28519-2025</t>
        </is>
      </c>
      <c r="B483" s="1" t="n">
        <v>45819.4893287037</v>
      </c>
      <c r="C483" s="1" t="n">
        <v>45890</v>
      </c>
      <c r="D483" t="inlineStr">
        <is>
          <t>ÖSTERGÖTLANDS LÄN</t>
        </is>
      </c>
      <c r="E483" t="inlineStr">
        <is>
          <t>KINDA</t>
        </is>
      </c>
      <c r="F483" t="inlineStr">
        <is>
          <t>Övriga Aktiebolag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39774-2023</t>
        </is>
      </c>
      <c r="B484" s="1" t="n">
        <v>45167</v>
      </c>
      <c r="C484" s="1" t="n">
        <v>45890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9577-2024</t>
        </is>
      </c>
      <c r="B485" s="1" t="n">
        <v>45360.4172337963</v>
      </c>
      <c r="C485" s="1" t="n">
        <v>45890</v>
      </c>
      <c r="D485" t="inlineStr">
        <is>
          <t>ÖSTERGÖTLANDS LÄN</t>
        </is>
      </c>
      <c r="E485" t="inlineStr">
        <is>
          <t>KINDA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29794-2024</t>
        </is>
      </c>
      <c r="B486" s="1" t="n">
        <v>45485.4796875</v>
      </c>
      <c r="C486" s="1" t="n">
        <v>45890</v>
      </c>
      <c r="D486" t="inlineStr">
        <is>
          <t>ÖSTERGÖTLANDS LÄN</t>
        </is>
      </c>
      <c r="E486" t="inlineStr">
        <is>
          <t>KINDA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29086-2025</t>
        </is>
      </c>
      <c r="B487" s="1" t="n">
        <v>45821</v>
      </c>
      <c r="C487" s="1" t="n">
        <v>45890</v>
      </c>
      <c r="D487" t="inlineStr">
        <is>
          <t>ÖSTERGÖTLANDS LÄN</t>
        </is>
      </c>
      <c r="E487" t="inlineStr">
        <is>
          <t>KINDA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36000-2025</t>
        </is>
      </c>
      <c r="B488" s="1" t="n">
        <v>45863.51805555556</v>
      </c>
      <c r="C488" s="1" t="n">
        <v>45890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46639-2023</t>
        </is>
      </c>
      <c r="B489" s="1" t="n">
        <v>45198.43638888889</v>
      </c>
      <c r="C489" s="1" t="n">
        <v>45890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12623-2024</t>
        </is>
      </c>
      <c r="B490" s="1" t="n">
        <v>45383</v>
      </c>
      <c r="C490" s="1" t="n">
        <v>45890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3486-2023</t>
        </is>
      </c>
      <c r="B491" s="1" t="n">
        <v>44949.73369212963</v>
      </c>
      <c r="C491" s="1" t="n">
        <v>45890</v>
      </c>
      <c r="D491" t="inlineStr">
        <is>
          <t>ÖSTERGÖTLANDS LÄN</t>
        </is>
      </c>
      <c r="E491" t="inlineStr">
        <is>
          <t>KINDA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29061-2025</t>
        </is>
      </c>
      <c r="B492" s="1" t="n">
        <v>45821</v>
      </c>
      <c r="C492" s="1" t="n">
        <v>45890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29092-2025</t>
        </is>
      </c>
      <c r="B493" s="1" t="n">
        <v>45821</v>
      </c>
      <c r="C493" s="1" t="n">
        <v>45890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35975-2025</t>
        </is>
      </c>
      <c r="B494" s="1" t="n">
        <v>45863.43395833333</v>
      </c>
      <c r="C494" s="1" t="n">
        <v>45890</v>
      </c>
      <c r="D494" t="inlineStr">
        <is>
          <t>ÖSTERGÖTLANDS LÄN</t>
        </is>
      </c>
      <c r="E494" t="inlineStr">
        <is>
          <t>KINDA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53239-2023</t>
        </is>
      </c>
      <c r="B495" s="1" t="n">
        <v>45229</v>
      </c>
      <c r="C495" s="1" t="n">
        <v>45890</v>
      </c>
      <c r="D495" t="inlineStr">
        <is>
          <t>ÖSTERGÖTLANDS LÄN</t>
        </is>
      </c>
      <c r="E495" t="inlineStr">
        <is>
          <t>KINDA</t>
        </is>
      </c>
      <c r="F495" t="inlineStr">
        <is>
          <t>Allmännings- och besparingsskogar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10758-2022</t>
        </is>
      </c>
      <c r="B496" s="1" t="n">
        <v>44627</v>
      </c>
      <c r="C496" s="1" t="n">
        <v>45890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6098-2023</t>
        </is>
      </c>
      <c r="B497" s="1" t="n">
        <v>44964</v>
      </c>
      <c r="C497" s="1" t="n">
        <v>45890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35982-2025</t>
        </is>
      </c>
      <c r="B498" s="1" t="n">
        <v>45863.44907407407</v>
      </c>
      <c r="C498" s="1" t="n">
        <v>45890</v>
      </c>
      <c r="D498" t="inlineStr">
        <is>
          <t>ÖSTERGÖTLANDS LÄN</t>
        </is>
      </c>
      <c r="E498" t="inlineStr">
        <is>
          <t>KINDA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24067-2022</t>
        </is>
      </c>
      <c r="B499" s="1" t="n">
        <v>44725.33693287037</v>
      </c>
      <c r="C499" s="1" t="n">
        <v>45890</v>
      </c>
      <c r="D499" t="inlineStr">
        <is>
          <t>ÖSTERGÖTLANDS LÄN</t>
        </is>
      </c>
      <c r="E499" t="inlineStr">
        <is>
          <t>KINDA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1880-2025</t>
        </is>
      </c>
      <c r="B500" s="1" t="n">
        <v>45671.62322916667</v>
      </c>
      <c r="C500" s="1" t="n">
        <v>45890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14493-2025</t>
        </is>
      </c>
      <c r="B501" s="1" t="n">
        <v>45741.61278935185</v>
      </c>
      <c r="C501" s="1" t="n">
        <v>45890</v>
      </c>
      <c r="D501" t="inlineStr">
        <is>
          <t>ÖSTERGÖTLANDS LÄN</t>
        </is>
      </c>
      <c r="E501" t="inlineStr">
        <is>
          <t>KINDA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29471-2025</t>
        </is>
      </c>
      <c r="B502" s="1" t="n">
        <v>45824</v>
      </c>
      <c r="C502" s="1" t="n">
        <v>45890</v>
      </c>
      <c r="D502" t="inlineStr">
        <is>
          <t>ÖSTERGÖTLANDS LÄN</t>
        </is>
      </c>
      <c r="E502" t="inlineStr">
        <is>
          <t>KINDA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43688-2023</t>
        </is>
      </c>
      <c r="B503" s="1" t="n">
        <v>45187</v>
      </c>
      <c r="C503" s="1" t="n">
        <v>45890</v>
      </c>
      <c r="D503" t="inlineStr">
        <is>
          <t>ÖSTERGÖTLANDS LÄN</t>
        </is>
      </c>
      <c r="E503" t="inlineStr">
        <is>
          <t>KINDA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29078-2025</t>
        </is>
      </c>
      <c r="B504" s="1" t="n">
        <v>45821</v>
      </c>
      <c r="C504" s="1" t="n">
        <v>45890</v>
      </c>
      <c r="D504" t="inlineStr">
        <is>
          <t>ÖSTERGÖTLANDS LÄN</t>
        </is>
      </c>
      <c r="E504" t="inlineStr">
        <is>
          <t>KINDA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29211-2025</t>
        </is>
      </c>
      <c r="B505" s="1" t="n">
        <v>45823.95393518519</v>
      </c>
      <c r="C505" s="1" t="n">
        <v>45890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44543-2021</t>
        </is>
      </c>
      <c r="B506" s="1" t="n">
        <v>44435</v>
      </c>
      <c r="C506" s="1" t="n">
        <v>45890</v>
      </c>
      <c r="D506" t="inlineStr">
        <is>
          <t>ÖSTERGÖTLANDS LÄN</t>
        </is>
      </c>
      <c r="E506" t="inlineStr">
        <is>
          <t>KINDA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29210-2025</t>
        </is>
      </c>
      <c r="B507" s="1" t="n">
        <v>45823.95060185185</v>
      </c>
      <c r="C507" s="1" t="n">
        <v>45890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24844-2024</t>
        </is>
      </c>
      <c r="B508" s="1" t="n">
        <v>45461.42116898148</v>
      </c>
      <c r="C508" s="1" t="n">
        <v>45890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36173-2025</t>
        </is>
      </c>
      <c r="B509" s="1" t="n">
        <v>45866</v>
      </c>
      <c r="C509" s="1" t="n">
        <v>45890</v>
      </c>
      <c r="D509" t="inlineStr">
        <is>
          <t>ÖSTERGÖTLANDS LÄN</t>
        </is>
      </c>
      <c r="E509" t="inlineStr">
        <is>
          <t>KINDA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8410-2025</t>
        </is>
      </c>
      <c r="B510" s="1" t="n">
        <v>45709.39152777778</v>
      </c>
      <c r="C510" s="1" t="n">
        <v>45890</v>
      </c>
      <c r="D510" t="inlineStr">
        <is>
          <t>ÖSTERGÖTLANDS LÄN</t>
        </is>
      </c>
      <c r="E510" t="inlineStr">
        <is>
          <t>KINDA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36172-2025</t>
        </is>
      </c>
      <c r="B511" s="1" t="n">
        <v>45866</v>
      </c>
      <c r="C511" s="1" t="n">
        <v>45890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29079-2025</t>
        </is>
      </c>
      <c r="B512" s="1" t="n">
        <v>45821</v>
      </c>
      <c r="C512" s="1" t="n">
        <v>45890</v>
      </c>
      <c r="D512" t="inlineStr">
        <is>
          <t>ÖSTERGÖTLANDS LÄN</t>
        </is>
      </c>
      <c r="E512" t="inlineStr">
        <is>
          <t>KINDA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8590-2024</t>
        </is>
      </c>
      <c r="B513" s="1" t="n">
        <v>45352</v>
      </c>
      <c r="C513" s="1" t="n">
        <v>45890</v>
      </c>
      <c r="D513" t="inlineStr">
        <is>
          <t>ÖSTERGÖTLANDS LÄN</t>
        </is>
      </c>
      <c r="E513" t="inlineStr">
        <is>
          <t>KINDA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2430-2025</t>
        </is>
      </c>
      <c r="B514" s="1" t="n">
        <v>45674.40616898148</v>
      </c>
      <c r="C514" s="1" t="n">
        <v>45890</v>
      </c>
      <c r="D514" t="inlineStr">
        <is>
          <t>ÖSTERGÖTLANDS LÄN</t>
        </is>
      </c>
      <c r="E514" t="inlineStr">
        <is>
          <t>KINDA</t>
        </is>
      </c>
      <c r="F514" t="inlineStr">
        <is>
          <t>Kommuner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21716-2024</t>
        </is>
      </c>
      <c r="B515" s="1" t="n">
        <v>45442.48741898148</v>
      </c>
      <c r="C515" s="1" t="n">
        <v>45890</v>
      </c>
      <c r="D515" t="inlineStr">
        <is>
          <t>ÖSTERGÖTLANDS LÄN</t>
        </is>
      </c>
      <c r="E515" t="inlineStr">
        <is>
          <t>KINDA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27966-2023</t>
        </is>
      </c>
      <c r="B516" s="1" t="n">
        <v>45098.70277777778</v>
      </c>
      <c r="C516" s="1" t="n">
        <v>45890</v>
      </c>
      <c r="D516" t="inlineStr">
        <is>
          <t>ÖSTERGÖTLANDS LÄN</t>
        </is>
      </c>
      <c r="E516" t="inlineStr">
        <is>
          <t>KINDA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55950-2023</t>
        </is>
      </c>
      <c r="B517" s="1" t="n">
        <v>45240.34232638889</v>
      </c>
      <c r="C517" s="1" t="n">
        <v>45890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12461-2024</t>
        </is>
      </c>
      <c r="B518" s="1" t="n">
        <v>45379</v>
      </c>
      <c r="C518" s="1" t="n">
        <v>45890</v>
      </c>
      <c r="D518" t="inlineStr">
        <is>
          <t>ÖSTERGÖTLANDS LÄN</t>
        </is>
      </c>
      <c r="E518" t="inlineStr">
        <is>
          <t>KINDA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52991-2023</t>
        </is>
      </c>
      <c r="B519" s="1" t="n">
        <v>45226.62546296296</v>
      </c>
      <c r="C519" s="1" t="n">
        <v>45890</v>
      </c>
      <c r="D519" t="inlineStr">
        <is>
          <t>ÖSTERGÖTLANDS LÄN</t>
        </is>
      </c>
      <c r="E519" t="inlineStr">
        <is>
          <t>KINDA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6404-2023</t>
        </is>
      </c>
      <c r="B520" s="1" t="n">
        <v>44965.67148148148</v>
      </c>
      <c r="C520" s="1" t="n">
        <v>45890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1157-2024</t>
        </is>
      </c>
      <c r="B521" s="1" t="n">
        <v>45302.51340277777</v>
      </c>
      <c r="C521" s="1" t="n">
        <v>45890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5665-2023</t>
        </is>
      </c>
      <c r="B522" s="1" t="n">
        <v>44960.64481481481</v>
      </c>
      <c r="C522" s="1" t="n">
        <v>45890</v>
      </c>
      <c r="D522" t="inlineStr">
        <is>
          <t>ÖSTERGÖTLANDS LÄN</t>
        </is>
      </c>
      <c r="E522" t="inlineStr">
        <is>
          <t>KINDA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44851.67681712963</v>
      </c>
      <c r="C523" s="1" t="n">
        <v>45890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61523-2021</t>
        </is>
      </c>
      <c r="B524" s="1" t="n">
        <v>44501</v>
      </c>
      <c r="C524" s="1" t="n">
        <v>45890</v>
      </c>
      <c r="D524" t="inlineStr">
        <is>
          <t>ÖSTERGÖTLANDS LÄN</t>
        </is>
      </c>
      <c r="E524" t="inlineStr">
        <is>
          <t>KINDA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19161-2025</t>
        </is>
      </c>
      <c r="B525" s="1" t="n">
        <v>45769.37105324074</v>
      </c>
      <c r="C525" s="1" t="n">
        <v>45890</v>
      </c>
      <c r="D525" t="inlineStr">
        <is>
          <t>ÖSTERGÖTLANDS LÄN</t>
        </is>
      </c>
      <c r="E525" t="inlineStr">
        <is>
          <t>KINDA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6647-2021</t>
        </is>
      </c>
      <c r="B526" s="1" t="n">
        <v>44236</v>
      </c>
      <c r="C526" s="1" t="n">
        <v>45890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6403-2025</t>
        </is>
      </c>
      <c r="B527" s="1" t="n">
        <v>45699.45127314814</v>
      </c>
      <c r="C527" s="1" t="n">
        <v>45890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6410-2025</t>
        </is>
      </c>
      <c r="B528" s="1" t="n">
        <v>45699.4584837963</v>
      </c>
      <c r="C528" s="1" t="n">
        <v>45890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8889-2025</t>
        </is>
      </c>
      <c r="B529" s="1" t="n">
        <v>45713.39555555556</v>
      </c>
      <c r="C529" s="1" t="n">
        <v>45890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30613-2025</t>
        </is>
      </c>
      <c r="B530" s="1" t="n">
        <v>45831.46635416667</v>
      </c>
      <c r="C530" s="1" t="n">
        <v>45890</v>
      </c>
      <c r="D530" t="inlineStr">
        <is>
          <t>ÖSTERGÖTLANDS LÄN</t>
        </is>
      </c>
      <c r="E530" t="inlineStr">
        <is>
          <t>KINDA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30628-2025</t>
        </is>
      </c>
      <c r="B531" s="1" t="n">
        <v>45831.47521990741</v>
      </c>
      <c r="C531" s="1" t="n">
        <v>45890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30631-2025</t>
        </is>
      </c>
      <c r="B532" s="1" t="n">
        <v>45831.47709490741</v>
      </c>
      <c r="C532" s="1" t="n">
        <v>45890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35986-2025</t>
        </is>
      </c>
      <c r="B533" s="1" t="n">
        <v>45863</v>
      </c>
      <c r="C533" s="1" t="n">
        <v>45890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29445-2024</t>
        </is>
      </c>
      <c r="B534" s="1" t="n">
        <v>45483.86824074074</v>
      </c>
      <c r="C534" s="1" t="n">
        <v>45890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49337-2024</t>
        </is>
      </c>
      <c r="B535" s="1" t="n">
        <v>45595.59052083334</v>
      </c>
      <c r="C535" s="1" t="n">
        <v>45890</v>
      </c>
      <c r="D535" t="inlineStr">
        <is>
          <t>ÖSTERGÖTLANDS LÄN</t>
        </is>
      </c>
      <c r="E535" t="inlineStr">
        <is>
          <t>KINDA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45890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4236-2024</t>
        </is>
      </c>
      <c r="B537" s="1" t="n">
        <v>45324.44579861111</v>
      </c>
      <c r="C537" s="1" t="n">
        <v>45890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30626-2025</t>
        </is>
      </c>
      <c r="B538" s="1" t="n">
        <v>45831.47392361111</v>
      </c>
      <c r="C538" s="1" t="n">
        <v>45890</v>
      </c>
      <c r="D538" t="inlineStr">
        <is>
          <t>ÖSTERGÖTLANDS LÄN</t>
        </is>
      </c>
      <c r="E538" t="inlineStr">
        <is>
          <t>KINDA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45622-2020</t>
        </is>
      </c>
      <c r="B539" s="1" t="n">
        <v>44090</v>
      </c>
      <c r="C539" s="1" t="n">
        <v>45890</v>
      </c>
      <c r="D539" t="inlineStr">
        <is>
          <t>ÖSTERGÖTLANDS LÄN</t>
        </is>
      </c>
      <c r="E539" t="inlineStr">
        <is>
          <t>KINDA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57342-2023</t>
        </is>
      </c>
      <c r="B540" s="1" t="n">
        <v>45245.67082175926</v>
      </c>
      <c r="C540" s="1" t="n">
        <v>45890</v>
      </c>
      <c r="D540" t="inlineStr">
        <is>
          <t>ÖSTERGÖTLANDS LÄN</t>
        </is>
      </c>
      <c r="E540" t="inlineStr">
        <is>
          <t>KINDA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37014-2025</t>
        </is>
      </c>
      <c r="B541" s="1" t="n">
        <v>45874</v>
      </c>
      <c r="C541" s="1" t="n">
        <v>45890</v>
      </c>
      <c r="D541" t="inlineStr">
        <is>
          <t>ÖSTERGÖTLANDS LÄN</t>
        </is>
      </c>
      <c r="E541" t="inlineStr">
        <is>
          <t>KINDA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37830-2023</t>
        </is>
      </c>
      <c r="B542" s="1" t="n">
        <v>45160.34069444444</v>
      </c>
      <c r="C542" s="1" t="n">
        <v>45890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35672-2022</t>
        </is>
      </c>
      <c r="B543" s="1" t="n">
        <v>44799.59876157407</v>
      </c>
      <c r="C543" s="1" t="n">
        <v>45890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31054-2025</t>
        </is>
      </c>
      <c r="B544" s="1" t="n">
        <v>45832.56275462963</v>
      </c>
      <c r="C544" s="1" t="n">
        <v>45890</v>
      </c>
      <c r="D544" t="inlineStr">
        <is>
          <t>ÖSTERGÖTLANDS LÄN</t>
        </is>
      </c>
      <c r="E544" t="inlineStr">
        <is>
          <t>KINDA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37069-2025</t>
        </is>
      </c>
      <c r="B545" s="1" t="n">
        <v>45875</v>
      </c>
      <c r="C545" s="1" t="n">
        <v>45890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29717-2023</t>
        </is>
      </c>
      <c r="B546" s="1" t="n">
        <v>45107.42807870371</v>
      </c>
      <c r="C546" s="1" t="n">
        <v>45890</v>
      </c>
      <c r="D546" t="inlineStr">
        <is>
          <t>ÖSTERGÖTLANDS LÄN</t>
        </is>
      </c>
      <c r="E546" t="inlineStr">
        <is>
          <t>KINDA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31147-2025</t>
        </is>
      </c>
      <c r="B547" s="1" t="n">
        <v>45832.6390625</v>
      </c>
      <c r="C547" s="1" t="n">
        <v>45890</v>
      </c>
      <c r="D547" t="inlineStr">
        <is>
          <t>ÖSTERGÖTLANDS LÄN</t>
        </is>
      </c>
      <c r="E547" t="inlineStr">
        <is>
          <t>KINDA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31048-2025</t>
        </is>
      </c>
      <c r="B548" s="1" t="n">
        <v>45832.55696759259</v>
      </c>
      <c r="C548" s="1" t="n">
        <v>45890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35104-2023</t>
        </is>
      </c>
      <c r="B549" s="1" t="n">
        <v>45145</v>
      </c>
      <c r="C549" s="1" t="n">
        <v>45890</v>
      </c>
      <c r="D549" t="inlineStr">
        <is>
          <t>ÖSTERGÖTLANDS LÄN</t>
        </is>
      </c>
      <c r="E549" t="inlineStr">
        <is>
          <t>KINDA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1739-2024</t>
        </is>
      </c>
      <c r="B550" s="1" t="n">
        <v>45307.44446759259</v>
      </c>
      <c r="C550" s="1" t="n">
        <v>45890</v>
      </c>
      <c r="D550" t="inlineStr">
        <is>
          <t>ÖSTERGÖTLANDS LÄN</t>
        </is>
      </c>
      <c r="E550" t="inlineStr">
        <is>
          <t>KINDA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31811-2025</t>
        </is>
      </c>
      <c r="B551" s="1" t="n">
        <v>45834.56487268519</v>
      </c>
      <c r="C551" s="1" t="n">
        <v>45890</v>
      </c>
      <c r="D551" t="inlineStr">
        <is>
          <t>ÖSTERGÖTLANDS LÄN</t>
        </is>
      </c>
      <c r="E551" t="inlineStr">
        <is>
          <t>KINDA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20920-2021</t>
        </is>
      </c>
      <c r="B552" s="1" t="n">
        <v>44319</v>
      </c>
      <c r="C552" s="1" t="n">
        <v>45890</v>
      </c>
      <c r="D552" t="inlineStr">
        <is>
          <t>ÖSTERGÖTLANDS LÄN</t>
        </is>
      </c>
      <c r="E552" t="inlineStr">
        <is>
          <t>KINDA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49096-2022</t>
        </is>
      </c>
      <c r="B553" s="1" t="n">
        <v>44860</v>
      </c>
      <c r="C553" s="1" t="n">
        <v>45890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2644-2025</t>
        </is>
      </c>
      <c r="B554" s="1" t="n">
        <v>45676</v>
      </c>
      <c r="C554" s="1" t="n">
        <v>45890</v>
      </c>
      <c r="D554" t="inlineStr">
        <is>
          <t>ÖSTERGÖTLANDS LÄN</t>
        </is>
      </c>
      <c r="E554" t="inlineStr">
        <is>
          <t>KINDA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29060-2025</t>
        </is>
      </c>
      <c r="B555" s="1" t="n">
        <v>45821.4841087963</v>
      </c>
      <c r="C555" s="1" t="n">
        <v>45890</v>
      </c>
      <c r="D555" t="inlineStr">
        <is>
          <t>ÖSTERGÖTLANDS LÄN</t>
        </is>
      </c>
      <c r="E555" t="inlineStr">
        <is>
          <t>KINDA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2645-2025</t>
        </is>
      </c>
      <c r="B556" s="1" t="n">
        <v>45676.49690972222</v>
      </c>
      <c r="C556" s="1" t="n">
        <v>45890</v>
      </c>
      <c r="D556" t="inlineStr">
        <is>
          <t>ÖSTERGÖTLANDS LÄN</t>
        </is>
      </c>
      <c r="E556" t="inlineStr">
        <is>
          <t>KINDA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31989-2025</t>
        </is>
      </c>
      <c r="B557" s="1" t="n">
        <v>45835.36383101852</v>
      </c>
      <c r="C557" s="1" t="n">
        <v>45890</v>
      </c>
      <c r="D557" t="inlineStr">
        <is>
          <t>ÖSTERGÖTLANDS LÄN</t>
        </is>
      </c>
      <c r="E557" t="inlineStr">
        <is>
          <t>KINDA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46757-2022</t>
        </is>
      </c>
      <c r="B558" s="1" t="n">
        <v>44851</v>
      </c>
      <c r="C558" s="1" t="n">
        <v>45890</v>
      </c>
      <c r="D558" t="inlineStr">
        <is>
          <t>ÖSTERGÖTLANDS LÄN</t>
        </is>
      </c>
      <c r="E558" t="inlineStr">
        <is>
          <t>KINDA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31980-2025</t>
        </is>
      </c>
      <c r="B559" s="1" t="n">
        <v>45835.35780092593</v>
      </c>
      <c r="C559" s="1" t="n">
        <v>45890</v>
      </c>
      <c r="D559" t="inlineStr">
        <is>
          <t>ÖSTERGÖTLANDS LÄN</t>
        </is>
      </c>
      <c r="E559" t="inlineStr">
        <is>
          <t>KINDA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13968-2023</t>
        </is>
      </c>
      <c r="B560" s="1" t="n">
        <v>45008</v>
      </c>
      <c r="C560" s="1" t="n">
        <v>45890</v>
      </c>
      <c r="D560" t="inlineStr">
        <is>
          <t>ÖSTERGÖTLANDS LÄN</t>
        </is>
      </c>
      <c r="E560" t="inlineStr">
        <is>
          <t>KINDA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37670-2025</t>
        </is>
      </c>
      <c r="B561" s="1" t="n">
        <v>45880</v>
      </c>
      <c r="C561" s="1" t="n">
        <v>45890</v>
      </c>
      <c r="D561" t="inlineStr">
        <is>
          <t>ÖSTERGÖTLANDS LÄN</t>
        </is>
      </c>
      <c r="E561" t="inlineStr">
        <is>
          <t>KINDA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35588-2024</t>
        </is>
      </c>
      <c r="B562" s="1" t="n">
        <v>45531.64934027778</v>
      </c>
      <c r="C562" s="1" t="n">
        <v>45890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32674-2025</t>
        </is>
      </c>
      <c r="B563" s="1" t="n">
        <v>45838.72785879629</v>
      </c>
      <c r="C563" s="1" t="n">
        <v>45890</v>
      </c>
      <c r="D563" t="inlineStr">
        <is>
          <t>ÖSTERGÖTLANDS LÄN</t>
        </is>
      </c>
      <c r="E563" t="inlineStr">
        <is>
          <t>KINDA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32848-2025</t>
        </is>
      </c>
      <c r="B564" s="1" t="n">
        <v>45839.57368055556</v>
      </c>
      <c r="C564" s="1" t="n">
        <v>45890</v>
      </c>
      <c r="D564" t="inlineStr">
        <is>
          <t>ÖSTERGÖTLANDS LÄN</t>
        </is>
      </c>
      <c r="E564" t="inlineStr">
        <is>
          <t>KINDA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43475-2023</t>
        </is>
      </c>
      <c r="B565" s="1" t="n">
        <v>45184.43140046296</v>
      </c>
      <c r="C565" s="1" t="n">
        <v>45890</v>
      </c>
      <c r="D565" t="inlineStr">
        <is>
          <t>ÖSTERGÖTLANDS LÄN</t>
        </is>
      </c>
      <c r="E565" t="inlineStr">
        <is>
          <t>KINDA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50406-2024</t>
        </is>
      </c>
      <c r="B566" s="1" t="n">
        <v>45601.35923611111</v>
      </c>
      <c r="C566" s="1" t="n">
        <v>45890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32809-2025</t>
        </is>
      </c>
      <c r="B567" s="1" t="n">
        <v>45839.50966435186</v>
      </c>
      <c r="C567" s="1" t="n">
        <v>45890</v>
      </c>
      <c r="D567" t="inlineStr">
        <is>
          <t>ÖSTERGÖTLANDS LÄN</t>
        </is>
      </c>
      <c r="E567" t="inlineStr">
        <is>
          <t>KINDA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54345-2022</t>
        </is>
      </c>
      <c r="B568" s="1" t="n">
        <v>44882</v>
      </c>
      <c r="C568" s="1" t="n">
        <v>45890</v>
      </c>
      <c r="D568" t="inlineStr">
        <is>
          <t>ÖSTERGÖTLANDS LÄN</t>
        </is>
      </c>
      <c r="E568" t="inlineStr">
        <is>
          <t>KINDA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13673-2024</t>
        </is>
      </c>
      <c r="B569" s="1" t="n">
        <v>45390.53634259259</v>
      </c>
      <c r="C569" s="1" t="n">
        <v>45890</v>
      </c>
      <c r="D569" t="inlineStr">
        <is>
          <t>ÖSTERGÖTLANDS LÄN</t>
        </is>
      </c>
      <c r="E569" t="inlineStr">
        <is>
          <t>KINDA</t>
        </is>
      </c>
      <c r="F569" t="inlineStr">
        <is>
          <t>Övriga Aktiebolag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12128-2021</t>
        </is>
      </c>
      <c r="B570" s="1" t="n">
        <v>44266</v>
      </c>
      <c r="C570" s="1" t="n">
        <v>45890</v>
      </c>
      <c r="D570" t="inlineStr">
        <is>
          <t>ÖSTERGÖTLANDS LÄN</t>
        </is>
      </c>
      <c r="E570" t="inlineStr">
        <is>
          <t>KINDA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12948-2023</t>
        </is>
      </c>
      <c r="B571" s="1" t="n">
        <v>45001.72512731481</v>
      </c>
      <c r="C571" s="1" t="n">
        <v>45890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44203-2021</t>
        </is>
      </c>
      <c r="B572" s="1" t="n">
        <v>44434</v>
      </c>
      <c r="C572" s="1" t="n">
        <v>45890</v>
      </c>
      <c r="D572" t="inlineStr">
        <is>
          <t>ÖSTERGÖTLANDS LÄN</t>
        </is>
      </c>
      <c r="E572" t="inlineStr">
        <is>
          <t>KINDA</t>
        </is>
      </c>
      <c r="F572" t="inlineStr">
        <is>
          <t>Allmännings- och besparingsskogar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32811-2025</t>
        </is>
      </c>
      <c r="B573" s="1" t="n">
        <v>45839.51413194444</v>
      </c>
      <c r="C573" s="1" t="n">
        <v>45890</v>
      </c>
      <c r="D573" t="inlineStr">
        <is>
          <t>ÖSTERGÖTLANDS LÄN</t>
        </is>
      </c>
      <c r="E573" t="inlineStr">
        <is>
          <t>KINDA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32861-2025</t>
        </is>
      </c>
      <c r="B574" s="1" t="n">
        <v>45839.58341435185</v>
      </c>
      <c r="C574" s="1" t="n">
        <v>45890</v>
      </c>
      <c r="D574" t="inlineStr">
        <is>
          <t>ÖSTERGÖTLANDS LÄN</t>
        </is>
      </c>
      <c r="E574" t="inlineStr">
        <is>
          <t>KINDA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9568-2023</t>
        </is>
      </c>
      <c r="B575" s="1" t="n">
        <v>44982.5037962963</v>
      </c>
      <c r="C575" s="1" t="n">
        <v>45890</v>
      </c>
      <c r="D575" t="inlineStr">
        <is>
          <t>ÖSTERGÖTLANDS LÄN</t>
        </is>
      </c>
      <c r="E575" t="inlineStr">
        <is>
          <t>KINDA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58875-2023</t>
        </is>
      </c>
      <c r="B576" s="1" t="n">
        <v>45250</v>
      </c>
      <c r="C576" s="1" t="n">
        <v>45890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12997-2024</t>
        </is>
      </c>
      <c r="B577" s="1" t="n">
        <v>45385.56655092593</v>
      </c>
      <c r="C577" s="1" t="n">
        <v>45890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59384-2020</t>
        </is>
      </c>
      <c r="B578" s="1" t="n">
        <v>44148.37969907407</v>
      </c>
      <c r="C578" s="1" t="n">
        <v>45890</v>
      </c>
      <c r="D578" t="inlineStr">
        <is>
          <t>ÖSTERGÖTLANDS LÄN</t>
        </is>
      </c>
      <c r="E578" t="inlineStr">
        <is>
          <t>KINDA</t>
        </is>
      </c>
      <c r="F578" t="inlineStr">
        <is>
          <t>Övriga Aktiebolag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1876-2025</t>
        </is>
      </c>
      <c r="B579" s="1" t="n">
        <v>45671.62127314815</v>
      </c>
      <c r="C579" s="1" t="n">
        <v>45890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48448-2021</t>
        </is>
      </c>
      <c r="B580" s="1" t="n">
        <v>44452</v>
      </c>
      <c r="C580" s="1" t="n">
        <v>45890</v>
      </c>
      <c r="D580" t="inlineStr">
        <is>
          <t>ÖSTERGÖTLANDS LÄN</t>
        </is>
      </c>
      <c r="E580" t="inlineStr">
        <is>
          <t>KINDA</t>
        </is>
      </c>
      <c r="F580" t="inlineStr">
        <is>
          <t>Övriga Aktiebolag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5371-2024</t>
        </is>
      </c>
      <c r="B581" s="1" t="n">
        <v>45331</v>
      </c>
      <c r="C581" s="1" t="n">
        <v>45890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33289-2025</t>
        </is>
      </c>
      <c r="B582" s="1" t="n">
        <v>45840.85745370371</v>
      </c>
      <c r="C582" s="1" t="n">
        <v>45890</v>
      </c>
      <c r="D582" t="inlineStr">
        <is>
          <t>ÖSTERGÖTLANDS LÄN</t>
        </is>
      </c>
      <c r="E582" t="inlineStr">
        <is>
          <t>KINDA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38136-2025</t>
        </is>
      </c>
      <c r="B583" s="1" t="n">
        <v>45882.56710648148</v>
      </c>
      <c r="C583" s="1" t="n">
        <v>45890</v>
      </c>
      <c r="D583" t="inlineStr">
        <is>
          <t>ÖSTERGÖTLANDS LÄN</t>
        </is>
      </c>
      <c r="E583" t="inlineStr">
        <is>
          <t>KINDA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32764-2023</t>
        </is>
      </c>
      <c r="B584" s="1" t="n">
        <v>45123.60599537037</v>
      </c>
      <c r="C584" s="1" t="n">
        <v>45890</v>
      </c>
      <c r="D584" t="inlineStr">
        <is>
          <t>ÖSTERGÖTLANDS LÄN</t>
        </is>
      </c>
      <c r="E584" t="inlineStr">
        <is>
          <t>KINDA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33445-2025</t>
        </is>
      </c>
      <c r="B585" s="1" t="n">
        <v>45841.4630787037</v>
      </c>
      <c r="C585" s="1" t="n">
        <v>45890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38138-2025</t>
        </is>
      </c>
      <c r="B586" s="1" t="n">
        <v>45882.57047453704</v>
      </c>
      <c r="C586" s="1" t="n">
        <v>45890</v>
      </c>
      <c r="D586" t="inlineStr">
        <is>
          <t>ÖSTERGÖTLANDS LÄN</t>
        </is>
      </c>
      <c r="E586" t="inlineStr">
        <is>
          <t>KINDA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38128-2025</t>
        </is>
      </c>
      <c r="B587" s="1" t="n">
        <v>45882.55935185185</v>
      </c>
      <c r="C587" s="1" t="n">
        <v>45890</v>
      </c>
      <c r="D587" t="inlineStr">
        <is>
          <t>ÖSTERGÖTLANDS LÄN</t>
        </is>
      </c>
      <c r="E587" t="inlineStr">
        <is>
          <t>KINDA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38142-2025</t>
        </is>
      </c>
      <c r="B588" s="1" t="n">
        <v>45882.58010416666</v>
      </c>
      <c r="C588" s="1" t="n">
        <v>45890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14943-2024</t>
        </is>
      </c>
      <c r="B589" s="1" t="n">
        <v>45398.69101851852</v>
      </c>
      <c r="C589" s="1" t="n">
        <v>45890</v>
      </c>
      <c r="D589" t="inlineStr">
        <is>
          <t>ÖSTERGÖTLANDS LÄN</t>
        </is>
      </c>
      <c r="E589" t="inlineStr">
        <is>
          <t>KINDA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33493-2025</t>
        </is>
      </c>
      <c r="B590" s="1" t="n">
        <v>45841.50858796296</v>
      </c>
      <c r="C590" s="1" t="n">
        <v>45890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34860-2024</t>
        </is>
      </c>
      <c r="B591" s="1" t="n">
        <v>45527.33670138889</v>
      </c>
      <c r="C591" s="1" t="n">
        <v>45890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34871-2024</t>
        </is>
      </c>
      <c r="B592" s="1" t="n">
        <v>45527.3469212963</v>
      </c>
      <c r="C592" s="1" t="n">
        <v>45890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20343-2025</t>
        </is>
      </c>
      <c r="B593" s="1" t="n">
        <v>45775</v>
      </c>
      <c r="C593" s="1" t="n">
        <v>45890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38134-2025</t>
        </is>
      </c>
      <c r="B594" s="1" t="n">
        <v>45882.56501157407</v>
      </c>
      <c r="C594" s="1" t="n">
        <v>45890</v>
      </c>
      <c r="D594" t="inlineStr">
        <is>
          <t>ÖSTERGÖTLANDS LÄN</t>
        </is>
      </c>
      <c r="E594" t="inlineStr">
        <is>
          <t>KINDA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11879-2025</t>
        </is>
      </c>
      <c r="B595" s="1" t="n">
        <v>45728.44561342592</v>
      </c>
      <c r="C595" s="1" t="n">
        <v>45890</v>
      </c>
      <c r="D595" t="inlineStr">
        <is>
          <t>ÖSTERGÖTLANDS LÄN</t>
        </is>
      </c>
      <c r="E595" t="inlineStr">
        <is>
          <t>KINDA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38131-2025</t>
        </is>
      </c>
      <c r="B596" s="1" t="n">
        <v>45882.56136574074</v>
      </c>
      <c r="C596" s="1" t="n">
        <v>45890</v>
      </c>
      <c r="D596" t="inlineStr">
        <is>
          <t>ÖSTERGÖTLANDS LÄN</t>
        </is>
      </c>
      <c r="E596" t="inlineStr">
        <is>
          <t>KINDA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43074-2024</t>
        </is>
      </c>
      <c r="B597" s="1" t="n">
        <v>45567.48658564815</v>
      </c>
      <c r="C597" s="1" t="n">
        <v>45890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51830-2024</t>
        </is>
      </c>
      <c r="B598" s="1" t="n">
        <v>45607.50465277778</v>
      </c>
      <c r="C598" s="1" t="n">
        <v>45890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48386-2024</t>
        </is>
      </c>
      <c r="B599" s="1" t="n">
        <v>45590.59793981481</v>
      </c>
      <c r="C599" s="1" t="n">
        <v>45890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12706-2023</t>
        </is>
      </c>
      <c r="B600" s="1" t="n">
        <v>45000.65476851852</v>
      </c>
      <c r="C600" s="1" t="n">
        <v>45890</v>
      </c>
      <c r="D600" t="inlineStr">
        <is>
          <t>ÖSTERGÖTLANDS LÄN</t>
        </is>
      </c>
      <c r="E600" t="inlineStr">
        <is>
          <t>KINDA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38250-2025</t>
        </is>
      </c>
      <c r="B601" s="1" t="n">
        <v>45883.3749537037</v>
      </c>
      <c r="C601" s="1" t="n">
        <v>45890</v>
      </c>
      <c r="D601" t="inlineStr">
        <is>
          <t>ÖSTERGÖTLANDS LÄN</t>
        </is>
      </c>
      <c r="E601" t="inlineStr">
        <is>
          <t>KINDA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38258-2025</t>
        </is>
      </c>
      <c r="B602" s="1" t="n">
        <v>45883.38797453704</v>
      </c>
      <c r="C602" s="1" t="n">
        <v>45890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38261-2025</t>
        </is>
      </c>
      <c r="B603" s="1" t="n">
        <v>45883.39684027778</v>
      </c>
      <c r="C603" s="1" t="n">
        <v>45890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24367-2023</t>
        </is>
      </c>
      <c r="B604" s="1" t="n">
        <v>45082.34861111111</v>
      </c>
      <c r="C604" s="1" t="n">
        <v>45890</v>
      </c>
      <c r="D604" t="inlineStr">
        <is>
          <t>ÖSTERGÖTLANDS LÄN</t>
        </is>
      </c>
      <c r="E604" t="inlineStr">
        <is>
          <t>KINDA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34730-2022</t>
        </is>
      </c>
      <c r="B605" s="1" t="n">
        <v>44795</v>
      </c>
      <c r="C605" s="1" t="n">
        <v>45890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33482-2025</t>
        </is>
      </c>
      <c r="B606" s="1" t="n">
        <v>45841.49861111111</v>
      </c>
      <c r="C606" s="1" t="n">
        <v>45890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34262-2025</t>
        </is>
      </c>
      <c r="B607" s="1" t="n">
        <v>45845</v>
      </c>
      <c r="C607" s="1" t="n">
        <v>45890</v>
      </c>
      <c r="D607" t="inlineStr">
        <is>
          <t>ÖSTERGÖTLANDS LÄN</t>
        </is>
      </c>
      <c r="E607" t="inlineStr">
        <is>
          <t>KINDA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24839-2024</t>
        </is>
      </c>
      <c r="B608" s="1" t="n">
        <v>45461.41216435185</v>
      </c>
      <c r="C608" s="1" t="n">
        <v>45890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56041-2024</t>
        </is>
      </c>
      <c r="B609" s="1" t="n">
        <v>45624.33611111111</v>
      </c>
      <c r="C609" s="1" t="n">
        <v>45890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37068-2024</t>
        </is>
      </c>
      <c r="B610" s="1" t="n">
        <v>45539.46399305556</v>
      </c>
      <c r="C610" s="1" t="n">
        <v>45890</v>
      </c>
      <c r="D610" t="inlineStr">
        <is>
          <t>ÖSTERGÖTLANDS LÄN</t>
        </is>
      </c>
      <c r="E610" t="inlineStr">
        <is>
          <t>KINDA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34123-2025</t>
        </is>
      </c>
      <c r="B611" s="1" t="n">
        <v>45845.52050925926</v>
      </c>
      <c r="C611" s="1" t="n">
        <v>45890</v>
      </c>
      <c r="D611" t="inlineStr">
        <is>
          <t>ÖSTERGÖTLANDS LÄN</t>
        </is>
      </c>
      <c r="E611" t="inlineStr">
        <is>
          <t>KINDA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19296-2023</t>
        </is>
      </c>
      <c r="B612" s="1" t="n">
        <v>45048</v>
      </c>
      <c r="C612" s="1" t="n">
        <v>45890</v>
      </c>
      <c r="D612" t="inlineStr">
        <is>
          <t>ÖSTERGÖTLANDS LÄN</t>
        </is>
      </c>
      <c r="E612" t="inlineStr">
        <is>
          <t>KINDA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27959-2024</t>
        </is>
      </c>
      <c r="B613" s="1" t="n">
        <v>45476.34908564815</v>
      </c>
      <c r="C613" s="1" t="n">
        <v>45890</v>
      </c>
      <c r="D613" t="inlineStr">
        <is>
          <t>ÖSTERGÖTLANDS LÄN</t>
        </is>
      </c>
      <c r="E613" t="inlineStr">
        <is>
          <t>KINDA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28043-2024</t>
        </is>
      </c>
      <c r="B614" s="1" t="n">
        <v>45476.50915509259</v>
      </c>
      <c r="C614" s="1" t="n">
        <v>45890</v>
      </c>
      <c r="D614" t="inlineStr">
        <is>
          <t>ÖSTERGÖTLANDS LÄN</t>
        </is>
      </c>
      <c r="E614" t="inlineStr">
        <is>
          <t>KINDA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24903-2022</t>
        </is>
      </c>
      <c r="B615" s="1" t="n">
        <v>44728.60424768519</v>
      </c>
      <c r="C615" s="1" t="n">
        <v>45890</v>
      </c>
      <c r="D615" t="inlineStr">
        <is>
          <t>ÖSTERGÖTLANDS LÄN</t>
        </is>
      </c>
      <c r="E615" t="inlineStr">
        <is>
          <t>KINDA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16611-2023</t>
        </is>
      </c>
      <c r="B616" s="1" t="n">
        <v>45030</v>
      </c>
      <c r="C616" s="1" t="n">
        <v>45890</v>
      </c>
      <c r="D616" t="inlineStr">
        <is>
          <t>ÖSTERGÖTLANDS LÄN</t>
        </is>
      </c>
      <c r="E616" t="inlineStr">
        <is>
          <t>KINDA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33043-2024</t>
        </is>
      </c>
      <c r="B617" s="1" t="n">
        <v>45517.61326388889</v>
      </c>
      <c r="C617" s="1" t="n">
        <v>45890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33744-2025</t>
        </is>
      </c>
      <c r="B618" s="1" t="n">
        <v>45842.35203703704</v>
      </c>
      <c r="C618" s="1" t="n">
        <v>45890</v>
      </c>
      <c r="D618" t="inlineStr">
        <is>
          <t>ÖSTERGÖTLANDS LÄN</t>
        </is>
      </c>
      <c r="E618" t="inlineStr">
        <is>
          <t>KINDA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3365-2025</t>
        </is>
      </c>
      <c r="B619" s="1" t="n">
        <v>45680.12493055555</v>
      </c>
      <c r="C619" s="1" t="n">
        <v>45890</v>
      </c>
      <c r="D619" t="inlineStr">
        <is>
          <t>ÖSTERGÖTLANDS LÄN</t>
        </is>
      </c>
      <c r="E619" t="inlineStr">
        <is>
          <t>KINDA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12856-2025</t>
        </is>
      </c>
      <c r="B620" s="1" t="n">
        <v>45733.66236111111</v>
      </c>
      <c r="C620" s="1" t="n">
        <v>45890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17366-2023</t>
        </is>
      </c>
      <c r="B621" s="1" t="n">
        <v>45035</v>
      </c>
      <c r="C621" s="1" t="n">
        <v>45890</v>
      </c>
      <c r="D621" t="inlineStr">
        <is>
          <t>ÖSTERGÖTLANDS LÄN</t>
        </is>
      </c>
      <c r="E621" t="inlineStr">
        <is>
          <t>KINDA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13661-2021</t>
        </is>
      </c>
      <c r="B622" s="1" t="n">
        <v>44274</v>
      </c>
      <c r="C622" s="1" t="n">
        <v>45890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29782-2025</t>
        </is>
      </c>
      <c r="B623" s="1" t="n">
        <v>45825.6502662037</v>
      </c>
      <c r="C623" s="1" t="n">
        <v>45890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10477-2022</t>
        </is>
      </c>
      <c r="B624" s="1" t="n">
        <v>44623.61737268518</v>
      </c>
      <c r="C624" s="1" t="n">
        <v>45890</v>
      </c>
      <c r="D624" t="inlineStr">
        <is>
          <t>ÖSTERGÖTLANDS LÄN</t>
        </is>
      </c>
      <c r="E624" t="inlineStr">
        <is>
          <t>KINDA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64436-2020</t>
        </is>
      </c>
      <c r="B625" s="1" t="n">
        <v>44168</v>
      </c>
      <c r="C625" s="1" t="n">
        <v>45890</v>
      </c>
      <c r="D625" t="inlineStr">
        <is>
          <t>ÖSTERGÖTLANDS LÄN</t>
        </is>
      </c>
      <c r="E625" t="inlineStr">
        <is>
          <t>KINDA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57690-2021</t>
        </is>
      </c>
      <c r="B626" s="1" t="n">
        <v>44484</v>
      </c>
      <c r="C626" s="1" t="n">
        <v>45890</v>
      </c>
      <c r="D626" t="inlineStr">
        <is>
          <t>ÖSTERGÖTLANDS LÄN</t>
        </is>
      </c>
      <c r="E626" t="inlineStr">
        <is>
          <t>KINDA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5903-2025</t>
        </is>
      </c>
      <c r="B627" s="1" t="n">
        <v>45695.40054398148</v>
      </c>
      <c r="C627" s="1" t="n">
        <v>45890</v>
      </c>
      <c r="D627" t="inlineStr">
        <is>
          <t>ÖSTERGÖTLANDS LÄN</t>
        </is>
      </c>
      <c r="E627" t="inlineStr">
        <is>
          <t>KINDA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22703-2023</t>
        </is>
      </c>
      <c r="B628" s="1" t="n">
        <v>45071</v>
      </c>
      <c r="C628" s="1" t="n">
        <v>45890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39090-2025</t>
        </is>
      </c>
      <c r="B629" s="1" t="n">
        <v>45888.49229166667</v>
      </c>
      <c r="C629" s="1" t="n">
        <v>45890</v>
      </c>
      <c r="D629" t="inlineStr">
        <is>
          <t>ÖSTERGÖTLANDS LÄN</t>
        </is>
      </c>
      <c r="E629" t="inlineStr">
        <is>
          <t>KINDA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17666-2025</t>
        </is>
      </c>
      <c r="B630" s="1" t="n">
        <v>45758.36324074074</v>
      </c>
      <c r="C630" s="1" t="n">
        <v>45890</v>
      </c>
      <c r="D630" t="inlineStr">
        <is>
          <t>ÖSTERGÖTLANDS LÄN</t>
        </is>
      </c>
      <c r="E630" t="inlineStr">
        <is>
          <t>KINDA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39246-2025</t>
        </is>
      </c>
      <c r="B631" s="1" t="n">
        <v>45889.35399305556</v>
      </c>
      <c r="C631" s="1" t="n">
        <v>45890</v>
      </c>
      <c r="D631" t="inlineStr">
        <is>
          <t>ÖSTERGÖTLANDS LÄN</t>
        </is>
      </c>
      <c r="E631" t="inlineStr">
        <is>
          <t>KINDA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26917-2024</t>
        </is>
      </c>
      <c r="B632" s="1" t="n">
        <v>45470.88379629629</v>
      </c>
      <c r="C632" s="1" t="n">
        <v>45890</v>
      </c>
      <c r="D632" t="inlineStr">
        <is>
          <t>ÖSTERGÖTLANDS LÄN</t>
        </is>
      </c>
      <c r="E632" t="inlineStr">
        <is>
          <t>KINDA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42084-2024</t>
        </is>
      </c>
      <c r="B633" s="1" t="n">
        <v>45562.3316087963</v>
      </c>
      <c r="C633" s="1" t="n">
        <v>45890</v>
      </c>
      <c r="D633" t="inlineStr">
        <is>
          <t>ÖSTERGÖTLANDS LÄN</t>
        </is>
      </c>
      <c r="E633" t="inlineStr">
        <is>
          <t>KINDA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5197-2022</t>
        </is>
      </c>
      <c r="B634" s="1" t="n">
        <v>44594</v>
      </c>
      <c r="C634" s="1" t="n">
        <v>45890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5479-2024</t>
        </is>
      </c>
      <c r="B635" s="1" t="n">
        <v>45333.84959490741</v>
      </c>
      <c r="C635" s="1" t="n">
        <v>45890</v>
      </c>
      <c r="D635" t="inlineStr">
        <is>
          <t>ÖSTERGÖTLANDS LÄN</t>
        </is>
      </c>
      <c r="E635" t="inlineStr">
        <is>
          <t>KINDA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4555-2023</t>
        </is>
      </c>
      <c r="B636" s="1" t="n">
        <v>44956</v>
      </c>
      <c r="C636" s="1" t="n">
        <v>45890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24150-2024</t>
        </is>
      </c>
      <c r="B637" s="1" t="n">
        <v>45456</v>
      </c>
      <c r="C637" s="1" t="n">
        <v>45890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49006-2020</t>
        </is>
      </c>
      <c r="B638" s="1" t="n">
        <v>44104</v>
      </c>
      <c r="C638" s="1" t="n">
        <v>45890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5707-2024</t>
        </is>
      </c>
      <c r="B639" s="1" t="n">
        <v>45334</v>
      </c>
      <c r="C639" s="1" t="n">
        <v>45890</v>
      </c>
      <c r="D639" t="inlineStr">
        <is>
          <t>ÖSTERGÖTLANDS LÄN</t>
        </is>
      </c>
      <c r="E639" t="inlineStr">
        <is>
          <t>KINDA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491-2021</t>
        </is>
      </c>
      <c r="B640" s="1" t="n">
        <v>44203</v>
      </c>
      <c r="C640" s="1" t="n">
        <v>45890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493-2021</t>
        </is>
      </c>
      <c r="B641" s="1" t="n">
        <v>44203</v>
      </c>
      <c r="C641" s="1" t="n">
        <v>45890</v>
      </c>
      <c r="D641" t="inlineStr">
        <is>
          <t>ÖSTERGÖTLANDS LÄN</t>
        </is>
      </c>
      <c r="E641" t="inlineStr">
        <is>
          <t>KINDA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56317-2021</t>
        </is>
      </c>
      <c r="B642" s="1" t="n">
        <v>44480.3503587963</v>
      </c>
      <c r="C642" s="1" t="n">
        <v>45890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24748-2023</t>
        </is>
      </c>
      <c r="B643" s="1" t="n">
        <v>45078</v>
      </c>
      <c r="C643" s="1" t="n">
        <v>45890</v>
      </c>
      <c r="D643" t="inlineStr">
        <is>
          <t>ÖSTERGÖTLANDS LÄN</t>
        </is>
      </c>
      <c r="E643" t="inlineStr">
        <is>
          <t>KINDA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18410-2023</t>
        </is>
      </c>
      <c r="B644" s="1" t="n">
        <v>45042.40232638889</v>
      </c>
      <c r="C644" s="1" t="n">
        <v>45890</v>
      </c>
      <c r="D644" t="inlineStr">
        <is>
          <t>ÖSTERGÖTLANDS LÄN</t>
        </is>
      </c>
      <c r="E644" t="inlineStr">
        <is>
          <t>KINDA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44991.5281712963</v>
      </c>
      <c r="C645" s="1" t="n">
        <v>45890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37880-2022</t>
        </is>
      </c>
      <c r="B646" s="1" t="n">
        <v>44811.38229166667</v>
      </c>
      <c r="C646" s="1" t="n">
        <v>45890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9702-2022</t>
        </is>
      </c>
      <c r="B647" s="1" t="n">
        <v>44617.6878125</v>
      </c>
      <c r="C647" s="1" t="n">
        <v>45890</v>
      </c>
      <c r="D647" t="inlineStr">
        <is>
          <t>ÖSTERGÖTLANDS LÄN</t>
        </is>
      </c>
      <c r="E647" t="inlineStr">
        <is>
          <t>KINDA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37397-2024</t>
        </is>
      </c>
      <c r="B648" s="1" t="n">
        <v>45540.59917824074</v>
      </c>
      <c r="C648" s="1" t="n">
        <v>45890</v>
      </c>
      <c r="D648" t="inlineStr">
        <is>
          <t>ÖSTERGÖTLANDS LÄN</t>
        </is>
      </c>
      <c r="E648" t="inlineStr">
        <is>
          <t>KINDA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9600-2024</t>
        </is>
      </c>
      <c r="B649" s="1" t="n">
        <v>45361.37284722222</v>
      </c>
      <c r="C649" s="1" t="n">
        <v>45890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60826-2023</t>
        </is>
      </c>
      <c r="B650" s="1" t="n">
        <v>45260.81440972222</v>
      </c>
      <c r="C650" s="1" t="n">
        <v>45890</v>
      </c>
      <c r="D650" t="inlineStr">
        <is>
          <t>ÖSTERGÖTLANDS LÄN</t>
        </is>
      </c>
      <c r="E650" t="inlineStr">
        <is>
          <t>KINDA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13976-2022</t>
        </is>
      </c>
      <c r="B651" s="1" t="n">
        <v>44650.56546296296</v>
      </c>
      <c r="C651" s="1" t="n">
        <v>45890</v>
      </c>
      <c r="D651" t="inlineStr">
        <is>
          <t>ÖSTERGÖTLANDS LÄN</t>
        </is>
      </c>
      <c r="E651" t="inlineStr">
        <is>
          <t>KINDA</t>
        </is>
      </c>
      <c r="F651" t="inlineStr">
        <is>
          <t>Övriga Aktiebolag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48811-2024</t>
        </is>
      </c>
      <c r="B652" s="1" t="n">
        <v>45593.66861111111</v>
      </c>
      <c r="C652" s="1" t="n">
        <v>45890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48070-2020</t>
        </is>
      </c>
      <c r="B653" s="1" t="n">
        <v>44100</v>
      </c>
      <c r="C653" s="1" t="n">
        <v>45890</v>
      </c>
      <c r="D653" t="inlineStr">
        <is>
          <t>ÖSTERGÖTLANDS LÄN</t>
        </is>
      </c>
      <c r="E653" t="inlineStr">
        <is>
          <t>KINDA</t>
        </is>
      </c>
      <c r="F653" t="inlineStr">
        <is>
          <t>Övriga Aktiebolag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25079-2021</t>
        </is>
      </c>
      <c r="B654" s="1" t="n">
        <v>44341.6424537037</v>
      </c>
      <c r="C654" s="1" t="n">
        <v>45890</v>
      </c>
      <c r="D654" t="inlineStr">
        <is>
          <t>ÖSTERGÖTLANDS LÄN</t>
        </is>
      </c>
      <c r="E654" t="inlineStr">
        <is>
          <t>KINDA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62254-2023</t>
        </is>
      </c>
      <c r="B655" s="1" t="n">
        <v>45267.61618055555</v>
      </c>
      <c r="C655" s="1" t="n">
        <v>45890</v>
      </c>
      <c r="D655" t="inlineStr">
        <is>
          <t>ÖSTERGÖTLANDS LÄN</t>
        </is>
      </c>
      <c r="E655" t="inlineStr">
        <is>
          <t>KINDA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28068-2024</t>
        </is>
      </c>
      <c r="B656" s="1" t="n">
        <v>45476.57782407408</v>
      </c>
      <c r="C656" s="1" t="n">
        <v>45890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53319-2023</t>
        </is>
      </c>
      <c r="B657" s="1" t="n">
        <v>45229</v>
      </c>
      <c r="C657" s="1" t="n">
        <v>45890</v>
      </c>
      <c r="D657" t="inlineStr">
        <is>
          <t>ÖSTERGÖTLANDS LÄN</t>
        </is>
      </c>
      <c r="E657" t="inlineStr">
        <is>
          <t>KINDA</t>
        </is>
      </c>
      <c r="F657" t="inlineStr">
        <is>
          <t>Sveaskog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6561-2024</t>
        </is>
      </c>
      <c r="B658" s="1" t="n">
        <v>45341</v>
      </c>
      <c r="C658" s="1" t="n">
        <v>45890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32825-2021</t>
        </is>
      </c>
      <c r="B659" s="1" t="n">
        <v>44375.6209837963</v>
      </c>
      <c r="C659" s="1" t="n">
        <v>45890</v>
      </c>
      <c r="D659" t="inlineStr">
        <is>
          <t>ÖSTERGÖTLANDS LÄN</t>
        </is>
      </c>
      <c r="E659" t="inlineStr">
        <is>
          <t>KINDA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5203-2022</t>
        </is>
      </c>
      <c r="B660" s="1" t="n">
        <v>44594</v>
      </c>
      <c r="C660" s="1" t="n">
        <v>45890</v>
      </c>
      <c r="D660" t="inlineStr">
        <is>
          <t>ÖSTERGÖTLANDS LÄN</t>
        </is>
      </c>
      <c r="E660" t="inlineStr">
        <is>
          <t>KINDA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9203-2023</t>
        </is>
      </c>
      <c r="B661" s="1" t="n">
        <v>44977</v>
      </c>
      <c r="C661" s="1" t="n">
        <v>45890</v>
      </c>
      <c r="D661" t="inlineStr">
        <is>
          <t>ÖSTERGÖTLANDS LÄN</t>
        </is>
      </c>
      <c r="E661" t="inlineStr">
        <is>
          <t>KINDA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32610-2023</t>
        </is>
      </c>
      <c r="B662" s="1" t="n">
        <v>45111</v>
      </c>
      <c r="C662" s="1" t="n">
        <v>45890</v>
      </c>
      <c r="D662" t="inlineStr">
        <is>
          <t>ÖSTERGÖTLANDS LÄN</t>
        </is>
      </c>
      <c r="E662" t="inlineStr">
        <is>
          <t>KINDA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21246-2023</t>
        </is>
      </c>
      <c r="B663" s="1" t="n">
        <v>45062.57262731482</v>
      </c>
      <c r="C663" s="1" t="n">
        <v>45890</v>
      </c>
      <c r="D663" t="inlineStr">
        <is>
          <t>ÖSTERGÖTLANDS LÄN</t>
        </is>
      </c>
      <c r="E663" t="inlineStr">
        <is>
          <t>KINDA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27099-2023</t>
        </is>
      </c>
      <c r="B664" s="1" t="n">
        <v>45096</v>
      </c>
      <c r="C664" s="1" t="n">
        <v>45890</v>
      </c>
      <c r="D664" t="inlineStr">
        <is>
          <t>ÖSTERGÖTLANDS LÄN</t>
        </is>
      </c>
      <c r="E664" t="inlineStr">
        <is>
          <t>KINDA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13273-2021</t>
        </is>
      </c>
      <c r="B665" s="1" t="n">
        <v>44272</v>
      </c>
      <c r="C665" s="1" t="n">
        <v>45890</v>
      </c>
      <c r="D665" t="inlineStr">
        <is>
          <t>ÖSTERGÖTLANDS LÄN</t>
        </is>
      </c>
      <c r="E665" t="inlineStr">
        <is>
          <t>KINDA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31839-2023</t>
        </is>
      </c>
      <c r="B666" s="1" t="n">
        <v>45118.57342592593</v>
      </c>
      <c r="C666" s="1" t="n">
        <v>45890</v>
      </c>
      <c r="D666" t="inlineStr">
        <is>
          <t>ÖSTERGÖTLANDS LÄN</t>
        </is>
      </c>
      <c r="E666" t="inlineStr">
        <is>
          <t>KINDA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44139-2024</t>
        </is>
      </c>
      <c r="B667" s="1" t="n">
        <v>45572.6625</v>
      </c>
      <c r="C667" s="1" t="n">
        <v>45890</v>
      </c>
      <c r="D667" t="inlineStr">
        <is>
          <t>ÖSTERGÖTLANDS LÄN</t>
        </is>
      </c>
      <c r="E667" t="inlineStr">
        <is>
          <t>KINDA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2025-08-21T08:28:35Z</dcterms:created>
  <dcterms:modified xmlns:dcterms="http://purl.org/dc/terms/" xmlns:xsi="http://www.w3.org/2001/XMLSchema-instance" xsi:type="dcterms:W3CDTF">2025-08-21T08:28:36Z</dcterms:modified>
</cp:coreProperties>
</file>