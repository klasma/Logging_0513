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45936</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45936</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45936</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45936</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41584-2025</t>
        </is>
      </c>
      <c r="B10" s="1" t="n">
        <v>45901.62403935185</v>
      </c>
      <c r="C10" s="1" t="n">
        <v>45936</v>
      </c>
      <c r="D10" t="inlineStr">
        <is>
          <t>ÖSTERGÖTLANDS LÄN</t>
        </is>
      </c>
      <c r="E10" t="inlineStr">
        <is>
          <t>KINDA</t>
        </is>
      </c>
      <c r="G10" t="n">
        <v>2.9</v>
      </c>
      <c r="H10" t="n">
        <v>2</v>
      </c>
      <c r="I10" t="n">
        <v>2</v>
      </c>
      <c r="J10" t="n">
        <v>1</v>
      </c>
      <c r="K10" t="n">
        <v>0</v>
      </c>
      <c r="L10" t="n">
        <v>0</v>
      </c>
      <c r="M10" t="n">
        <v>0</v>
      </c>
      <c r="N10" t="n">
        <v>0</v>
      </c>
      <c r="O10" t="n">
        <v>1</v>
      </c>
      <c r="P10" t="n">
        <v>0</v>
      </c>
      <c r="Q10" t="n">
        <v>5</v>
      </c>
      <c r="R10" s="2" t="inlineStr">
        <is>
          <t>Månlåsbräken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5119-2023</t>
        </is>
      </c>
      <c r="B11" s="1" t="n">
        <v>44958</v>
      </c>
      <c r="C11" s="1" t="n">
        <v>45936</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45936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27667-2022</t>
        </is>
      </c>
      <c r="B13" s="1" t="n">
        <v>44743.39091435185</v>
      </c>
      <c r="C13" s="1" t="n">
        <v>45936</v>
      </c>
      <c r="D13" t="inlineStr">
        <is>
          <t>ÖSTERGÖTLANDS LÄN</t>
        </is>
      </c>
      <c r="E13" t="inlineStr">
        <is>
          <t>KINDA</t>
        </is>
      </c>
      <c r="F13" t="inlineStr">
        <is>
          <t>Övriga Aktiebolag</t>
        </is>
      </c>
      <c r="G13" t="n">
        <v>28.5</v>
      </c>
      <c r="H13" t="n">
        <v>1</v>
      </c>
      <c r="I13" t="n">
        <v>2</v>
      </c>
      <c r="J13" t="n">
        <v>0</v>
      </c>
      <c r="K13" t="n">
        <v>0</v>
      </c>
      <c r="L13" t="n">
        <v>0</v>
      </c>
      <c r="M13" t="n">
        <v>0</v>
      </c>
      <c r="N13" t="n">
        <v>0</v>
      </c>
      <c r="O13" t="n">
        <v>0</v>
      </c>
      <c r="P13" t="n">
        <v>0</v>
      </c>
      <c r="Q13" t="n">
        <v>3</v>
      </c>
      <c r="R13" s="2" t="inlineStr">
        <is>
          <t>Kattfotslav
Mindre märgborre
Fläcknycklar</t>
        </is>
      </c>
      <c r="S13">
        <f>HYPERLINK("https://klasma.github.io/Logging_0513/artfynd/A 27667-2022 artfynd.xlsx", "A 27667-2022")</f>
        <v/>
      </c>
      <c r="T13">
        <f>HYPERLINK("https://klasma.github.io/Logging_0513/kartor/A 27667-2022 karta.png", "A 27667-2022")</f>
        <v/>
      </c>
      <c r="V13">
        <f>HYPERLINK("https://klasma.github.io/Logging_0513/klagomål/A 27667-2022 FSC-klagomål.docx", "A 27667-2022")</f>
        <v/>
      </c>
      <c r="W13">
        <f>HYPERLINK("https://klasma.github.io/Logging_0513/klagomålsmail/A 27667-2022 FSC-klagomål mail.docx", "A 27667-2022")</f>
        <v/>
      </c>
      <c r="X13">
        <f>HYPERLINK("https://klasma.github.io/Logging_0513/tillsyn/A 27667-2022 tillsynsbegäran.docx", "A 27667-2022")</f>
        <v/>
      </c>
      <c r="Y13">
        <f>HYPERLINK("https://klasma.github.io/Logging_0513/tillsynsmail/A 27667-2022 tillsynsbegäran mail.docx", "A 27667-2022")</f>
        <v/>
      </c>
    </row>
    <row r="14" ht="15" customHeight="1">
      <c r="A14" t="inlineStr">
        <is>
          <t>A 32-2025</t>
        </is>
      </c>
      <c r="B14" s="1" t="n">
        <v>45659.24403935186</v>
      </c>
      <c r="C14" s="1" t="n">
        <v>45936</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45936</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11477-2025</t>
        </is>
      </c>
      <c r="B16" s="1" t="n">
        <v>45726.67396990741</v>
      </c>
      <c r="C16" s="1" t="n">
        <v>45936</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41583-2025</t>
        </is>
      </c>
      <c r="B17" s="1" t="n">
        <v>45901.62307870371</v>
      </c>
      <c r="C17" s="1" t="n">
        <v>45936</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46154-2023</t>
        </is>
      </c>
      <c r="B18" s="1" t="n">
        <v>45196</v>
      </c>
      <c r="C18" s="1" t="n">
        <v>45936</v>
      </c>
      <c r="D18" t="inlineStr">
        <is>
          <t>ÖSTERGÖTLANDS LÄN</t>
        </is>
      </c>
      <c r="E18" t="inlineStr">
        <is>
          <t>KINDA</t>
        </is>
      </c>
      <c r="G18" t="n">
        <v>6.6</v>
      </c>
      <c r="H18" t="n">
        <v>1</v>
      </c>
      <c r="I18" t="n">
        <v>2</v>
      </c>
      <c r="J18" t="n">
        <v>0</v>
      </c>
      <c r="K18" t="n">
        <v>0</v>
      </c>
      <c r="L18" t="n">
        <v>0</v>
      </c>
      <c r="M18" t="n">
        <v>0</v>
      </c>
      <c r="N18" t="n">
        <v>0</v>
      </c>
      <c r="O18" t="n">
        <v>0</v>
      </c>
      <c r="P18" t="n">
        <v>0</v>
      </c>
      <c r="Q18" t="n">
        <v>2</v>
      </c>
      <c r="R18" s="2" t="inlineStr">
        <is>
          <t>Dvärgkällmossa
Grön sköldmossa</t>
        </is>
      </c>
      <c r="S18">
        <f>HYPERLINK("https://klasma.github.io/Logging_0513/artfynd/A 46154-2023 artfynd.xlsx", "A 46154-2023")</f>
        <v/>
      </c>
      <c r="T18">
        <f>HYPERLINK("https://klasma.github.io/Logging_0513/kartor/A 46154-2023 karta.png", "A 46154-2023")</f>
        <v/>
      </c>
      <c r="V18">
        <f>HYPERLINK("https://klasma.github.io/Logging_0513/klagomål/A 46154-2023 FSC-klagomål.docx", "A 46154-2023")</f>
        <v/>
      </c>
      <c r="W18">
        <f>HYPERLINK("https://klasma.github.io/Logging_0513/klagomålsmail/A 46154-2023 FSC-klagomål mail.docx", "A 46154-2023")</f>
        <v/>
      </c>
      <c r="X18">
        <f>HYPERLINK("https://klasma.github.io/Logging_0513/tillsyn/A 46154-2023 tillsynsbegäran.docx", "A 46154-2023")</f>
        <v/>
      </c>
      <c r="Y18">
        <f>HYPERLINK("https://klasma.github.io/Logging_0513/tillsynsmail/A 46154-2023 tillsynsbegäran mail.docx", "A 46154-2023")</f>
        <v/>
      </c>
    </row>
    <row r="19" ht="15" customHeight="1">
      <c r="A19" t="inlineStr">
        <is>
          <t>A 37068-2025</t>
        </is>
      </c>
      <c r="B19" s="1" t="n">
        <v>45875</v>
      </c>
      <c r="C19" s="1" t="n">
        <v>45936</v>
      </c>
      <c r="D19" t="inlineStr">
        <is>
          <t>ÖSTERGÖTLANDS LÄN</t>
        </is>
      </c>
      <c r="E19" t="inlineStr">
        <is>
          <t>KINDA</t>
        </is>
      </c>
      <c r="G19" t="n">
        <v>2.7</v>
      </c>
      <c r="H19" t="n">
        <v>1</v>
      </c>
      <c r="I19" t="n">
        <v>1</v>
      </c>
      <c r="J19" t="n">
        <v>0</v>
      </c>
      <c r="K19" t="n">
        <v>0</v>
      </c>
      <c r="L19" t="n">
        <v>0</v>
      </c>
      <c r="M19" t="n">
        <v>0</v>
      </c>
      <c r="N19" t="n">
        <v>0</v>
      </c>
      <c r="O19" t="n">
        <v>0</v>
      </c>
      <c r="P19" t="n">
        <v>0</v>
      </c>
      <c r="Q19" t="n">
        <v>2</v>
      </c>
      <c r="R19" s="2" t="inlineStr">
        <is>
          <t>Fällmossa
Blåsippa</t>
        </is>
      </c>
      <c r="S19">
        <f>HYPERLINK("https://klasma.github.io/Logging_0513/artfynd/A 37068-2025 artfynd.xlsx", "A 37068-2025")</f>
        <v/>
      </c>
      <c r="T19">
        <f>HYPERLINK("https://klasma.github.io/Logging_0513/kartor/A 37068-2025 karta.png", "A 37068-2025")</f>
        <v/>
      </c>
      <c r="V19">
        <f>HYPERLINK("https://klasma.github.io/Logging_0513/klagomål/A 37068-2025 FSC-klagomål.docx", "A 37068-2025")</f>
        <v/>
      </c>
      <c r="W19">
        <f>HYPERLINK("https://klasma.github.io/Logging_0513/klagomålsmail/A 37068-2025 FSC-klagomål mail.docx", "A 37068-2025")</f>
        <v/>
      </c>
      <c r="X19">
        <f>HYPERLINK("https://klasma.github.io/Logging_0513/tillsyn/A 37068-2025 tillsynsbegäran.docx", "A 37068-2025")</f>
        <v/>
      </c>
      <c r="Y19">
        <f>HYPERLINK("https://klasma.github.io/Logging_0513/tillsynsmail/A 37068-2025 tillsynsbegäran mail.docx", "A 37068-2025")</f>
        <v/>
      </c>
    </row>
    <row r="20" ht="15" customHeight="1">
      <c r="A20" t="inlineStr">
        <is>
          <t>A 878-2024</t>
        </is>
      </c>
      <c r="B20" s="1" t="n">
        <v>45301</v>
      </c>
      <c r="C20" s="1" t="n">
        <v>45936</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48628-2023</t>
        </is>
      </c>
      <c r="B21" s="1" t="n">
        <v>45208</v>
      </c>
      <c r="C21" s="1" t="n">
        <v>45936</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22006-2025</t>
        </is>
      </c>
      <c r="B22" s="1" t="n">
        <v>45784.71938657408</v>
      </c>
      <c r="C22" s="1" t="n">
        <v>45936</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54673-2023</t>
        </is>
      </c>
      <c r="B23" s="1" t="n">
        <v>45235</v>
      </c>
      <c r="C23" s="1" t="n">
        <v>45936</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45936</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5588-2025</t>
        </is>
      </c>
      <c r="B25" s="1" t="n">
        <v>45693.56063657408</v>
      </c>
      <c r="C25" s="1" t="n">
        <v>45936</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29627-2022</t>
        </is>
      </c>
      <c r="B26" s="1" t="n">
        <v>44754</v>
      </c>
      <c r="C26" s="1" t="n">
        <v>45936</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45936</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45936</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46145-2023</t>
        </is>
      </c>
      <c r="B29" s="1" t="n">
        <v>45196.57292824074</v>
      </c>
      <c r="C29" s="1" t="n">
        <v>45936</v>
      </c>
      <c r="D29" t="inlineStr">
        <is>
          <t>ÖSTERGÖTLANDS LÄN</t>
        </is>
      </c>
      <c r="E29" t="inlineStr">
        <is>
          <t>KINDA</t>
        </is>
      </c>
      <c r="G29" t="n">
        <v>4.2</v>
      </c>
      <c r="H29" t="n">
        <v>0</v>
      </c>
      <c r="I29" t="n">
        <v>1</v>
      </c>
      <c r="J29" t="n">
        <v>0</v>
      </c>
      <c r="K29" t="n">
        <v>0</v>
      </c>
      <c r="L29" t="n">
        <v>0</v>
      </c>
      <c r="M29" t="n">
        <v>0</v>
      </c>
      <c r="N29" t="n">
        <v>0</v>
      </c>
      <c r="O29" t="n">
        <v>0</v>
      </c>
      <c r="P29" t="n">
        <v>0</v>
      </c>
      <c r="Q29" t="n">
        <v>1</v>
      </c>
      <c r="R29" s="2" t="inlineStr">
        <is>
          <t>Svart trolldruva</t>
        </is>
      </c>
      <c r="S29">
        <f>HYPERLINK("https://klasma.github.io/Logging_0513/artfynd/A 46145-2023 artfynd.xlsx", "A 46145-2023")</f>
        <v/>
      </c>
      <c r="T29">
        <f>HYPERLINK("https://klasma.github.io/Logging_0513/kartor/A 46145-2023 karta.png", "A 46145-2023")</f>
        <v/>
      </c>
      <c r="V29">
        <f>HYPERLINK("https://klasma.github.io/Logging_0513/klagomål/A 46145-2023 FSC-klagomål.docx", "A 46145-2023")</f>
        <v/>
      </c>
      <c r="W29">
        <f>HYPERLINK("https://klasma.github.io/Logging_0513/klagomålsmail/A 46145-2023 FSC-klagomål mail.docx", "A 46145-2023")</f>
        <v/>
      </c>
      <c r="X29">
        <f>HYPERLINK("https://klasma.github.io/Logging_0513/tillsyn/A 46145-2023 tillsynsbegäran.docx", "A 46145-2023")</f>
        <v/>
      </c>
      <c r="Y29">
        <f>HYPERLINK("https://klasma.github.io/Logging_0513/tillsynsmail/A 46145-2023 tillsynsbegäran mail.docx", "A 46145-2023")</f>
        <v/>
      </c>
    </row>
    <row r="30" ht="15" customHeight="1">
      <c r="A30" t="inlineStr">
        <is>
          <t>A 33003-2024</t>
        </is>
      </c>
      <c r="B30" s="1" t="n">
        <v>45517</v>
      </c>
      <c r="C30" s="1" t="n">
        <v>45936</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40100-2021</t>
        </is>
      </c>
      <c r="B31" s="1" t="n">
        <v>44418</v>
      </c>
      <c r="C31" s="1" t="n">
        <v>45936</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45936</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37058-2025</t>
        </is>
      </c>
      <c r="B33" s="1" t="n">
        <v>45875</v>
      </c>
      <c r="C33" s="1" t="n">
        <v>45936</v>
      </c>
      <c r="D33" t="inlineStr">
        <is>
          <t>ÖSTERGÖTLANDS LÄN</t>
        </is>
      </c>
      <c r="E33" t="inlineStr">
        <is>
          <t>KINDA</t>
        </is>
      </c>
      <c r="G33" t="n">
        <v>1.9</v>
      </c>
      <c r="H33" t="n">
        <v>0</v>
      </c>
      <c r="I33" t="n">
        <v>0</v>
      </c>
      <c r="J33" t="n">
        <v>1</v>
      </c>
      <c r="K33" t="n">
        <v>0</v>
      </c>
      <c r="L33" t="n">
        <v>0</v>
      </c>
      <c r="M33" t="n">
        <v>0</v>
      </c>
      <c r="N33" t="n">
        <v>0</v>
      </c>
      <c r="O33" t="n">
        <v>1</v>
      </c>
      <c r="P33" t="n">
        <v>0</v>
      </c>
      <c r="Q33" t="n">
        <v>1</v>
      </c>
      <c r="R33" s="2" t="inlineStr">
        <is>
          <t>Storgröe</t>
        </is>
      </c>
      <c r="S33">
        <f>HYPERLINK("https://klasma.github.io/Logging_0513/artfynd/A 37058-2025 artfynd.xlsx", "A 37058-2025")</f>
        <v/>
      </c>
      <c r="T33">
        <f>HYPERLINK("https://klasma.github.io/Logging_0513/kartor/A 37058-2025 karta.png", "A 37058-2025")</f>
        <v/>
      </c>
      <c r="V33">
        <f>HYPERLINK("https://klasma.github.io/Logging_0513/klagomål/A 37058-2025 FSC-klagomål.docx", "A 37058-2025")</f>
        <v/>
      </c>
      <c r="W33">
        <f>HYPERLINK("https://klasma.github.io/Logging_0513/klagomålsmail/A 37058-2025 FSC-klagomål mail.docx", "A 37058-2025")</f>
        <v/>
      </c>
      <c r="X33">
        <f>HYPERLINK("https://klasma.github.io/Logging_0513/tillsyn/A 37058-2025 tillsynsbegäran.docx", "A 37058-2025")</f>
        <v/>
      </c>
      <c r="Y33">
        <f>HYPERLINK("https://klasma.github.io/Logging_0513/tillsynsmail/A 37058-2025 tillsynsbegäran mail.docx", "A 37058-2025")</f>
        <v/>
      </c>
    </row>
    <row r="34" ht="15" customHeight="1">
      <c r="A34" t="inlineStr">
        <is>
          <t>A 44552-2021</t>
        </is>
      </c>
      <c r="B34" s="1" t="n">
        <v>44435</v>
      </c>
      <c r="C34" s="1" t="n">
        <v>45936</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19360-2023</t>
        </is>
      </c>
      <c r="B35" s="1" t="n">
        <v>45049</v>
      </c>
      <c r="C35" s="1" t="n">
        <v>45936</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12801-2022</t>
        </is>
      </c>
      <c r="B36" s="1" t="n">
        <v>44642</v>
      </c>
      <c r="C36" s="1" t="n">
        <v>45936</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145-2024</t>
        </is>
      </c>
      <c r="B37" s="1" t="n">
        <v>45294</v>
      </c>
      <c r="C37" s="1" t="n">
        <v>45936</v>
      </c>
      <c r="D37" t="inlineStr">
        <is>
          <t>ÖSTERGÖTLANDS LÄN</t>
        </is>
      </c>
      <c r="E37" t="inlineStr">
        <is>
          <t>KINDA</t>
        </is>
      </c>
      <c r="G37" t="n">
        <v>4.9</v>
      </c>
      <c r="H37" t="n">
        <v>0</v>
      </c>
      <c r="I37" t="n">
        <v>0</v>
      </c>
      <c r="J37" t="n">
        <v>1</v>
      </c>
      <c r="K37" t="n">
        <v>0</v>
      </c>
      <c r="L37" t="n">
        <v>0</v>
      </c>
      <c r="M37" t="n">
        <v>0</v>
      </c>
      <c r="N37" t="n">
        <v>0</v>
      </c>
      <c r="O37" t="n">
        <v>1</v>
      </c>
      <c r="P37" t="n">
        <v>0</v>
      </c>
      <c r="Q37" t="n">
        <v>1</v>
      </c>
      <c r="R37" s="2" t="inlineStr">
        <is>
          <t>Ekgetingbock</t>
        </is>
      </c>
      <c r="S37">
        <f>HYPERLINK("https://klasma.github.io/Logging_0513/artfynd/A 145-2024 artfynd.xlsx", "A 145-2024")</f>
        <v/>
      </c>
      <c r="T37">
        <f>HYPERLINK("https://klasma.github.io/Logging_0513/kartor/A 145-2024 karta.png", "A 145-2024")</f>
        <v/>
      </c>
      <c r="V37">
        <f>HYPERLINK("https://klasma.github.io/Logging_0513/klagomål/A 145-2024 FSC-klagomål.docx", "A 145-2024")</f>
        <v/>
      </c>
      <c r="W37">
        <f>HYPERLINK("https://klasma.github.io/Logging_0513/klagomålsmail/A 145-2024 FSC-klagomål mail.docx", "A 145-2024")</f>
        <v/>
      </c>
      <c r="X37">
        <f>HYPERLINK("https://klasma.github.io/Logging_0513/tillsyn/A 145-2024 tillsynsbegäran.docx", "A 145-2024")</f>
        <v/>
      </c>
      <c r="Y37">
        <f>HYPERLINK("https://klasma.github.io/Logging_0513/tillsynsmail/A 145-2024 tillsynsbegäran mail.docx", "A 145-2024")</f>
        <v/>
      </c>
    </row>
    <row r="38" ht="15" customHeight="1">
      <c r="A38" t="inlineStr">
        <is>
          <t>A 67789-2021</t>
        </is>
      </c>
      <c r="B38" s="1" t="n">
        <v>44525</v>
      </c>
      <c r="C38" s="1" t="n">
        <v>45936</v>
      </c>
      <c r="D38" t="inlineStr">
        <is>
          <t>ÖSTERGÖTLANDS LÄN</t>
        </is>
      </c>
      <c r="E38" t="inlineStr">
        <is>
          <t>KINDA</t>
        </is>
      </c>
      <c r="G38" t="n">
        <v>19.4</v>
      </c>
      <c r="H38" t="n">
        <v>1</v>
      </c>
      <c r="I38" t="n">
        <v>0</v>
      </c>
      <c r="J38" t="n">
        <v>1</v>
      </c>
      <c r="K38" t="n">
        <v>0</v>
      </c>
      <c r="L38" t="n">
        <v>0</v>
      </c>
      <c r="M38" t="n">
        <v>0</v>
      </c>
      <c r="N38" t="n">
        <v>0</v>
      </c>
      <c r="O38" t="n">
        <v>1</v>
      </c>
      <c r="P38" t="n">
        <v>0</v>
      </c>
      <c r="Q38" t="n">
        <v>1</v>
      </c>
      <c r="R38" s="2" t="inlineStr">
        <is>
          <t>Havsörn</t>
        </is>
      </c>
      <c r="S38">
        <f>HYPERLINK("https://klasma.github.io/Logging_0513/artfynd/A 67789-2021 artfynd.xlsx", "A 67789-2021")</f>
        <v/>
      </c>
      <c r="T38">
        <f>HYPERLINK("https://klasma.github.io/Logging_0513/kartor/A 67789-2021 karta.png", "A 67789-2021")</f>
        <v/>
      </c>
      <c r="V38">
        <f>HYPERLINK("https://klasma.github.io/Logging_0513/klagomål/A 67789-2021 FSC-klagomål.docx", "A 67789-2021")</f>
        <v/>
      </c>
      <c r="W38">
        <f>HYPERLINK("https://klasma.github.io/Logging_0513/klagomålsmail/A 67789-2021 FSC-klagomål mail.docx", "A 67789-2021")</f>
        <v/>
      </c>
      <c r="X38">
        <f>HYPERLINK("https://klasma.github.io/Logging_0513/tillsyn/A 67789-2021 tillsynsbegäran.docx", "A 67789-2021")</f>
        <v/>
      </c>
      <c r="Y38">
        <f>HYPERLINK("https://klasma.github.io/Logging_0513/tillsynsmail/A 67789-2021 tillsynsbegäran mail.docx", "A 67789-2021")</f>
        <v/>
      </c>
      <c r="Z38">
        <f>HYPERLINK("https://klasma.github.io/Logging_0513/fåglar/A 67789-2021 prioriterade fågelarter.docx", "A 67789-2021")</f>
        <v/>
      </c>
    </row>
    <row r="39" ht="15" customHeight="1">
      <c r="A39" t="inlineStr">
        <is>
          <t>A 25288-2021</t>
        </is>
      </c>
      <c r="B39" s="1" t="n">
        <v>44342</v>
      </c>
      <c r="C39" s="1" t="n">
        <v>45936</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25288-2021 artfynd.xlsx", "A 25288-2021")</f>
        <v/>
      </c>
      <c r="T39">
        <f>HYPERLINK("https://klasma.github.io/Logging_0513/kartor/A 25288-2021 karta.png", "A 25288-2021")</f>
        <v/>
      </c>
      <c r="V39">
        <f>HYPERLINK("https://klasma.github.io/Logging_0513/klagomål/A 25288-2021 FSC-klagomål.docx", "A 25288-2021")</f>
        <v/>
      </c>
      <c r="W39">
        <f>HYPERLINK("https://klasma.github.io/Logging_0513/klagomålsmail/A 25288-2021 FSC-klagomål mail.docx", "A 25288-2021")</f>
        <v/>
      </c>
      <c r="X39">
        <f>HYPERLINK("https://klasma.github.io/Logging_0513/tillsyn/A 25288-2021 tillsynsbegäran.docx", "A 25288-2021")</f>
        <v/>
      </c>
      <c r="Y39">
        <f>HYPERLINK("https://klasma.github.io/Logging_0513/tillsynsmail/A 25288-2021 tillsynsbegäran mail.docx", "A 25288-2021")</f>
        <v/>
      </c>
    </row>
    <row r="40" ht="15" customHeight="1">
      <c r="A40" t="inlineStr">
        <is>
          <t>A 3378-2024</t>
        </is>
      </c>
      <c r="B40" s="1" t="n">
        <v>45317</v>
      </c>
      <c r="C40" s="1" t="n">
        <v>45936</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29509-2024</t>
        </is>
      </c>
      <c r="B41" s="1" t="n">
        <v>45484</v>
      </c>
      <c r="C41" s="1" t="n">
        <v>45936</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12170-2022</t>
        </is>
      </c>
      <c r="B42" s="1" t="n">
        <v>44636</v>
      </c>
      <c r="C42" s="1" t="n">
        <v>45936</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45936</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54872-2022</t>
        </is>
      </c>
      <c r="B44" s="1" t="n">
        <v>44886</v>
      </c>
      <c r="C44" s="1" t="n">
        <v>45936</v>
      </c>
      <c r="D44" t="inlineStr">
        <is>
          <t>ÖSTERGÖTLANDS LÄN</t>
        </is>
      </c>
      <c r="E44" t="inlineStr">
        <is>
          <t>KINDA</t>
        </is>
      </c>
      <c r="G44" t="n">
        <v>1.1</v>
      </c>
      <c r="H44" t="n">
        <v>1</v>
      </c>
      <c r="I44" t="n">
        <v>0</v>
      </c>
      <c r="J44" t="n">
        <v>0</v>
      </c>
      <c r="K44" t="n">
        <v>0</v>
      </c>
      <c r="L44" t="n">
        <v>0</v>
      </c>
      <c r="M44" t="n">
        <v>0</v>
      </c>
      <c r="N44" t="n">
        <v>0</v>
      </c>
      <c r="O44" t="n">
        <v>0</v>
      </c>
      <c r="P44" t="n">
        <v>0</v>
      </c>
      <c r="Q44" t="n">
        <v>1</v>
      </c>
      <c r="R44" s="2" t="inlineStr">
        <is>
          <t>Tjäder</t>
        </is>
      </c>
      <c r="S44">
        <f>HYPERLINK("https://klasma.github.io/Logging_0513/artfynd/A 54872-2022 artfynd.xlsx", "A 54872-2022")</f>
        <v/>
      </c>
      <c r="T44">
        <f>HYPERLINK("https://klasma.github.io/Logging_0513/kartor/A 54872-2022 karta.png", "A 54872-2022")</f>
        <v/>
      </c>
      <c r="V44">
        <f>HYPERLINK("https://klasma.github.io/Logging_0513/klagomål/A 54872-2022 FSC-klagomål.docx", "A 54872-2022")</f>
        <v/>
      </c>
      <c r="W44">
        <f>HYPERLINK("https://klasma.github.io/Logging_0513/klagomålsmail/A 54872-2022 FSC-klagomål mail.docx", "A 54872-2022")</f>
        <v/>
      </c>
      <c r="X44">
        <f>HYPERLINK("https://klasma.github.io/Logging_0513/tillsyn/A 54872-2022 tillsynsbegäran.docx", "A 54872-2022")</f>
        <v/>
      </c>
      <c r="Y44">
        <f>HYPERLINK("https://klasma.github.io/Logging_0513/tillsynsmail/A 54872-2022 tillsynsbegäran mail.docx", "A 54872-2022")</f>
        <v/>
      </c>
      <c r="Z44">
        <f>HYPERLINK("https://klasma.github.io/Logging_0513/fåglar/A 54872-2022 prioriterade fågelarter.docx", "A 54872-2022")</f>
        <v/>
      </c>
    </row>
    <row r="45" ht="15" customHeight="1">
      <c r="A45" t="inlineStr">
        <is>
          <t>A 29514-2024</t>
        </is>
      </c>
      <c r="B45" s="1" t="n">
        <v>45484</v>
      </c>
      <c r="C45" s="1" t="n">
        <v>45936</v>
      </c>
      <c r="D45" t="inlineStr">
        <is>
          <t>ÖSTERGÖTLANDS LÄN</t>
        </is>
      </c>
      <c r="E45" t="inlineStr">
        <is>
          <t>KINDA</t>
        </is>
      </c>
      <c r="G45" t="n">
        <v>18.9</v>
      </c>
      <c r="H45" t="n">
        <v>0</v>
      </c>
      <c r="I45" t="n">
        <v>0</v>
      </c>
      <c r="J45" t="n">
        <v>1</v>
      </c>
      <c r="K45" t="n">
        <v>0</v>
      </c>
      <c r="L45" t="n">
        <v>0</v>
      </c>
      <c r="M45" t="n">
        <v>0</v>
      </c>
      <c r="N45" t="n">
        <v>0</v>
      </c>
      <c r="O45" t="n">
        <v>1</v>
      </c>
      <c r="P45" t="n">
        <v>0</v>
      </c>
      <c r="Q45" t="n">
        <v>1</v>
      </c>
      <c r="R45" s="2" t="inlineStr">
        <is>
          <t>Aspelandsfibbla</t>
        </is>
      </c>
      <c r="S45">
        <f>HYPERLINK("https://klasma.github.io/Logging_0513/artfynd/A 29514-2024 artfynd.xlsx", "A 29514-2024")</f>
        <v/>
      </c>
      <c r="T45">
        <f>HYPERLINK("https://klasma.github.io/Logging_0513/kartor/A 29514-2024 karta.png", "A 29514-2024")</f>
        <v/>
      </c>
      <c r="V45">
        <f>HYPERLINK("https://klasma.github.io/Logging_0513/klagomål/A 29514-2024 FSC-klagomål.docx", "A 29514-2024")</f>
        <v/>
      </c>
      <c r="W45">
        <f>HYPERLINK("https://klasma.github.io/Logging_0513/klagomålsmail/A 29514-2024 FSC-klagomål mail.docx", "A 29514-2024")</f>
        <v/>
      </c>
      <c r="X45">
        <f>HYPERLINK("https://klasma.github.io/Logging_0513/tillsyn/A 29514-2024 tillsynsbegäran.docx", "A 29514-2024")</f>
        <v/>
      </c>
      <c r="Y45">
        <f>HYPERLINK("https://klasma.github.io/Logging_0513/tillsynsmail/A 29514-2024 tillsynsbegäran mail.docx", "A 29514-2024")</f>
        <v/>
      </c>
    </row>
    <row r="46" ht="15" customHeight="1">
      <c r="A46" t="inlineStr">
        <is>
          <t>A 57456-2021</t>
        </is>
      </c>
      <c r="B46" s="1" t="n">
        <v>44483</v>
      </c>
      <c r="C46" s="1" t="n">
        <v>45936</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31824-2025</t>
        </is>
      </c>
      <c r="B47" s="1" t="n">
        <v>45834.58208333333</v>
      </c>
      <c r="C47" s="1" t="n">
        <v>45936</v>
      </c>
      <c r="D47" t="inlineStr">
        <is>
          <t>ÖSTERGÖTLANDS LÄN</t>
        </is>
      </c>
      <c r="E47" t="inlineStr">
        <is>
          <t>KINDA</t>
        </is>
      </c>
      <c r="G47" t="n">
        <v>3.9</v>
      </c>
      <c r="H47" t="n">
        <v>0</v>
      </c>
      <c r="I47" t="n">
        <v>0</v>
      </c>
      <c r="J47" t="n">
        <v>0</v>
      </c>
      <c r="K47" t="n">
        <v>0</v>
      </c>
      <c r="L47" t="n">
        <v>1</v>
      </c>
      <c r="M47" t="n">
        <v>0</v>
      </c>
      <c r="N47" t="n">
        <v>0</v>
      </c>
      <c r="O47" t="n">
        <v>1</v>
      </c>
      <c r="P47" t="n">
        <v>1</v>
      </c>
      <c r="Q47" t="n">
        <v>1</v>
      </c>
      <c r="R47" s="2" t="inlineStr">
        <is>
          <t>Ask</t>
        </is>
      </c>
      <c r="S47">
        <f>HYPERLINK("https://klasma.github.io/Logging_0513/artfynd/A 31824-2025 artfynd.xlsx", "A 31824-2025")</f>
        <v/>
      </c>
      <c r="T47">
        <f>HYPERLINK("https://klasma.github.io/Logging_0513/kartor/A 31824-2025 karta.png", "A 31824-2025")</f>
        <v/>
      </c>
      <c r="V47">
        <f>HYPERLINK("https://klasma.github.io/Logging_0513/klagomål/A 31824-2025 FSC-klagomål.docx", "A 31824-2025")</f>
        <v/>
      </c>
      <c r="W47">
        <f>HYPERLINK("https://klasma.github.io/Logging_0513/klagomålsmail/A 31824-2025 FSC-klagomål mail.docx", "A 31824-2025")</f>
        <v/>
      </c>
      <c r="X47">
        <f>HYPERLINK("https://klasma.github.io/Logging_0513/tillsyn/A 31824-2025 tillsynsbegäran.docx", "A 31824-2025")</f>
        <v/>
      </c>
      <c r="Y47">
        <f>HYPERLINK("https://klasma.github.io/Logging_0513/tillsynsmail/A 31824-2025 tillsynsbegäran mail.docx", "A 31824-2025")</f>
        <v/>
      </c>
    </row>
    <row r="48" ht="15" customHeight="1">
      <c r="A48" t="inlineStr">
        <is>
          <t>A 30255-2024</t>
        </is>
      </c>
      <c r="B48" s="1" t="n">
        <v>45490.56811342593</v>
      </c>
      <c r="C48" s="1" t="n">
        <v>45936</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40463-2021</t>
        </is>
      </c>
      <c r="B49" s="1" t="n">
        <v>44419</v>
      </c>
      <c r="C49" s="1" t="n">
        <v>45936</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7801-2022</t>
        </is>
      </c>
      <c r="B50" s="1" t="n">
        <v>44608.4999537037</v>
      </c>
      <c r="C50" s="1" t="n">
        <v>45936</v>
      </c>
      <c r="D50" t="inlineStr">
        <is>
          <t>ÖSTERGÖTLANDS LÄN</t>
        </is>
      </c>
      <c r="E50" t="inlineStr">
        <is>
          <t>KINDA</t>
        </is>
      </c>
      <c r="F50" t="inlineStr">
        <is>
          <t>Sveaskog</t>
        </is>
      </c>
      <c r="G50" t="n">
        <v>11.4</v>
      </c>
      <c r="H50" t="n">
        <v>0</v>
      </c>
      <c r="I50" t="n">
        <v>0</v>
      </c>
      <c r="J50" t="n">
        <v>0</v>
      </c>
      <c r="K50" t="n">
        <v>0</v>
      </c>
      <c r="L50" t="n">
        <v>1</v>
      </c>
      <c r="M50" t="n">
        <v>0</v>
      </c>
      <c r="N50" t="n">
        <v>0</v>
      </c>
      <c r="O50" t="n">
        <v>1</v>
      </c>
      <c r="P50" t="n">
        <v>1</v>
      </c>
      <c r="Q50" t="n">
        <v>1</v>
      </c>
      <c r="R50" s="2" t="inlineStr">
        <is>
          <t>Ask</t>
        </is>
      </c>
      <c r="S50">
        <f>HYPERLINK("https://klasma.github.io/Logging_0513/artfynd/A 7801-2022 artfynd.xlsx", "A 7801-2022")</f>
        <v/>
      </c>
      <c r="T50">
        <f>HYPERLINK("https://klasma.github.io/Logging_0513/kartor/A 7801-2022 karta.png", "A 7801-2022")</f>
        <v/>
      </c>
      <c r="V50">
        <f>HYPERLINK("https://klasma.github.io/Logging_0513/klagomål/A 7801-2022 FSC-klagomål.docx", "A 7801-2022")</f>
        <v/>
      </c>
      <c r="W50">
        <f>HYPERLINK("https://klasma.github.io/Logging_0513/klagomålsmail/A 7801-2022 FSC-klagomål mail.docx", "A 7801-2022")</f>
        <v/>
      </c>
      <c r="X50">
        <f>HYPERLINK("https://klasma.github.io/Logging_0513/tillsyn/A 7801-2022 tillsynsbegäran.docx", "A 7801-2022")</f>
        <v/>
      </c>
      <c r="Y50">
        <f>HYPERLINK("https://klasma.github.io/Logging_0513/tillsynsmail/A 7801-2022 tillsynsbegäran mail.docx", "A 7801-2022")</f>
        <v/>
      </c>
    </row>
    <row r="51" ht="15" customHeight="1">
      <c r="A51" t="inlineStr">
        <is>
          <t>A 60958-2022</t>
        </is>
      </c>
      <c r="B51" s="1" t="n">
        <v>44914.64768518518</v>
      </c>
      <c r="C51" s="1" t="n">
        <v>45936</v>
      </c>
      <c r="D51" t="inlineStr">
        <is>
          <t>ÖSTERGÖTLANDS LÄN</t>
        </is>
      </c>
      <c r="E51" t="inlineStr">
        <is>
          <t>KINDA</t>
        </is>
      </c>
      <c r="G51" t="n">
        <v>3.2</v>
      </c>
      <c r="H51" t="n">
        <v>0</v>
      </c>
      <c r="I51" t="n">
        <v>0</v>
      </c>
      <c r="J51" t="n">
        <v>0</v>
      </c>
      <c r="K51" t="n">
        <v>0</v>
      </c>
      <c r="L51" t="n">
        <v>1</v>
      </c>
      <c r="M51" t="n">
        <v>0</v>
      </c>
      <c r="N51" t="n">
        <v>0</v>
      </c>
      <c r="O51" t="n">
        <v>1</v>
      </c>
      <c r="P51" t="n">
        <v>1</v>
      </c>
      <c r="Q51" t="n">
        <v>1</v>
      </c>
      <c r="R51" s="2" t="inlineStr">
        <is>
          <t>Puckelmaskros</t>
        </is>
      </c>
      <c r="S51">
        <f>HYPERLINK("https://klasma.github.io/Logging_0513/artfynd/A 60958-2022 artfynd.xlsx", "A 60958-2022")</f>
        <v/>
      </c>
      <c r="T51">
        <f>HYPERLINK("https://klasma.github.io/Logging_0513/kartor/A 60958-2022 karta.png", "A 60958-2022")</f>
        <v/>
      </c>
      <c r="V51">
        <f>HYPERLINK("https://klasma.github.io/Logging_0513/klagomål/A 60958-2022 FSC-klagomål.docx", "A 60958-2022")</f>
        <v/>
      </c>
      <c r="W51">
        <f>HYPERLINK("https://klasma.github.io/Logging_0513/klagomålsmail/A 60958-2022 FSC-klagomål mail.docx", "A 60958-2022")</f>
        <v/>
      </c>
      <c r="X51">
        <f>HYPERLINK("https://klasma.github.io/Logging_0513/tillsyn/A 60958-2022 tillsynsbegäran.docx", "A 60958-2022")</f>
        <v/>
      </c>
      <c r="Y51">
        <f>HYPERLINK("https://klasma.github.io/Logging_0513/tillsynsmail/A 60958-2022 tillsynsbegäran mail.docx", "A 60958-2022")</f>
        <v/>
      </c>
    </row>
    <row r="52" ht="15" customHeight="1">
      <c r="A52" t="inlineStr">
        <is>
          <t>A 3417-2025</t>
        </is>
      </c>
      <c r="B52" s="1" t="n">
        <v>45680.41096064815</v>
      </c>
      <c r="C52" s="1" t="n">
        <v>45936</v>
      </c>
      <c r="D52" t="inlineStr">
        <is>
          <t>ÖSTERGÖTLANDS LÄN</t>
        </is>
      </c>
      <c r="E52" t="inlineStr">
        <is>
          <t>KINDA</t>
        </is>
      </c>
      <c r="G52" t="n">
        <v>1.1</v>
      </c>
      <c r="H52" t="n">
        <v>0</v>
      </c>
      <c r="I52" t="n">
        <v>1</v>
      </c>
      <c r="J52" t="n">
        <v>0</v>
      </c>
      <c r="K52" t="n">
        <v>0</v>
      </c>
      <c r="L52" t="n">
        <v>0</v>
      </c>
      <c r="M52" t="n">
        <v>0</v>
      </c>
      <c r="N52" t="n">
        <v>0</v>
      </c>
      <c r="O52" t="n">
        <v>0</v>
      </c>
      <c r="P52" t="n">
        <v>0</v>
      </c>
      <c r="Q52" t="n">
        <v>1</v>
      </c>
      <c r="R52" s="2" t="inlineStr">
        <is>
          <t>Svart trolldruva</t>
        </is>
      </c>
      <c r="S52">
        <f>HYPERLINK("https://klasma.github.io/Logging_0513/artfynd/A 3417-2025 artfynd.xlsx", "A 3417-2025")</f>
        <v/>
      </c>
      <c r="T52">
        <f>HYPERLINK("https://klasma.github.io/Logging_0513/kartor/A 3417-2025 karta.png", "A 3417-2025")</f>
        <v/>
      </c>
      <c r="V52">
        <f>HYPERLINK("https://klasma.github.io/Logging_0513/klagomål/A 3417-2025 FSC-klagomål.docx", "A 3417-2025")</f>
        <v/>
      </c>
      <c r="W52">
        <f>HYPERLINK("https://klasma.github.io/Logging_0513/klagomålsmail/A 3417-2025 FSC-klagomål mail.docx", "A 3417-2025")</f>
        <v/>
      </c>
      <c r="X52">
        <f>HYPERLINK("https://klasma.github.io/Logging_0513/tillsyn/A 3417-2025 tillsynsbegäran.docx", "A 3417-2025")</f>
        <v/>
      </c>
      <c r="Y52">
        <f>HYPERLINK("https://klasma.github.io/Logging_0513/tillsynsmail/A 3417-2025 tillsynsbegäran mail.docx", "A 3417-2025")</f>
        <v/>
      </c>
    </row>
    <row r="53" ht="15" customHeight="1">
      <c r="A53" t="inlineStr">
        <is>
          <t>A 33595-2025</t>
        </is>
      </c>
      <c r="B53" s="1" t="n">
        <v>45841.6012962963</v>
      </c>
      <c r="C53" s="1" t="n">
        <v>45936</v>
      </c>
      <c r="D53" t="inlineStr">
        <is>
          <t>ÖSTERGÖTLANDS LÄN</t>
        </is>
      </c>
      <c r="E53" t="inlineStr">
        <is>
          <t>KINDA</t>
        </is>
      </c>
      <c r="G53" t="n">
        <v>2.5</v>
      </c>
      <c r="H53" t="n">
        <v>1</v>
      </c>
      <c r="I53" t="n">
        <v>0</v>
      </c>
      <c r="J53" t="n">
        <v>0</v>
      </c>
      <c r="K53" t="n">
        <v>0</v>
      </c>
      <c r="L53" t="n">
        <v>0</v>
      </c>
      <c r="M53" t="n">
        <v>0</v>
      </c>
      <c r="N53" t="n">
        <v>0</v>
      </c>
      <c r="O53" t="n">
        <v>0</v>
      </c>
      <c r="P53" t="n">
        <v>0</v>
      </c>
      <c r="Q53" t="n">
        <v>1</v>
      </c>
      <c r="R53" s="2" t="inlineStr">
        <is>
          <t>Grönvit nattviol</t>
        </is>
      </c>
      <c r="S53">
        <f>HYPERLINK("https://klasma.github.io/Logging_0513/artfynd/A 33595-2025 artfynd.xlsx", "A 33595-2025")</f>
        <v/>
      </c>
      <c r="T53">
        <f>HYPERLINK("https://klasma.github.io/Logging_0513/kartor/A 33595-2025 karta.png", "A 33595-2025")</f>
        <v/>
      </c>
      <c r="V53">
        <f>HYPERLINK("https://klasma.github.io/Logging_0513/klagomål/A 33595-2025 FSC-klagomål.docx", "A 33595-2025")</f>
        <v/>
      </c>
      <c r="W53">
        <f>HYPERLINK("https://klasma.github.io/Logging_0513/klagomålsmail/A 33595-2025 FSC-klagomål mail.docx", "A 33595-2025")</f>
        <v/>
      </c>
      <c r="X53">
        <f>HYPERLINK("https://klasma.github.io/Logging_0513/tillsyn/A 33595-2025 tillsynsbegäran.docx", "A 33595-2025")</f>
        <v/>
      </c>
      <c r="Y53">
        <f>HYPERLINK("https://klasma.github.io/Logging_0513/tillsynsmail/A 33595-2025 tillsynsbegäran mail.docx", "A 33595-2025")</f>
        <v/>
      </c>
    </row>
    <row r="54" ht="15" customHeight="1">
      <c r="A54" t="inlineStr">
        <is>
          <t>A 24071-2025</t>
        </is>
      </c>
      <c r="B54" s="1" t="n">
        <v>45796.54400462963</v>
      </c>
      <c r="C54" s="1" t="n">
        <v>45936</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57522-2024</t>
        </is>
      </c>
      <c r="B55" s="1" t="n">
        <v>45630.41168981481</v>
      </c>
      <c r="C55" s="1" t="n">
        <v>45936</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45936</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7713-2021</t>
        </is>
      </c>
      <c r="B57" s="1" t="n">
        <v>44239</v>
      </c>
      <c r="C57" s="1" t="n">
        <v>45936</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45936</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45936</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45936</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45936</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45936</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45936</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45936</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45936</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45936</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45936</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45936</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45936</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45936</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45936</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45936</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45936</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45936</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45936</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45936</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45936</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45936</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45936</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45936</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45936</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45936</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3886-2022</t>
        </is>
      </c>
      <c r="B83" s="1" t="n">
        <v>44587</v>
      </c>
      <c r="C83" s="1" t="n">
        <v>45936</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25188-2022</t>
        </is>
      </c>
      <c r="B84" s="1" t="n">
        <v>44729</v>
      </c>
      <c r="C84" s="1" t="n">
        <v>45936</v>
      </c>
      <c r="D84" t="inlineStr">
        <is>
          <t>ÖSTERGÖTLANDS LÄN</t>
        </is>
      </c>
      <c r="E84" t="inlineStr">
        <is>
          <t>KINDA</t>
        </is>
      </c>
      <c r="G84" t="n">
        <v>0.1</v>
      </c>
      <c r="H84" t="n">
        <v>0</v>
      </c>
      <c r="I84" t="n">
        <v>0</v>
      </c>
      <c r="J84" t="n">
        <v>0</v>
      </c>
      <c r="K84" t="n">
        <v>0</v>
      </c>
      <c r="L84" t="n">
        <v>0</v>
      </c>
      <c r="M84" t="n">
        <v>0</v>
      </c>
      <c r="N84" t="n">
        <v>0</v>
      </c>
      <c r="O84" t="n">
        <v>0</v>
      </c>
      <c r="P84" t="n">
        <v>0</v>
      </c>
      <c r="Q84" t="n">
        <v>0</v>
      </c>
      <c r="R84" s="2" t="inlineStr"/>
    </row>
    <row r="85" ht="15" customHeight="1">
      <c r="A85" t="inlineStr">
        <is>
          <t>A 57496-2021</t>
        </is>
      </c>
      <c r="B85" s="1" t="n">
        <v>44483.77188657408</v>
      </c>
      <c r="C85" s="1" t="n">
        <v>45936</v>
      </c>
      <c r="D85" t="inlineStr">
        <is>
          <t>ÖSTERGÖTLANDS LÄN</t>
        </is>
      </c>
      <c r="E85" t="inlineStr">
        <is>
          <t>KINDA</t>
        </is>
      </c>
      <c r="G85" t="n">
        <v>2.3</v>
      </c>
      <c r="H85" t="n">
        <v>0</v>
      </c>
      <c r="I85" t="n">
        <v>0</v>
      </c>
      <c r="J85" t="n">
        <v>0</v>
      </c>
      <c r="K85" t="n">
        <v>0</v>
      </c>
      <c r="L85" t="n">
        <v>0</v>
      </c>
      <c r="M85" t="n">
        <v>0</v>
      </c>
      <c r="N85" t="n">
        <v>0</v>
      </c>
      <c r="O85" t="n">
        <v>0</v>
      </c>
      <c r="P85" t="n">
        <v>0</v>
      </c>
      <c r="Q85" t="n">
        <v>0</v>
      </c>
      <c r="R85" s="2" t="inlineStr"/>
    </row>
    <row r="86" ht="15" customHeight="1">
      <c r="A86" t="inlineStr">
        <is>
          <t>A 644-2022</t>
        </is>
      </c>
      <c r="B86" s="1" t="n">
        <v>44568.4189699074</v>
      </c>
      <c r="C86" s="1" t="n">
        <v>45936</v>
      </c>
      <c r="D86" t="inlineStr">
        <is>
          <t>ÖSTERGÖTLANDS LÄN</t>
        </is>
      </c>
      <c r="E86" t="inlineStr">
        <is>
          <t>KINDA</t>
        </is>
      </c>
      <c r="G86" t="n">
        <v>0.4</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45936</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45936</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45936</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45936</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45936</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45936</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45936</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45936</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45936</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45936</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45936</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22276-2021</t>
        </is>
      </c>
      <c r="B98" s="1" t="n">
        <v>44326</v>
      </c>
      <c r="C98" s="1" t="n">
        <v>45936</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45936</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45936</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45936</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45936</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45936</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45936</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45936</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45936</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45936</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45936</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45936</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45936</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45936</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63848-2020</t>
        </is>
      </c>
      <c r="B112" s="1" t="n">
        <v>44165</v>
      </c>
      <c r="C112" s="1" t="n">
        <v>45936</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45936</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45936</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45936</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45936</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7835-2021</t>
        </is>
      </c>
      <c r="B117" s="1" t="n">
        <v>44242</v>
      </c>
      <c r="C117" s="1" t="n">
        <v>45936</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45936</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40246-2021</t>
        </is>
      </c>
      <c r="B119" s="1" t="n">
        <v>44419</v>
      </c>
      <c r="C119" s="1" t="n">
        <v>45936</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49440-2021</t>
        </is>
      </c>
      <c r="B120" s="1" t="n">
        <v>44454</v>
      </c>
      <c r="C120" s="1" t="n">
        <v>45936</v>
      </c>
      <c r="D120" t="inlineStr">
        <is>
          <t>ÖSTERGÖTLANDS LÄN</t>
        </is>
      </c>
      <c r="E120" t="inlineStr">
        <is>
          <t>KINDA</t>
        </is>
      </c>
      <c r="G120" t="n">
        <v>2.9</v>
      </c>
      <c r="H120" t="n">
        <v>0</v>
      </c>
      <c r="I120" t="n">
        <v>0</v>
      </c>
      <c r="J120" t="n">
        <v>0</v>
      </c>
      <c r="K120" t="n">
        <v>0</v>
      </c>
      <c r="L120" t="n">
        <v>0</v>
      </c>
      <c r="M120" t="n">
        <v>0</v>
      </c>
      <c r="N120" t="n">
        <v>0</v>
      </c>
      <c r="O120" t="n">
        <v>0</v>
      </c>
      <c r="P120" t="n">
        <v>0</v>
      </c>
      <c r="Q120" t="n">
        <v>0</v>
      </c>
      <c r="R120" s="2" t="inlineStr"/>
    </row>
    <row r="121" ht="15" customHeight="1">
      <c r="A121" t="inlineStr">
        <is>
          <t>A 57497-2021</t>
        </is>
      </c>
      <c r="B121" s="1" t="n">
        <v>44483</v>
      </c>
      <c r="C121" s="1" t="n">
        <v>45936</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45936</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43467-2022</t>
        </is>
      </c>
      <c r="B123" s="1" t="n">
        <v>44836.74738425926</v>
      </c>
      <c r="C123" s="1" t="n">
        <v>45936</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53633-2020</t>
        </is>
      </c>
      <c r="B124" s="1" t="n">
        <v>44123</v>
      </c>
      <c r="C124" s="1" t="n">
        <v>45936</v>
      </c>
      <c r="D124" t="inlineStr">
        <is>
          <t>ÖSTERGÖTLANDS LÄN</t>
        </is>
      </c>
      <c r="E124" t="inlineStr">
        <is>
          <t>KINDA</t>
        </is>
      </c>
      <c r="G124" t="n">
        <v>0.3</v>
      </c>
      <c r="H124" t="n">
        <v>0</v>
      </c>
      <c r="I124" t="n">
        <v>0</v>
      </c>
      <c r="J124" t="n">
        <v>0</v>
      </c>
      <c r="K124" t="n">
        <v>0</v>
      </c>
      <c r="L124" t="n">
        <v>0</v>
      </c>
      <c r="M124" t="n">
        <v>0</v>
      </c>
      <c r="N124" t="n">
        <v>0</v>
      </c>
      <c r="O124" t="n">
        <v>0</v>
      </c>
      <c r="P124" t="n">
        <v>0</v>
      </c>
      <c r="Q124" t="n">
        <v>0</v>
      </c>
      <c r="R124" s="2" t="inlineStr"/>
    </row>
    <row r="125" ht="15" customHeight="1">
      <c r="A125" t="inlineStr">
        <is>
          <t>A 34139-2021</t>
        </is>
      </c>
      <c r="B125" s="1" t="n">
        <v>44379</v>
      </c>
      <c r="C125" s="1" t="n">
        <v>45936</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44303-2022</t>
        </is>
      </c>
      <c r="B126" s="1" t="n">
        <v>44839.62386574074</v>
      </c>
      <c r="C126" s="1" t="n">
        <v>45936</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28802-2021</t>
        </is>
      </c>
      <c r="B127" s="1" t="n">
        <v>44357</v>
      </c>
      <c r="C127" s="1" t="n">
        <v>45936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49349-2022</t>
        </is>
      </c>
      <c r="B128" s="1" t="n">
        <v>44861</v>
      </c>
      <c r="C128" s="1" t="n">
        <v>45936</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57894-2021</t>
        </is>
      </c>
      <c r="B129" s="1" t="n">
        <v>44486</v>
      </c>
      <c r="C129" s="1" t="n">
        <v>45936</v>
      </c>
      <c r="D129" t="inlineStr">
        <is>
          <t>ÖSTERGÖTLANDS LÄN</t>
        </is>
      </c>
      <c r="E129" t="inlineStr">
        <is>
          <t>KINDA</t>
        </is>
      </c>
      <c r="G129" t="n">
        <v>0.9</v>
      </c>
      <c r="H129" t="n">
        <v>0</v>
      </c>
      <c r="I129" t="n">
        <v>0</v>
      </c>
      <c r="J129" t="n">
        <v>0</v>
      </c>
      <c r="K129" t="n">
        <v>0</v>
      </c>
      <c r="L129" t="n">
        <v>0</v>
      </c>
      <c r="M129" t="n">
        <v>0</v>
      </c>
      <c r="N129" t="n">
        <v>0</v>
      </c>
      <c r="O129" t="n">
        <v>0</v>
      </c>
      <c r="P129" t="n">
        <v>0</v>
      </c>
      <c r="Q129" t="n">
        <v>0</v>
      </c>
      <c r="R129" s="2" t="inlineStr"/>
    </row>
    <row r="130" ht="15" customHeight="1">
      <c r="A130" t="inlineStr">
        <is>
          <t>A 23248-2022</t>
        </is>
      </c>
      <c r="B130" s="1" t="n">
        <v>44720</v>
      </c>
      <c r="C130" s="1" t="n">
        <v>45936</v>
      </c>
      <c r="D130" t="inlineStr">
        <is>
          <t>ÖSTERGÖTLANDS LÄN</t>
        </is>
      </c>
      <c r="E130" t="inlineStr">
        <is>
          <t>KINDA</t>
        </is>
      </c>
      <c r="G130" t="n">
        <v>1.7</v>
      </c>
      <c r="H130" t="n">
        <v>0</v>
      </c>
      <c r="I130" t="n">
        <v>0</v>
      </c>
      <c r="J130" t="n">
        <v>0</v>
      </c>
      <c r="K130" t="n">
        <v>0</v>
      </c>
      <c r="L130" t="n">
        <v>0</v>
      </c>
      <c r="M130" t="n">
        <v>0</v>
      </c>
      <c r="N130" t="n">
        <v>0</v>
      </c>
      <c r="O130" t="n">
        <v>0</v>
      </c>
      <c r="P130" t="n">
        <v>0</v>
      </c>
      <c r="Q130" t="n">
        <v>0</v>
      </c>
      <c r="R130" s="2" t="inlineStr"/>
    </row>
    <row r="131" ht="15" customHeight="1">
      <c r="A131" t="inlineStr">
        <is>
          <t>A 74446-2021</t>
        </is>
      </c>
      <c r="B131" s="1" t="n">
        <v>44560</v>
      </c>
      <c r="C131" s="1" t="n">
        <v>45936</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65047-2020</t>
        </is>
      </c>
      <c r="B132" s="1" t="n">
        <v>44167</v>
      </c>
      <c r="C132" s="1" t="n">
        <v>45936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33562-2022</t>
        </is>
      </c>
      <c r="B133" s="1" t="n">
        <v>44789.39914351852</v>
      </c>
      <c r="C133" s="1" t="n">
        <v>45936</v>
      </c>
      <c r="D133" t="inlineStr">
        <is>
          <t>ÖSTERGÖTLANDS LÄN</t>
        </is>
      </c>
      <c r="E133" t="inlineStr">
        <is>
          <t>KINDA</t>
        </is>
      </c>
      <c r="G133" t="n">
        <v>0</v>
      </c>
      <c r="H133" t="n">
        <v>0</v>
      </c>
      <c r="I133" t="n">
        <v>0</v>
      </c>
      <c r="J133" t="n">
        <v>0</v>
      </c>
      <c r="K133" t="n">
        <v>0</v>
      </c>
      <c r="L133" t="n">
        <v>0</v>
      </c>
      <c r="M133" t="n">
        <v>0</v>
      </c>
      <c r="N133" t="n">
        <v>0</v>
      </c>
      <c r="O133" t="n">
        <v>0</v>
      </c>
      <c r="P133" t="n">
        <v>0</v>
      </c>
      <c r="Q133" t="n">
        <v>0</v>
      </c>
      <c r="R133" s="2" t="inlineStr"/>
    </row>
    <row r="134" ht="15" customHeight="1">
      <c r="A134" t="inlineStr">
        <is>
          <t>A 23614-2022</t>
        </is>
      </c>
      <c r="B134" s="1" t="n">
        <v>44721.6180787037</v>
      </c>
      <c r="C134" s="1" t="n">
        <v>45936</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9468-2022</t>
        </is>
      </c>
      <c r="B135" s="1" t="n">
        <v>44616.80707175926</v>
      </c>
      <c r="C135" s="1" t="n">
        <v>45936</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52048-2022</t>
        </is>
      </c>
      <c r="B136" s="1" t="n">
        <v>44873.32138888889</v>
      </c>
      <c r="C136" s="1" t="n">
        <v>45936</v>
      </c>
      <c r="D136" t="inlineStr">
        <is>
          <t>ÖSTERGÖTLANDS LÄN</t>
        </is>
      </c>
      <c r="E136" t="inlineStr">
        <is>
          <t>KINDA</t>
        </is>
      </c>
      <c r="G136" t="n">
        <v>3.5</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45936</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53640-2020</t>
        </is>
      </c>
      <c r="B138" s="1" t="n">
        <v>44123</v>
      </c>
      <c r="C138" s="1" t="n">
        <v>45936</v>
      </c>
      <c r="D138" t="inlineStr">
        <is>
          <t>ÖSTERGÖTLANDS LÄN</t>
        </is>
      </c>
      <c r="E138" t="inlineStr">
        <is>
          <t>KINDA</t>
        </is>
      </c>
      <c r="G138" t="n">
        <v>0.3</v>
      </c>
      <c r="H138" t="n">
        <v>0</v>
      </c>
      <c r="I138" t="n">
        <v>0</v>
      </c>
      <c r="J138" t="n">
        <v>0</v>
      </c>
      <c r="K138" t="n">
        <v>0</v>
      </c>
      <c r="L138" t="n">
        <v>0</v>
      </c>
      <c r="M138" t="n">
        <v>0</v>
      </c>
      <c r="N138" t="n">
        <v>0</v>
      </c>
      <c r="O138" t="n">
        <v>0</v>
      </c>
      <c r="P138" t="n">
        <v>0</v>
      </c>
      <c r="Q138" t="n">
        <v>0</v>
      </c>
      <c r="R138" s="2" t="inlineStr"/>
    </row>
    <row r="139" ht="15" customHeight="1">
      <c r="A139" t="inlineStr">
        <is>
          <t>A 52210-2020</t>
        </is>
      </c>
      <c r="B139" s="1" t="n">
        <v>44112</v>
      </c>
      <c r="C139" s="1" t="n">
        <v>45936</v>
      </c>
      <c r="D139" t="inlineStr">
        <is>
          <t>ÖSTERGÖTLANDS LÄN</t>
        </is>
      </c>
      <c r="E139" t="inlineStr">
        <is>
          <t>KINDA</t>
        </is>
      </c>
      <c r="G139" t="n">
        <v>0.6</v>
      </c>
      <c r="H139" t="n">
        <v>0</v>
      </c>
      <c r="I139" t="n">
        <v>0</v>
      </c>
      <c r="J139" t="n">
        <v>0</v>
      </c>
      <c r="K139" t="n">
        <v>0</v>
      </c>
      <c r="L139" t="n">
        <v>0</v>
      </c>
      <c r="M139" t="n">
        <v>0</v>
      </c>
      <c r="N139" t="n">
        <v>0</v>
      </c>
      <c r="O139" t="n">
        <v>0</v>
      </c>
      <c r="P139" t="n">
        <v>0</v>
      </c>
      <c r="Q139" t="n">
        <v>0</v>
      </c>
      <c r="R139" s="2" t="inlineStr"/>
    </row>
    <row r="140" ht="15" customHeight="1">
      <c r="A140" t="inlineStr">
        <is>
          <t>A 57657-2021</t>
        </is>
      </c>
      <c r="B140" s="1" t="n">
        <v>44484</v>
      </c>
      <c r="C140" s="1" t="n">
        <v>45936</v>
      </c>
      <c r="D140" t="inlineStr">
        <is>
          <t>ÖSTERGÖTLANDS LÄN</t>
        </is>
      </c>
      <c r="E140" t="inlineStr">
        <is>
          <t>KINDA</t>
        </is>
      </c>
      <c r="G140" t="n">
        <v>5.7</v>
      </c>
      <c r="H140" t="n">
        <v>0</v>
      </c>
      <c r="I140" t="n">
        <v>0</v>
      </c>
      <c r="J140" t="n">
        <v>0</v>
      </c>
      <c r="K140" t="n">
        <v>0</v>
      </c>
      <c r="L140" t="n">
        <v>0</v>
      </c>
      <c r="M140" t="n">
        <v>0</v>
      </c>
      <c r="N140" t="n">
        <v>0</v>
      </c>
      <c r="O140" t="n">
        <v>0</v>
      </c>
      <c r="P140" t="n">
        <v>0</v>
      </c>
      <c r="Q140" t="n">
        <v>0</v>
      </c>
      <c r="R140" s="2" t="inlineStr"/>
    </row>
    <row r="141" ht="15" customHeight="1">
      <c r="A141" t="inlineStr">
        <is>
          <t>A 15349-2024</t>
        </is>
      </c>
      <c r="B141" s="1" t="n">
        <v>45400.7590162037</v>
      </c>
      <c r="C141" s="1" t="n">
        <v>45936</v>
      </c>
      <c r="D141" t="inlineStr">
        <is>
          <t>ÖSTERGÖTLANDS LÄN</t>
        </is>
      </c>
      <c r="E141" t="inlineStr">
        <is>
          <t>KINDA</t>
        </is>
      </c>
      <c r="G141" t="n">
        <v>0.8</v>
      </c>
      <c r="H141" t="n">
        <v>0</v>
      </c>
      <c r="I141" t="n">
        <v>0</v>
      </c>
      <c r="J141" t="n">
        <v>0</v>
      </c>
      <c r="K141" t="n">
        <v>0</v>
      </c>
      <c r="L141" t="n">
        <v>0</v>
      </c>
      <c r="M141" t="n">
        <v>0</v>
      </c>
      <c r="N141" t="n">
        <v>0</v>
      </c>
      <c r="O141" t="n">
        <v>0</v>
      </c>
      <c r="P141" t="n">
        <v>0</v>
      </c>
      <c r="Q141" t="n">
        <v>0</v>
      </c>
      <c r="R141" s="2" t="inlineStr"/>
    </row>
    <row r="142" ht="15" customHeight="1">
      <c r="A142" t="inlineStr">
        <is>
          <t>A 23887-2023</t>
        </is>
      </c>
      <c r="B142" s="1" t="n">
        <v>45078.52990740741</v>
      </c>
      <c r="C142" s="1" t="n">
        <v>45936</v>
      </c>
      <c r="D142" t="inlineStr">
        <is>
          <t>ÖSTERGÖTLANDS LÄN</t>
        </is>
      </c>
      <c r="E142" t="inlineStr">
        <is>
          <t>KINDA</t>
        </is>
      </c>
      <c r="G142" t="n">
        <v>1.5</v>
      </c>
      <c r="H142" t="n">
        <v>0</v>
      </c>
      <c r="I142" t="n">
        <v>0</v>
      </c>
      <c r="J142" t="n">
        <v>0</v>
      </c>
      <c r="K142" t="n">
        <v>0</v>
      </c>
      <c r="L142" t="n">
        <v>0</v>
      </c>
      <c r="M142" t="n">
        <v>0</v>
      </c>
      <c r="N142" t="n">
        <v>0</v>
      </c>
      <c r="O142" t="n">
        <v>0</v>
      </c>
      <c r="P142" t="n">
        <v>0</v>
      </c>
      <c r="Q142" t="n">
        <v>0</v>
      </c>
      <c r="R142" s="2" t="inlineStr"/>
    </row>
    <row r="143" ht="15" customHeight="1">
      <c r="A143" t="inlineStr">
        <is>
          <t>A 10806-2024</t>
        </is>
      </c>
      <c r="B143" s="1" t="n">
        <v>45369.62628472222</v>
      </c>
      <c r="C143" s="1" t="n">
        <v>45936</v>
      </c>
      <c r="D143" t="inlineStr">
        <is>
          <t>ÖSTERGÖTLANDS LÄN</t>
        </is>
      </c>
      <c r="E143" t="inlineStr">
        <is>
          <t>KINDA</t>
        </is>
      </c>
      <c r="G143" t="n">
        <v>4.2</v>
      </c>
      <c r="H143" t="n">
        <v>0</v>
      </c>
      <c r="I143" t="n">
        <v>0</v>
      </c>
      <c r="J143" t="n">
        <v>0</v>
      </c>
      <c r="K143" t="n">
        <v>0</v>
      </c>
      <c r="L143" t="n">
        <v>0</v>
      </c>
      <c r="M143" t="n">
        <v>0</v>
      </c>
      <c r="N143" t="n">
        <v>0</v>
      </c>
      <c r="O143" t="n">
        <v>0</v>
      </c>
      <c r="P143" t="n">
        <v>0</v>
      </c>
      <c r="Q143" t="n">
        <v>0</v>
      </c>
      <c r="R143" s="2" t="inlineStr"/>
    </row>
    <row r="144" ht="15" customHeight="1">
      <c r="A144" t="inlineStr">
        <is>
          <t>A 20083-2021</t>
        </is>
      </c>
      <c r="B144" s="1" t="n">
        <v>44314</v>
      </c>
      <c r="C144" s="1" t="n">
        <v>45936</v>
      </c>
      <c r="D144" t="inlineStr">
        <is>
          <t>ÖSTERGÖTLANDS LÄN</t>
        </is>
      </c>
      <c r="E144" t="inlineStr">
        <is>
          <t>KINDA</t>
        </is>
      </c>
      <c r="G144" t="n">
        <v>2.7</v>
      </c>
      <c r="H144" t="n">
        <v>0</v>
      </c>
      <c r="I144" t="n">
        <v>0</v>
      </c>
      <c r="J144" t="n">
        <v>0</v>
      </c>
      <c r="K144" t="n">
        <v>0</v>
      </c>
      <c r="L144" t="n">
        <v>0</v>
      </c>
      <c r="M144" t="n">
        <v>0</v>
      </c>
      <c r="N144" t="n">
        <v>0</v>
      </c>
      <c r="O144" t="n">
        <v>0</v>
      </c>
      <c r="P144" t="n">
        <v>0</v>
      </c>
      <c r="Q144" t="n">
        <v>0</v>
      </c>
      <c r="R144" s="2" t="inlineStr"/>
    </row>
    <row r="145" ht="15" customHeight="1">
      <c r="A145" t="inlineStr">
        <is>
          <t>A 25670-2022</t>
        </is>
      </c>
      <c r="B145" s="1" t="n">
        <v>44733.01248842593</v>
      </c>
      <c r="C145" s="1" t="n">
        <v>45936</v>
      </c>
      <c r="D145" t="inlineStr">
        <is>
          <t>ÖSTERGÖTLANDS LÄN</t>
        </is>
      </c>
      <c r="E145" t="inlineStr">
        <is>
          <t>KINDA</t>
        </is>
      </c>
      <c r="G145" t="n">
        <v>0.7</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45936</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30364-2021</t>
        </is>
      </c>
      <c r="B147" s="1" t="n">
        <v>44364.44892361111</v>
      </c>
      <c r="C147" s="1" t="n">
        <v>45936</v>
      </c>
      <c r="D147" t="inlineStr">
        <is>
          <t>ÖSTERGÖTLANDS LÄN</t>
        </is>
      </c>
      <c r="E147" t="inlineStr">
        <is>
          <t>KINDA</t>
        </is>
      </c>
      <c r="G147" t="n">
        <v>1.2</v>
      </c>
      <c r="H147" t="n">
        <v>0</v>
      </c>
      <c r="I147" t="n">
        <v>0</v>
      </c>
      <c r="J147" t="n">
        <v>0</v>
      </c>
      <c r="K147" t="n">
        <v>0</v>
      </c>
      <c r="L147" t="n">
        <v>0</v>
      </c>
      <c r="M147" t="n">
        <v>0</v>
      </c>
      <c r="N147" t="n">
        <v>0</v>
      </c>
      <c r="O147" t="n">
        <v>0</v>
      </c>
      <c r="P147" t="n">
        <v>0</v>
      </c>
      <c r="Q147" t="n">
        <v>0</v>
      </c>
      <c r="R147" s="2" t="inlineStr"/>
    </row>
    <row r="148" ht="15" customHeight="1">
      <c r="A148" t="inlineStr">
        <is>
          <t>A 34815-2022</t>
        </is>
      </c>
      <c r="B148" s="1" t="n">
        <v>44796.31537037037</v>
      </c>
      <c r="C148" s="1" t="n">
        <v>45936</v>
      </c>
      <c r="D148" t="inlineStr">
        <is>
          <t>ÖSTERGÖTLANDS LÄN</t>
        </is>
      </c>
      <c r="E148" t="inlineStr">
        <is>
          <t>KINDA</t>
        </is>
      </c>
      <c r="G148" t="n">
        <v>1.2</v>
      </c>
      <c r="H148" t="n">
        <v>0</v>
      </c>
      <c r="I148" t="n">
        <v>0</v>
      </c>
      <c r="J148" t="n">
        <v>0</v>
      </c>
      <c r="K148" t="n">
        <v>0</v>
      </c>
      <c r="L148" t="n">
        <v>0</v>
      </c>
      <c r="M148" t="n">
        <v>0</v>
      </c>
      <c r="N148" t="n">
        <v>0</v>
      </c>
      <c r="O148" t="n">
        <v>0</v>
      </c>
      <c r="P148" t="n">
        <v>0</v>
      </c>
      <c r="Q148" t="n">
        <v>0</v>
      </c>
      <c r="R148" s="2" t="inlineStr"/>
    </row>
    <row r="149" ht="15" customHeight="1">
      <c r="A149" t="inlineStr">
        <is>
          <t>A 35152-2024</t>
        </is>
      </c>
      <c r="B149" s="1" t="n">
        <v>45530.38082175926</v>
      </c>
      <c r="C149" s="1" t="n">
        <v>45936</v>
      </c>
      <c r="D149" t="inlineStr">
        <is>
          <t>ÖSTERGÖTLANDS LÄN</t>
        </is>
      </c>
      <c r="E149" t="inlineStr">
        <is>
          <t>KINDA</t>
        </is>
      </c>
      <c r="G149" t="n">
        <v>2.8</v>
      </c>
      <c r="H149" t="n">
        <v>0</v>
      </c>
      <c r="I149" t="n">
        <v>0</v>
      </c>
      <c r="J149" t="n">
        <v>0</v>
      </c>
      <c r="K149" t="n">
        <v>0</v>
      </c>
      <c r="L149" t="n">
        <v>0</v>
      </c>
      <c r="M149" t="n">
        <v>0</v>
      </c>
      <c r="N149" t="n">
        <v>0</v>
      </c>
      <c r="O149" t="n">
        <v>0</v>
      </c>
      <c r="P149" t="n">
        <v>0</v>
      </c>
      <c r="Q149" t="n">
        <v>0</v>
      </c>
      <c r="R149" s="2" t="inlineStr"/>
    </row>
    <row r="150" ht="15" customHeight="1">
      <c r="A150" t="inlineStr">
        <is>
          <t>A 22151-2024</t>
        </is>
      </c>
      <c r="B150" s="1" t="n">
        <v>45445.39447916667</v>
      </c>
      <c r="C150" s="1" t="n">
        <v>45936</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53493-2022</t>
        </is>
      </c>
      <c r="B151" s="1" t="n">
        <v>44874</v>
      </c>
      <c r="C151" s="1" t="n">
        <v>45936</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47056-2022</t>
        </is>
      </c>
      <c r="B152" s="1" t="n">
        <v>44852</v>
      </c>
      <c r="C152" s="1" t="n">
        <v>45936</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45936</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21148-2022</t>
        </is>
      </c>
      <c r="B154" s="1" t="n">
        <v>44704.65763888889</v>
      </c>
      <c r="C154" s="1" t="n">
        <v>45936</v>
      </c>
      <c r="D154" t="inlineStr">
        <is>
          <t>ÖSTERGÖTLANDS LÄN</t>
        </is>
      </c>
      <c r="E154" t="inlineStr">
        <is>
          <t>KINDA</t>
        </is>
      </c>
      <c r="G154" t="n">
        <v>2.9</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45936</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45936</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22687-2022</t>
        </is>
      </c>
      <c r="B157" s="1" t="n">
        <v>44714.53115740741</v>
      </c>
      <c r="C157" s="1" t="n">
        <v>45936</v>
      </c>
      <c r="D157" t="inlineStr">
        <is>
          <t>ÖSTERGÖTLANDS LÄN</t>
        </is>
      </c>
      <c r="E157" t="inlineStr">
        <is>
          <t>KINDA</t>
        </is>
      </c>
      <c r="G157" t="n">
        <v>0.4</v>
      </c>
      <c r="H157" t="n">
        <v>0</v>
      </c>
      <c r="I157" t="n">
        <v>0</v>
      </c>
      <c r="J157" t="n">
        <v>0</v>
      </c>
      <c r="K157" t="n">
        <v>0</v>
      </c>
      <c r="L157" t="n">
        <v>0</v>
      </c>
      <c r="M157" t="n">
        <v>0</v>
      </c>
      <c r="N157" t="n">
        <v>0</v>
      </c>
      <c r="O157" t="n">
        <v>0</v>
      </c>
      <c r="P157" t="n">
        <v>0</v>
      </c>
      <c r="Q157" t="n">
        <v>0</v>
      </c>
      <c r="R157" s="2" t="inlineStr"/>
    </row>
    <row r="158" ht="15" customHeight="1">
      <c r="A158" t="inlineStr">
        <is>
          <t>A 12269-2023</t>
        </is>
      </c>
      <c r="B158" s="1" t="n">
        <v>44998</v>
      </c>
      <c r="C158" s="1" t="n">
        <v>45936</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45936</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44160-2022</t>
        </is>
      </c>
      <c r="B160" s="1" t="n">
        <v>44837</v>
      </c>
      <c r="C160" s="1" t="n">
        <v>45936</v>
      </c>
      <c r="D160" t="inlineStr">
        <is>
          <t>ÖSTERGÖTLANDS LÄN</t>
        </is>
      </c>
      <c r="E160" t="inlineStr">
        <is>
          <t>KINDA</t>
        </is>
      </c>
      <c r="G160" t="n">
        <v>0.5</v>
      </c>
      <c r="H160" t="n">
        <v>0</v>
      </c>
      <c r="I160" t="n">
        <v>0</v>
      </c>
      <c r="J160" t="n">
        <v>0</v>
      </c>
      <c r="K160" t="n">
        <v>0</v>
      </c>
      <c r="L160" t="n">
        <v>0</v>
      </c>
      <c r="M160" t="n">
        <v>0</v>
      </c>
      <c r="N160" t="n">
        <v>0</v>
      </c>
      <c r="O160" t="n">
        <v>0</v>
      </c>
      <c r="P160" t="n">
        <v>0</v>
      </c>
      <c r="Q160" t="n">
        <v>0</v>
      </c>
      <c r="R160" s="2" t="inlineStr"/>
    </row>
    <row r="161" ht="15" customHeight="1">
      <c r="A161" t="inlineStr">
        <is>
          <t>A 48386-2021</t>
        </is>
      </c>
      <c r="B161" s="1" t="n">
        <v>44451.97046296296</v>
      </c>
      <c r="C161" s="1" t="n">
        <v>45936</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45936</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16607-2023</t>
        </is>
      </c>
      <c r="B163" s="1" t="n">
        <v>45030</v>
      </c>
      <c r="C163" s="1" t="n">
        <v>45936</v>
      </c>
      <c r="D163" t="inlineStr">
        <is>
          <t>ÖSTERGÖTLANDS LÄN</t>
        </is>
      </c>
      <c r="E163" t="inlineStr">
        <is>
          <t>KINDA</t>
        </is>
      </c>
      <c r="G163" t="n">
        <v>4.7</v>
      </c>
      <c r="H163" t="n">
        <v>0</v>
      </c>
      <c r="I163" t="n">
        <v>0</v>
      </c>
      <c r="J163" t="n">
        <v>0</v>
      </c>
      <c r="K163" t="n">
        <v>0</v>
      </c>
      <c r="L163" t="n">
        <v>0</v>
      </c>
      <c r="M163" t="n">
        <v>0</v>
      </c>
      <c r="N163" t="n">
        <v>0</v>
      </c>
      <c r="O163" t="n">
        <v>0</v>
      </c>
      <c r="P163" t="n">
        <v>0</v>
      </c>
      <c r="Q163" t="n">
        <v>0</v>
      </c>
      <c r="R163" s="2" t="inlineStr"/>
    </row>
    <row r="164" ht="15" customHeight="1">
      <c r="A164" t="inlineStr">
        <is>
          <t>A 16609-2023</t>
        </is>
      </c>
      <c r="B164" s="1" t="n">
        <v>45030</v>
      </c>
      <c r="C164" s="1" t="n">
        <v>45936</v>
      </c>
      <c r="D164" t="inlineStr">
        <is>
          <t>ÖSTERGÖTLANDS LÄN</t>
        </is>
      </c>
      <c r="E164" t="inlineStr">
        <is>
          <t>KINDA</t>
        </is>
      </c>
      <c r="G164" t="n">
        <v>5.5</v>
      </c>
      <c r="H164" t="n">
        <v>0</v>
      </c>
      <c r="I164" t="n">
        <v>0</v>
      </c>
      <c r="J164" t="n">
        <v>0</v>
      </c>
      <c r="K164" t="n">
        <v>0</v>
      </c>
      <c r="L164" t="n">
        <v>0</v>
      </c>
      <c r="M164" t="n">
        <v>0</v>
      </c>
      <c r="N164" t="n">
        <v>0</v>
      </c>
      <c r="O164" t="n">
        <v>0</v>
      </c>
      <c r="P164" t="n">
        <v>0</v>
      </c>
      <c r="Q164" t="n">
        <v>0</v>
      </c>
      <c r="R164" s="2" t="inlineStr"/>
    </row>
    <row r="165" ht="15" customHeight="1">
      <c r="A165" t="inlineStr">
        <is>
          <t>A 16610-2023</t>
        </is>
      </c>
      <c r="B165" s="1" t="n">
        <v>45030</v>
      </c>
      <c r="C165" s="1" t="n">
        <v>45936</v>
      </c>
      <c r="D165" t="inlineStr">
        <is>
          <t>ÖSTERGÖTLANDS LÄN</t>
        </is>
      </c>
      <c r="E165" t="inlineStr">
        <is>
          <t>KINDA</t>
        </is>
      </c>
      <c r="G165" t="n">
        <v>3.4</v>
      </c>
      <c r="H165" t="n">
        <v>0</v>
      </c>
      <c r="I165" t="n">
        <v>0</v>
      </c>
      <c r="J165" t="n">
        <v>0</v>
      </c>
      <c r="K165" t="n">
        <v>0</v>
      </c>
      <c r="L165" t="n">
        <v>0</v>
      </c>
      <c r="M165" t="n">
        <v>0</v>
      </c>
      <c r="N165" t="n">
        <v>0</v>
      </c>
      <c r="O165" t="n">
        <v>0</v>
      </c>
      <c r="P165" t="n">
        <v>0</v>
      </c>
      <c r="Q165" t="n">
        <v>0</v>
      </c>
      <c r="R165" s="2" t="inlineStr"/>
    </row>
    <row r="166" ht="15" customHeight="1">
      <c r="A166" t="inlineStr">
        <is>
          <t>A 49881-2021</t>
        </is>
      </c>
      <c r="B166" s="1" t="n">
        <v>44455.68322916667</v>
      </c>
      <c r="C166" s="1" t="n">
        <v>45936</v>
      </c>
      <c r="D166" t="inlineStr">
        <is>
          <t>ÖSTERGÖTLANDS LÄN</t>
        </is>
      </c>
      <c r="E166" t="inlineStr">
        <is>
          <t>KINDA</t>
        </is>
      </c>
      <c r="G166" t="n">
        <v>3.2</v>
      </c>
      <c r="H166" t="n">
        <v>0</v>
      </c>
      <c r="I166" t="n">
        <v>0</v>
      </c>
      <c r="J166" t="n">
        <v>0</v>
      </c>
      <c r="K166" t="n">
        <v>0</v>
      </c>
      <c r="L166" t="n">
        <v>0</v>
      </c>
      <c r="M166" t="n">
        <v>0</v>
      </c>
      <c r="N166" t="n">
        <v>0</v>
      </c>
      <c r="O166" t="n">
        <v>0</v>
      </c>
      <c r="P166" t="n">
        <v>0</v>
      </c>
      <c r="Q166" t="n">
        <v>0</v>
      </c>
      <c r="R166" s="2" t="inlineStr"/>
    </row>
    <row r="167" ht="15" customHeight="1">
      <c r="A167" t="inlineStr">
        <is>
          <t>A 9399-2023</t>
        </is>
      </c>
      <c r="B167" s="1" t="n">
        <v>44981</v>
      </c>
      <c r="C167" s="1" t="n">
        <v>45936</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39774-2023</t>
        </is>
      </c>
      <c r="B168" s="1" t="n">
        <v>45167</v>
      </c>
      <c r="C168" s="1" t="n">
        <v>45936</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37830-2023</t>
        </is>
      </c>
      <c r="B169" s="1" t="n">
        <v>45160.34069444444</v>
      </c>
      <c r="C169" s="1" t="n">
        <v>45936</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57767-2022</t>
        </is>
      </c>
      <c r="B170" s="1" t="n">
        <v>44897.60309027778</v>
      </c>
      <c r="C170" s="1" t="n">
        <v>45936</v>
      </c>
      <c r="D170" t="inlineStr">
        <is>
          <t>ÖSTERGÖTLANDS LÄN</t>
        </is>
      </c>
      <c r="E170" t="inlineStr">
        <is>
          <t>KINDA</t>
        </is>
      </c>
      <c r="G170" t="n">
        <v>6</v>
      </c>
      <c r="H170" t="n">
        <v>0</v>
      </c>
      <c r="I170" t="n">
        <v>0</v>
      </c>
      <c r="J170" t="n">
        <v>0</v>
      </c>
      <c r="K170" t="n">
        <v>0</v>
      </c>
      <c r="L170" t="n">
        <v>0</v>
      </c>
      <c r="M170" t="n">
        <v>0</v>
      </c>
      <c r="N170" t="n">
        <v>0</v>
      </c>
      <c r="O170" t="n">
        <v>0</v>
      </c>
      <c r="P170" t="n">
        <v>0</v>
      </c>
      <c r="Q170" t="n">
        <v>0</v>
      </c>
      <c r="R170" s="2" t="inlineStr"/>
    </row>
    <row r="171" ht="15" customHeight="1">
      <c r="A171" t="inlineStr">
        <is>
          <t>A 12623-2024</t>
        </is>
      </c>
      <c r="B171" s="1" t="n">
        <v>45383</v>
      </c>
      <c r="C171" s="1" t="n">
        <v>45936</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45936</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45936</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3486-2023</t>
        </is>
      </c>
      <c r="B174" s="1" t="n">
        <v>44949.73369212963</v>
      </c>
      <c r="C174" s="1" t="n">
        <v>45936</v>
      </c>
      <c r="D174" t="inlineStr">
        <is>
          <t>ÖSTERGÖTLANDS LÄN</t>
        </is>
      </c>
      <c r="E174" t="inlineStr">
        <is>
          <t>KINDA</t>
        </is>
      </c>
      <c r="F174" t="inlineStr">
        <is>
          <t>Kyrkan</t>
        </is>
      </c>
      <c r="G174" t="n">
        <v>1.4</v>
      </c>
      <c r="H174" t="n">
        <v>0</v>
      </c>
      <c r="I174" t="n">
        <v>0</v>
      </c>
      <c r="J174" t="n">
        <v>0</v>
      </c>
      <c r="K174" t="n">
        <v>0</v>
      </c>
      <c r="L174" t="n">
        <v>0</v>
      </c>
      <c r="M174" t="n">
        <v>0</v>
      </c>
      <c r="N174" t="n">
        <v>0</v>
      </c>
      <c r="O174" t="n">
        <v>0</v>
      </c>
      <c r="P174" t="n">
        <v>0</v>
      </c>
      <c r="Q174" t="n">
        <v>0</v>
      </c>
      <c r="R174" s="2" t="inlineStr"/>
    </row>
    <row r="175" ht="15" customHeight="1">
      <c r="A175" t="inlineStr">
        <is>
          <t>A 41450-2022</t>
        </is>
      </c>
      <c r="B175" s="1" t="n">
        <v>44826</v>
      </c>
      <c r="C175" s="1" t="n">
        <v>45936</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29726-2022</t>
        </is>
      </c>
      <c r="B176" s="1" t="n">
        <v>44755.45060185185</v>
      </c>
      <c r="C176" s="1" t="n">
        <v>45936</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53239-2023</t>
        </is>
      </c>
      <c r="B177" s="1" t="n">
        <v>45229</v>
      </c>
      <c r="C177" s="1" t="n">
        <v>45936</v>
      </c>
      <c r="D177" t="inlineStr">
        <is>
          <t>ÖSTERGÖTLANDS LÄN</t>
        </is>
      </c>
      <c r="E177" t="inlineStr">
        <is>
          <t>KINDA</t>
        </is>
      </c>
      <c r="F177" t="inlineStr">
        <is>
          <t>Allmännings- och besparingsskogar</t>
        </is>
      </c>
      <c r="G177" t="n">
        <v>10.3</v>
      </c>
      <c r="H177" t="n">
        <v>0</v>
      </c>
      <c r="I177" t="n">
        <v>0</v>
      </c>
      <c r="J177" t="n">
        <v>0</v>
      </c>
      <c r="K177" t="n">
        <v>0</v>
      </c>
      <c r="L177" t="n">
        <v>0</v>
      </c>
      <c r="M177" t="n">
        <v>0</v>
      </c>
      <c r="N177" t="n">
        <v>0</v>
      </c>
      <c r="O177" t="n">
        <v>0</v>
      </c>
      <c r="P177" t="n">
        <v>0</v>
      </c>
      <c r="Q177" t="n">
        <v>0</v>
      </c>
      <c r="R177" s="2" t="inlineStr"/>
    </row>
    <row r="178" ht="15" customHeight="1">
      <c r="A178" t="inlineStr">
        <is>
          <t>A 35213-2023</t>
        </is>
      </c>
      <c r="B178" s="1" t="n">
        <v>45145.63927083334</v>
      </c>
      <c r="C178" s="1" t="n">
        <v>45936</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34127-2021</t>
        </is>
      </c>
      <c r="B179" s="1" t="n">
        <v>44379</v>
      </c>
      <c r="C179" s="1" t="n">
        <v>45936</v>
      </c>
      <c r="D179" t="inlineStr">
        <is>
          <t>ÖSTERGÖTLANDS LÄN</t>
        </is>
      </c>
      <c r="E179" t="inlineStr">
        <is>
          <t>KINDA</t>
        </is>
      </c>
      <c r="G179" t="n">
        <v>1.1</v>
      </c>
      <c r="H179" t="n">
        <v>0</v>
      </c>
      <c r="I179" t="n">
        <v>0</v>
      </c>
      <c r="J179" t="n">
        <v>0</v>
      </c>
      <c r="K179" t="n">
        <v>0</v>
      </c>
      <c r="L179" t="n">
        <v>0</v>
      </c>
      <c r="M179" t="n">
        <v>0</v>
      </c>
      <c r="N179" t="n">
        <v>0</v>
      </c>
      <c r="O179" t="n">
        <v>0</v>
      </c>
      <c r="P179" t="n">
        <v>0</v>
      </c>
      <c r="Q179" t="n">
        <v>0</v>
      </c>
      <c r="R179" s="2" t="inlineStr"/>
    </row>
    <row r="180" ht="15" customHeight="1">
      <c r="A180" t="inlineStr">
        <is>
          <t>A 10758-2022</t>
        </is>
      </c>
      <c r="B180" s="1" t="n">
        <v>44627</v>
      </c>
      <c r="C180" s="1" t="n">
        <v>45936</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28291-2023</t>
        </is>
      </c>
      <c r="B181" s="1" t="n">
        <v>45098</v>
      </c>
      <c r="C181" s="1" t="n">
        <v>45936</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24067-2022</t>
        </is>
      </c>
      <c r="B182" s="1" t="n">
        <v>44725.33693287037</v>
      </c>
      <c r="C182" s="1" t="n">
        <v>45936</v>
      </c>
      <c r="D182" t="inlineStr">
        <is>
          <t>ÖSTERGÖTLANDS LÄN</t>
        </is>
      </c>
      <c r="E182" t="inlineStr">
        <is>
          <t>KINDA</t>
        </is>
      </c>
      <c r="G182" t="n">
        <v>1.4</v>
      </c>
      <c r="H182" t="n">
        <v>0</v>
      </c>
      <c r="I182" t="n">
        <v>0</v>
      </c>
      <c r="J182" t="n">
        <v>0</v>
      </c>
      <c r="K182" t="n">
        <v>0</v>
      </c>
      <c r="L182" t="n">
        <v>0</v>
      </c>
      <c r="M182" t="n">
        <v>0</v>
      </c>
      <c r="N182" t="n">
        <v>0</v>
      </c>
      <c r="O182" t="n">
        <v>0</v>
      </c>
      <c r="P182" t="n">
        <v>0</v>
      </c>
      <c r="Q182" t="n">
        <v>0</v>
      </c>
      <c r="R182" s="2" t="inlineStr"/>
    </row>
    <row r="183" ht="15" customHeight="1">
      <c r="A183" t="inlineStr">
        <is>
          <t>A 1739-2024</t>
        </is>
      </c>
      <c r="B183" s="1" t="n">
        <v>45307.44446759259</v>
      </c>
      <c r="C183" s="1" t="n">
        <v>45936</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1880-2025</t>
        </is>
      </c>
      <c r="B184" s="1" t="n">
        <v>45671.62322916667</v>
      </c>
      <c r="C184" s="1" t="n">
        <v>45936</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52662-2021</t>
        </is>
      </c>
      <c r="B185" s="1" t="n">
        <v>44466.67340277778</v>
      </c>
      <c r="C185" s="1" t="n">
        <v>45936</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52663-2021</t>
        </is>
      </c>
      <c r="B186" s="1" t="n">
        <v>44466.67462962963</v>
      </c>
      <c r="C186" s="1" t="n">
        <v>45936</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45355.45898148148</v>
      </c>
      <c r="C187" s="1" t="n">
        <v>45936</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43688-2023</t>
        </is>
      </c>
      <c r="B188" s="1" t="n">
        <v>45187</v>
      </c>
      <c r="C188" s="1" t="n">
        <v>45936</v>
      </c>
      <c r="D188" t="inlineStr">
        <is>
          <t>ÖSTERGÖTLANDS LÄN</t>
        </is>
      </c>
      <c r="E188" t="inlineStr">
        <is>
          <t>KINDA</t>
        </is>
      </c>
      <c r="F188" t="inlineStr">
        <is>
          <t>Övriga Aktiebolag</t>
        </is>
      </c>
      <c r="G188" t="n">
        <v>1.5</v>
      </c>
      <c r="H188" t="n">
        <v>0</v>
      </c>
      <c r="I188" t="n">
        <v>0</v>
      </c>
      <c r="J188" t="n">
        <v>0</v>
      </c>
      <c r="K188" t="n">
        <v>0</v>
      </c>
      <c r="L188" t="n">
        <v>0</v>
      </c>
      <c r="M188" t="n">
        <v>0</v>
      </c>
      <c r="N188" t="n">
        <v>0</v>
      </c>
      <c r="O188" t="n">
        <v>0</v>
      </c>
      <c r="P188" t="n">
        <v>0</v>
      </c>
      <c r="Q188" t="n">
        <v>0</v>
      </c>
      <c r="R188" s="2" t="inlineStr"/>
    </row>
    <row r="189" ht="15" customHeight="1">
      <c r="A189" t="inlineStr">
        <is>
          <t>A 46757-2022</t>
        </is>
      </c>
      <c r="B189" s="1" t="n">
        <v>44851</v>
      </c>
      <c r="C189" s="1" t="n">
        <v>45936</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46262-2021</t>
        </is>
      </c>
      <c r="B190" s="1" t="n">
        <v>44442.55604166666</v>
      </c>
      <c r="C190" s="1" t="n">
        <v>45936</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15271-2021</t>
        </is>
      </c>
      <c r="B191" s="1" t="n">
        <v>44284.57011574074</v>
      </c>
      <c r="C191" s="1" t="n">
        <v>45936</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43760-2025</t>
        </is>
      </c>
      <c r="B192" s="1" t="n">
        <v>45912.47875</v>
      </c>
      <c r="C192" s="1" t="n">
        <v>45936</v>
      </c>
      <c r="D192" t="inlineStr">
        <is>
          <t>ÖSTERGÖTLANDS LÄN</t>
        </is>
      </c>
      <c r="E192" t="inlineStr">
        <is>
          <t>KINDA</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24844-2024</t>
        </is>
      </c>
      <c r="B193" s="1" t="n">
        <v>45461.42116898148</v>
      </c>
      <c r="C193" s="1" t="n">
        <v>45936</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44278-2022</t>
        </is>
      </c>
      <c r="B194" s="1" t="n">
        <v>44839.58741898148</v>
      </c>
      <c r="C194" s="1" t="n">
        <v>45936</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8590-2024</t>
        </is>
      </c>
      <c r="B195" s="1" t="n">
        <v>45352</v>
      </c>
      <c r="C195" s="1" t="n">
        <v>45936</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3988-2025</t>
        </is>
      </c>
      <c r="B196" s="1" t="n">
        <v>45684.55570601852</v>
      </c>
      <c r="C196" s="1" t="n">
        <v>45936</v>
      </c>
      <c r="D196" t="inlineStr">
        <is>
          <t>ÖSTERGÖTLANDS LÄN</t>
        </is>
      </c>
      <c r="E196" t="inlineStr">
        <is>
          <t>KINDA</t>
        </is>
      </c>
      <c r="G196" t="n">
        <v>2.7</v>
      </c>
      <c r="H196" t="n">
        <v>0</v>
      </c>
      <c r="I196" t="n">
        <v>0</v>
      </c>
      <c r="J196" t="n">
        <v>0</v>
      </c>
      <c r="K196" t="n">
        <v>0</v>
      </c>
      <c r="L196" t="n">
        <v>0</v>
      </c>
      <c r="M196" t="n">
        <v>0</v>
      </c>
      <c r="N196" t="n">
        <v>0</v>
      </c>
      <c r="O196" t="n">
        <v>0</v>
      </c>
      <c r="P196" t="n">
        <v>0</v>
      </c>
      <c r="Q196" t="n">
        <v>0</v>
      </c>
      <c r="R196" s="2" t="inlineStr"/>
    </row>
    <row r="197" ht="15" customHeight="1">
      <c r="A197" t="inlineStr">
        <is>
          <t>A 46704-2024</t>
        </is>
      </c>
      <c r="B197" s="1" t="n">
        <v>45583.44207175926</v>
      </c>
      <c r="C197" s="1" t="n">
        <v>45936</v>
      </c>
      <c r="D197" t="inlineStr">
        <is>
          <t>ÖSTERGÖTLANDS LÄN</t>
        </is>
      </c>
      <c r="E197" t="inlineStr">
        <is>
          <t>KINDA</t>
        </is>
      </c>
      <c r="G197" t="n">
        <v>1.7</v>
      </c>
      <c r="H197" t="n">
        <v>0</v>
      </c>
      <c r="I197" t="n">
        <v>0</v>
      </c>
      <c r="J197" t="n">
        <v>0</v>
      </c>
      <c r="K197" t="n">
        <v>0</v>
      </c>
      <c r="L197" t="n">
        <v>0</v>
      </c>
      <c r="M197" t="n">
        <v>0</v>
      </c>
      <c r="N197" t="n">
        <v>0</v>
      </c>
      <c r="O197" t="n">
        <v>0</v>
      </c>
      <c r="P197" t="n">
        <v>0</v>
      </c>
      <c r="Q197" t="n">
        <v>0</v>
      </c>
      <c r="R197" s="2" t="inlineStr"/>
    </row>
    <row r="198" ht="15" customHeight="1">
      <c r="A198" t="inlineStr">
        <is>
          <t>A 35588-2024</t>
        </is>
      </c>
      <c r="B198" s="1" t="n">
        <v>45531.64934027778</v>
      </c>
      <c r="C198" s="1" t="n">
        <v>45936</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61987-2023</t>
        </is>
      </c>
      <c r="B199" s="1" t="n">
        <v>45266.61387731481</v>
      </c>
      <c r="C199" s="1" t="n">
        <v>45936</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21716-2024</t>
        </is>
      </c>
      <c r="B200" s="1" t="n">
        <v>45442.48741898148</v>
      </c>
      <c r="C200" s="1" t="n">
        <v>45936</v>
      </c>
      <c r="D200" t="inlineStr">
        <is>
          <t>ÖSTERGÖTLANDS LÄN</t>
        </is>
      </c>
      <c r="E200" t="inlineStr">
        <is>
          <t>KINDA</t>
        </is>
      </c>
      <c r="G200" t="n">
        <v>0.2</v>
      </c>
      <c r="H200" t="n">
        <v>0</v>
      </c>
      <c r="I200" t="n">
        <v>0</v>
      </c>
      <c r="J200" t="n">
        <v>0</v>
      </c>
      <c r="K200" t="n">
        <v>0</v>
      </c>
      <c r="L200" t="n">
        <v>0</v>
      </c>
      <c r="M200" t="n">
        <v>0</v>
      </c>
      <c r="N200" t="n">
        <v>0</v>
      </c>
      <c r="O200" t="n">
        <v>0</v>
      </c>
      <c r="P200" t="n">
        <v>0</v>
      </c>
      <c r="Q200" t="n">
        <v>0</v>
      </c>
      <c r="R200" s="2" t="inlineStr"/>
    </row>
    <row r="201" ht="15" customHeight="1">
      <c r="A201" t="inlineStr">
        <is>
          <t>A 61955-2022</t>
        </is>
      </c>
      <c r="B201" s="1" t="n">
        <v>44918.3396875</v>
      </c>
      <c r="C201" s="1" t="n">
        <v>45936</v>
      </c>
      <c r="D201" t="inlineStr">
        <is>
          <t>ÖSTERGÖTLANDS LÄN</t>
        </is>
      </c>
      <c r="E201" t="inlineStr">
        <is>
          <t>KINDA</t>
        </is>
      </c>
      <c r="G201" t="n">
        <v>6.4</v>
      </c>
      <c r="H201" t="n">
        <v>0</v>
      </c>
      <c r="I201" t="n">
        <v>0</v>
      </c>
      <c r="J201" t="n">
        <v>0</v>
      </c>
      <c r="K201" t="n">
        <v>0</v>
      </c>
      <c r="L201" t="n">
        <v>0</v>
      </c>
      <c r="M201" t="n">
        <v>0</v>
      </c>
      <c r="N201" t="n">
        <v>0</v>
      </c>
      <c r="O201" t="n">
        <v>0</v>
      </c>
      <c r="P201" t="n">
        <v>0</v>
      </c>
      <c r="Q201" t="n">
        <v>0</v>
      </c>
      <c r="R201" s="2" t="inlineStr"/>
    </row>
    <row r="202" ht="15" customHeight="1">
      <c r="A202" t="inlineStr">
        <is>
          <t>A 61960-2022</t>
        </is>
      </c>
      <c r="B202" s="1" t="n">
        <v>44918.34784722222</v>
      </c>
      <c r="C202" s="1" t="n">
        <v>45936</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61961-2022</t>
        </is>
      </c>
      <c r="B203" s="1" t="n">
        <v>44918</v>
      </c>
      <c r="C203" s="1" t="n">
        <v>45936</v>
      </c>
      <c r="D203" t="inlineStr">
        <is>
          <t>ÖSTERGÖTLANDS LÄN</t>
        </is>
      </c>
      <c r="E203" t="inlineStr">
        <is>
          <t>KINDA</t>
        </is>
      </c>
      <c r="G203" t="n">
        <v>0.9</v>
      </c>
      <c r="H203" t="n">
        <v>0</v>
      </c>
      <c r="I203" t="n">
        <v>0</v>
      </c>
      <c r="J203" t="n">
        <v>0</v>
      </c>
      <c r="K203" t="n">
        <v>0</v>
      </c>
      <c r="L203" t="n">
        <v>0</v>
      </c>
      <c r="M203" t="n">
        <v>0</v>
      </c>
      <c r="N203" t="n">
        <v>0</v>
      </c>
      <c r="O203" t="n">
        <v>0</v>
      </c>
      <c r="P203" t="n">
        <v>0</v>
      </c>
      <c r="Q203" t="n">
        <v>0</v>
      </c>
      <c r="R203" s="2" t="inlineStr"/>
    </row>
    <row r="204" ht="15" customHeight="1">
      <c r="A204" t="inlineStr">
        <is>
          <t>A 43432-2023</t>
        </is>
      </c>
      <c r="B204" s="1" t="n">
        <v>45184.40974537037</v>
      </c>
      <c r="C204" s="1" t="n">
        <v>45936</v>
      </c>
      <c r="D204" t="inlineStr">
        <is>
          <t>ÖSTERGÖTLANDS LÄN</t>
        </is>
      </c>
      <c r="E204" t="inlineStr">
        <is>
          <t>KINDA</t>
        </is>
      </c>
      <c r="G204" t="n">
        <v>2.8</v>
      </c>
      <c r="H204" t="n">
        <v>0</v>
      </c>
      <c r="I204" t="n">
        <v>0</v>
      </c>
      <c r="J204" t="n">
        <v>0</v>
      </c>
      <c r="K204" t="n">
        <v>0</v>
      </c>
      <c r="L204" t="n">
        <v>0</v>
      </c>
      <c r="M204" t="n">
        <v>0</v>
      </c>
      <c r="N204" t="n">
        <v>0</v>
      </c>
      <c r="O204" t="n">
        <v>0</v>
      </c>
      <c r="P204" t="n">
        <v>0</v>
      </c>
      <c r="Q204" t="n">
        <v>0</v>
      </c>
      <c r="R204" s="2" t="inlineStr"/>
    </row>
    <row r="205" ht="15" customHeight="1">
      <c r="A205" t="inlineStr">
        <is>
          <t>A 44303-2023</t>
        </is>
      </c>
      <c r="B205" s="1" t="n">
        <v>45188.64319444444</v>
      </c>
      <c r="C205" s="1" t="n">
        <v>45936</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12128-2021</t>
        </is>
      </c>
      <c r="B206" s="1" t="n">
        <v>44266</v>
      </c>
      <c r="C206" s="1" t="n">
        <v>45936</v>
      </c>
      <c r="D206" t="inlineStr">
        <is>
          <t>ÖSTERGÖTLANDS LÄN</t>
        </is>
      </c>
      <c r="E206" t="inlineStr">
        <is>
          <t>KINDA</t>
        </is>
      </c>
      <c r="G206" t="n">
        <v>4.1</v>
      </c>
      <c r="H206" t="n">
        <v>0</v>
      </c>
      <c r="I206" t="n">
        <v>0</v>
      </c>
      <c r="J206" t="n">
        <v>0</v>
      </c>
      <c r="K206" t="n">
        <v>0</v>
      </c>
      <c r="L206" t="n">
        <v>0</v>
      </c>
      <c r="M206" t="n">
        <v>0</v>
      </c>
      <c r="N206" t="n">
        <v>0</v>
      </c>
      <c r="O206" t="n">
        <v>0</v>
      </c>
      <c r="P206" t="n">
        <v>0</v>
      </c>
      <c r="Q206" t="n">
        <v>0</v>
      </c>
      <c r="R206" s="2" t="inlineStr"/>
    </row>
    <row r="207" ht="15" customHeight="1">
      <c r="A207" t="inlineStr">
        <is>
          <t>A 12948-2023</t>
        </is>
      </c>
      <c r="B207" s="1" t="n">
        <v>45001.72512731481</v>
      </c>
      <c r="C207" s="1" t="n">
        <v>45936</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44203-2021</t>
        </is>
      </c>
      <c r="B208" s="1" t="n">
        <v>44434</v>
      </c>
      <c r="C208" s="1" t="n">
        <v>45936</v>
      </c>
      <c r="D208" t="inlineStr">
        <is>
          <t>ÖSTERGÖTLANDS LÄN</t>
        </is>
      </c>
      <c r="E208" t="inlineStr">
        <is>
          <t>KINDA</t>
        </is>
      </c>
      <c r="F208" t="inlineStr">
        <is>
          <t>Allmännings- och besparingsskogar</t>
        </is>
      </c>
      <c r="G208" t="n">
        <v>12.7</v>
      </c>
      <c r="H208" t="n">
        <v>0</v>
      </c>
      <c r="I208" t="n">
        <v>0</v>
      </c>
      <c r="J208" t="n">
        <v>0</v>
      </c>
      <c r="K208" t="n">
        <v>0</v>
      </c>
      <c r="L208" t="n">
        <v>0</v>
      </c>
      <c r="M208" t="n">
        <v>0</v>
      </c>
      <c r="N208" t="n">
        <v>0</v>
      </c>
      <c r="O208" t="n">
        <v>0</v>
      </c>
      <c r="P208" t="n">
        <v>0</v>
      </c>
      <c r="Q208" t="n">
        <v>0</v>
      </c>
      <c r="R208" s="2" t="inlineStr"/>
    </row>
    <row r="209" ht="15" customHeight="1">
      <c r="A209" t="inlineStr">
        <is>
          <t>A 9568-2023</t>
        </is>
      </c>
      <c r="B209" s="1" t="n">
        <v>44982.5037962963</v>
      </c>
      <c r="C209" s="1" t="n">
        <v>45936</v>
      </c>
      <c r="D209" t="inlineStr">
        <is>
          <t>ÖSTERGÖTLANDS LÄN</t>
        </is>
      </c>
      <c r="E209" t="inlineStr">
        <is>
          <t>KINDA</t>
        </is>
      </c>
      <c r="G209" t="n">
        <v>3</v>
      </c>
      <c r="H209" t="n">
        <v>0</v>
      </c>
      <c r="I209" t="n">
        <v>0</v>
      </c>
      <c r="J209" t="n">
        <v>0</v>
      </c>
      <c r="K209" t="n">
        <v>0</v>
      </c>
      <c r="L209" t="n">
        <v>0</v>
      </c>
      <c r="M209" t="n">
        <v>0</v>
      </c>
      <c r="N209" t="n">
        <v>0</v>
      </c>
      <c r="O209" t="n">
        <v>0</v>
      </c>
      <c r="P209" t="n">
        <v>0</v>
      </c>
      <c r="Q209" t="n">
        <v>0</v>
      </c>
      <c r="R209" s="2" t="inlineStr"/>
    </row>
    <row r="210" ht="15" customHeight="1">
      <c r="A210" t="inlineStr">
        <is>
          <t>A 1157-2024</t>
        </is>
      </c>
      <c r="B210" s="1" t="n">
        <v>45302.51340277777</v>
      </c>
      <c r="C210" s="1" t="n">
        <v>45936</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48448-2021</t>
        </is>
      </c>
      <c r="B211" s="1" t="n">
        <v>44452</v>
      </c>
      <c r="C211" s="1" t="n">
        <v>45936</v>
      </c>
      <c r="D211" t="inlineStr">
        <is>
          <t>ÖSTERGÖTLANDS LÄN</t>
        </is>
      </c>
      <c r="E211" t="inlineStr">
        <is>
          <t>KINDA</t>
        </is>
      </c>
      <c r="F211" t="inlineStr">
        <is>
          <t>Övriga Aktiebolag</t>
        </is>
      </c>
      <c r="G211" t="n">
        <v>4.1</v>
      </c>
      <c r="H211" t="n">
        <v>0</v>
      </c>
      <c r="I211" t="n">
        <v>0</v>
      </c>
      <c r="J211" t="n">
        <v>0</v>
      </c>
      <c r="K211" t="n">
        <v>0</v>
      </c>
      <c r="L211" t="n">
        <v>0</v>
      </c>
      <c r="M211" t="n">
        <v>0</v>
      </c>
      <c r="N211" t="n">
        <v>0</v>
      </c>
      <c r="O211" t="n">
        <v>0</v>
      </c>
      <c r="P211" t="n">
        <v>0</v>
      </c>
      <c r="Q211" t="n">
        <v>0</v>
      </c>
      <c r="R211" s="2" t="inlineStr"/>
    </row>
    <row r="212" ht="15" customHeight="1">
      <c r="A212" t="inlineStr">
        <is>
          <t>A 5665-2023</t>
        </is>
      </c>
      <c r="B212" s="1" t="n">
        <v>44960.64481481481</v>
      </c>
      <c r="C212" s="1" t="n">
        <v>45936</v>
      </c>
      <c r="D212" t="inlineStr">
        <is>
          <t>ÖSTERGÖTLANDS LÄN</t>
        </is>
      </c>
      <c r="E212" t="inlineStr">
        <is>
          <t>KINDA</t>
        </is>
      </c>
      <c r="G212" t="n">
        <v>6.7</v>
      </c>
      <c r="H212" t="n">
        <v>0</v>
      </c>
      <c r="I212" t="n">
        <v>0</v>
      </c>
      <c r="J212" t="n">
        <v>0</v>
      </c>
      <c r="K212" t="n">
        <v>0</v>
      </c>
      <c r="L212" t="n">
        <v>0</v>
      </c>
      <c r="M212" t="n">
        <v>0</v>
      </c>
      <c r="N212" t="n">
        <v>0</v>
      </c>
      <c r="O212" t="n">
        <v>0</v>
      </c>
      <c r="P212" t="n">
        <v>0</v>
      </c>
      <c r="Q212" t="n">
        <v>0</v>
      </c>
      <c r="R212" s="2" t="inlineStr"/>
    </row>
    <row r="213" ht="15" customHeight="1">
      <c r="A213" t="inlineStr">
        <is>
          <t>A 61523-2021</t>
        </is>
      </c>
      <c r="B213" s="1" t="n">
        <v>44501</v>
      </c>
      <c r="C213" s="1" t="n">
        <v>45936</v>
      </c>
      <c r="D213" t="inlineStr">
        <is>
          <t>ÖSTERGÖTLANDS LÄN</t>
        </is>
      </c>
      <c r="E213" t="inlineStr">
        <is>
          <t>KINDA</t>
        </is>
      </c>
      <c r="G213" t="n">
        <v>2.5</v>
      </c>
      <c r="H213" t="n">
        <v>0</v>
      </c>
      <c r="I213" t="n">
        <v>0</v>
      </c>
      <c r="J213" t="n">
        <v>0</v>
      </c>
      <c r="K213" t="n">
        <v>0</v>
      </c>
      <c r="L213" t="n">
        <v>0</v>
      </c>
      <c r="M213" t="n">
        <v>0</v>
      </c>
      <c r="N213" t="n">
        <v>0</v>
      </c>
      <c r="O213" t="n">
        <v>0</v>
      </c>
      <c r="P213" t="n">
        <v>0</v>
      </c>
      <c r="Q213" t="n">
        <v>0</v>
      </c>
      <c r="R213" s="2" t="inlineStr"/>
    </row>
    <row r="214" ht="15" customHeight="1">
      <c r="A214" t="inlineStr">
        <is>
          <t>A 19161-2025</t>
        </is>
      </c>
      <c r="B214" s="1" t="n">
        <v>45769.37105324074</v>
      </c>
      <c r="C214" s="1" t="n">
        <v>45936</v>
      </c>
      <c r="D214" t="inlineStr">
        <is>
          <t>ÖSTERGÖTLANDS LÄN</t>
        </is>
      </c>
      <c r="E214" t="inlineStr">
        <is>
          <t>KINDA</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32764-2023</t>
        </is>
      </c>
      <c r="B215" s="1" t="n">
        <v>45123.60599537037</v>
      </c>
      <c r="C215" s="1" t="n">
        <v>45936</v>
      </c>
      <c r="D215" t="inlineStr">
        <is>
          <t>ÖSTERGÖTLANDS LÄN</t>
        </is>
      </c>
      <c r="E215" t="inlineStr">
        <is>
          <t>KINDA</t>
        </is>
      </c>
      <c r="G215" t="n">
        <v>3.7</v>
      </c>
      <c r="H215" t="n">
        <v>0</v>
      </c>
      <c r="I215" t="n">
        <v>0</v>
      </c>
      <c r="J215" t="n">
        <v>0</v>
      </c>
      <c r="K215" t="n">
        <v>0</v>
      </c>
      <c r="L215" t="n">
        <v>0</v>
      </c>
      <c r="M215" t="n">
        <v>0</v>
      </c>
      <c r="N215" t="n">
        <v>0</v>
      </c>
      <c r="O215" t="n">
        <v>0</v>
      </c>
      <c r="P215" t="n">
        <v>0</v>
      </c>
      <c r="Q215" t="n">
        <v>0</v>
      </c>
      <c r="R215" s="2" t="inlineStr"/>
    </row>
    <row r="216" ht="15" customHeight="1">
      <c r="A216" t="inlineStr">
        <is>
          <t>A 14943-2024</t>
        </is>
      </c>
      <c r="B216" s="1" t="n">
        <v>45398.69101851852</v>
      </c>
      <c r="C216" s="1" t="n">
        <v>45936</v>
      </c>
      <c r="D216" t="inlineStr">
        <is>
          <t>ÖSTERGÖTLANDS LÄN</t>
        </is>
      </c>
      <c r="E216" t="inlineStr">
        <is>
          <t>KINDA</t>
        </is>
      </c>
      <c r="G216" t="n">
        <v>2.3</v>
      </c>
      <c r="H216" t="n">
        <v>0</v>
      </c>
      <c r="I216" t="n">
        <v>0</v>
      </c>
      <c r="J216" t="n">
        <v>0</v>
      </c>
      <c r="K216" t="n">
        <v>0</v>
      </c>
      <c r="L216" t="n">
        <v>0</v>
      </c>
      <c r="M216" t="n">
        <v>0</v>
      </c>
      <c r="N216" t="n">
        <v>0</v>
      </c>
      <c r="O216" t="n">
        <v>0</v>
      </c>
      <c r="P216" t="n">
        <v>0</v>
      </c>
      <c r="Q216" t="n">
        <v>0</v>
      </c>
      <c r="R216" s="2" t="inlineStr"/>
    </row>
    <row r="217" ht="15" customHeight="1">
      <c r="A217" t="inlineStr">
        <is>
          <t>A 20343-2025</t>
        </is>
      </c>
      <c r="B217" s="1" t="n">
        <v>45775</v>
      </c>
      <c r="C217" s="1" t="n">
        <v>45936</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34882-2023</t>
        </is>
      </c>
      <c r="B218" s="1" t="n">
        <v>45141</v>
      </c>
      <c r="C218" s="1" t="n">
        <v>45936</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54484-2022</t>
        </is>
      </c>
      <c r="B219" s="1" t="n">
        <v>44882</v>
      </c>
      <c r="C219" s="1" t="n">
        <v>45936</v>
      </c>
      <c r="D219" t="inlineStr">
        <is>
          <t>ÖSTERGÖTLANDS LÄN</t>
        </is>
      </c>
      <c r="E219" t="inlineStr">
        <is>
          <t>KINDA</t>
        </is>
      </c>
      <c r="G219" t="n">
        <v>0.3</v>
      </c>
      <c r="H219" t="n">
        <v>0</v>
      </c>
      <c r="I219" t="n">
        <v>0</v>
      </c>
      <c r="J219" t="n">
        <v>0</v>
      </c>
      <c r="K219" t="n">
        <v>0</v>
      </c>
      <c r="L219" t="n">
        <v>0</v>
      </c>
      <c r="M219" t="n">
        <v>0</v>
      </c>
      <c r="N219" t="n">
        <v>0</v>
      </c>
      <c r="O219" t="n">
        <v>0</v>
      </c>
      <c r="P219" t="n">
        <v>0</v>
      </c>
      <c r="Q219" t="n">
        <v>0</v>
      </c>
      <c r="R219" s="2" t="inlineStr"/>
    </row>
    <row r="220" ht="15" customHeight="1">
      <c r="A220" t="inlineStr">
        <is>
          <t>A 12622-2024</t>
        </is>
      </c>
      <c r="B220" s="1" t="n">
        <v>45383</v>
      </c>
      <c r="C220" s="1" t="n">
        <v>45936</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15568-2023</t>
        </is>
      </c>
      <c r="B221" s="1" t="n">
        <v>45020.61570601852</v>
      </c>
      <c r="C221" s="1" t="n">
        <v>45936</v>
      </c>
      <c r="D221" t="inlineStr">
        <is>
          <t>ÖSTERGÖTLANDS LÄN</t>
        </is>
      </c>
      <c r="E221" t="inlineStr">
        <is>
          <t>KINDA</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51830-2024</t>
        </is>
      </c>
      <c r="B222" s="1" t="n">
        <v>45607.50465277778</v>
      </c>
      <c r="C222" s="1" t="n">
        <v>45936</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37014-2025</t>
        </is>
      </c>
      <c r="B223" s="1" t="n">
        <v>45874</v>
      </c>
      <c r="C223" s="1" t="n">
        <v>45936</v>
      </c>
      <c r="D223" t="inlineStr">
        <is>
          <t>ÖSTERGÖTLANDS LÄN</t>
        </is>
      </c>
      <c r="E223" t="inlineStr">
        <is>
          <t>KINDA</t>
        </is>
      </c>
      <c r="G223" t="n">
        <v>2.7</v>
      </c>
      <c r="H223" t="n">
        <v>0</v>
      </c>
      <c r="I223" t="n">
        <v>0</v>
      </c>
      <c r="J223" t="n">
        <v>0</v>
      </c>
      <c r="K223" t="n">
        <v>0</v>
      </c>
      <c r="L223" t="n">
        <v>0</v>
      </c>
      <c r="M223" t="n">
        <v>0</v>
      </c>
      <c r="N223" t="n">
        <v>0</v>
      </c>
      <c r="O223" t="n">
        <v>0</v>
      </c>
      <c r="P223" t="n">
        <v>0</v>
      </c>
      <c r="Q223" t="n">
        <v>0</v>
      </c>
      <c r="R223" s="2" t="inlineStr"/>
    </row>
    <row r="224" ht="15" customHeight="1">
      <c r="A224" t="inlineStr">
        <is>
          <t>A 650-2023</t>
        </is>
      </c>
      <c r="B224" s="1" t="n">
        <v>44930.64962962963</v>
      </c>
      <c r="C224" s="1" t="n">
        <v>45936</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37069-2025</t>
        </is>
      </c>
      <c r="B225" s="1" t="n">
        <v>45875</v>
      </c>
      <c r="C225" s="1" t="n">
        <v>45936</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27841-2024</t>
        </is>
      </c>
      <c r="B226" s="1" t="n">
        <v>45475.62894675926</v>
      </c>
      <c r="C226" s="1" t="n">
        <v>45936</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12706-2023</t>
        </is>
      </c>
      <c r="B227" s="1" t="n">
        <v>45000.65476851852</v>
      </c>
      <c r="C227" s="1" t="n">
        <v>45936</v>
      </c>
      <c r="D227" t="inlineStr">
        <is>
          <t>ÖSTERGÖTLANDS LÄN</t>
        </is>
      </c>
      <c r="E227" t="inlineStr">
        <is>
          <t>KINDA</t>
        </is>
      </c>
      <c r="G227" t="n">
        <v>0.5</v>
      </c>
      <c r="H227" t="n">
        <v>0</v>
      </c>
      <c r="I227" t="n">
        <v>0</v>
      </c>
      <c r="J227" t="n">
        <v>0</v>
      </c>
      <c r="K227" t="n">
        <v>0</v>
      </c>
      <c r="L227" t="n">
        <v>0</v>
      </c>
      <c r="M227" t="n">
        <v>0</v>
      </c>
      <c r="N227" t="n">
        <v>0</v>
      </c>
      <c r="O227" t="n">
        <v>0</v>
      </c>
      <c r="P227" t="n">
        <v>0</v>
      </c>
      <c r="Q227" t="n">
        <v>0</v>
      </c>
      <c r="R227" s="2" t="inlineStr"/>
    </row>
    <row r="228" ht="15" customHeight="1">
      <c r="A228" t="inlineStr">
        <is>
          <t>A 44633-2025</t>
        </is>
      </c>
      <c r="B228" s="1" t="n">
        <v>45917</v>
      </c>
      <c r="C228" s="1" t="n">
        <v>45936</v>
      </c>
      <c r="D228" t="inlineStr">
        <is>
          <t>ÖSTERGÖTLANDS LÄN</t>
        </is>
      </c>
      <c r="E228" t="inlineStr">
        <is>
          <t>KINDA</t>
        </is>
      </c>
      <c r="G228" t="n">
        <v>5.1</v>
      </c>
      <c r="H228" t="n">
        <v>0</v>
      </c>
      <c r="I228" t="n">
        <v>0</v>
      </c>
      <c r="J228" t="n">
        <v>0</v>
      </c>
      <c r="K228" t="n">
        <v>0</v>
      </c>
      <c r="L228" t="n">
        <v>0</v>
      </c>
      <c r="M228" t="n">
        <v>0</v>
      </c>
      <c r="N228" t="n">
        <v>0</v>
      </c>
      <c r="O228" t="n">
        <v>0</v>
      </c>
      <c r="P228" t="n">
        <v>0</v>
      </c>
      <c r="Q228" t="n">
        <v>0</v>
      </c>
      <c r="R228" s="2" t="inlineStr"/>
    </row>
    <row r="229" ht="15" customHeight="1">
      <c r="A229" t="inlineStr">
        <is>
          <t>A 35789-2022</t>
        </is>
      </c>
      <c r="B229" s="1" t="n">
        <v>44801</v>
      </c>
      <c r="C229" s="1" t="n">
        <v>45936</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57342-2023</t>
        </is>
      </c>
      <c r="B230" s="1" t="n">
        <v>45245.67082175926</v>
      </c>
      <c r="C230" s="1" t="n">
        <v>45936</v>
      </c>
      <c r="D230" t="inlineStr">
        <is>
          <t>ÖSTERGÖTLANDS LÄN</t>
        </is>
      </c>
      <c r="E230" t="inlineStr">
        <is>
          <t>KINDA</t>
        </is>
      </c>
      <c r="G230" t="n">
        <v>2.7</v>
      </c>
      <c r="H230" t="n">
        <v>0</v>
      </c>
      <c r="I230" t="n">
        <v>0</v>
      </c>
      <c r="J230" t="n">
        <v>0</v>
      </c>
      <c r="K230" t="n">
        <v>0</v>
      </c>
      <c r="L230" t="n">
        <v>0</v>
      </c>
      <c r="M230" t="n">
        <v>0</v>
      </c>
      <c r="N230" t="n">
        <v>0</v>
      </c>
      <c r="O230" t="n">
        <v>0</v>
      </c>
      <c r="P230" t="n">
        <v>0</v>
      </c>
      <c r="Q230" t="n">
        <v>0</v>
      </c>
      <c r="R230" s="2" t="inlineStr"/>
    </row>
    <row r="231" ht="15" customHeight="1">
      <c r="A231" t="inlineStr">
        <is>
          <t>A 24367-2023</t>
        </is>
      </c>
      <c r="B231" s="1" t="n">
        <v>45082.34861111111</v>
      </c>
      <c r="C231" s="1" t="n">
        <v>45936</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32781-2021</t>
        </is>
      </c>
      <c r="B232" s="1" t="n">
        <v>44375</v>
      </c>
      <c r="C232" s="1" t="n">
        <v>45936</v>
      </c>
      <c r="D232" t="inlineStr">
        <is>
          <t>ÖSTERGÖTLANDS LÄN</t>
        </is>
      </c>
      <c r="E232" t="inlineStr">
        <is>
          <t>KINDA</t>
        </is>
      </c>
      <c r="G232" t="n">
        <v>2</v>
      </c>
      <c r="H232" t="n">
        <v>0</v>
      </c>
      <c r="I232" t="n">
        <v>0</v>
      </c>
      <c r="J232" t="n">
        <v>0</v>
      </c>
      <c r="K232" t="n">
        <v>0</v>
      </c>
      <c r="L232" t="n">
        <v>0</v>
      </c>
      <c r="M232" t="n">
        <v>0</v>
      </c>
      <c r="N232" t="n">
        <v>0</v>
      </c>
      <c r="O232" t="n">
        <v>0</v>
      </c>
      <c r="P232" t="n">
        <v>0</v>
      </c>
      <c r="Q232" t="n">
        <v>0</v>
      </c>
      <c r="R232" s="2" t="inlineStr"/>
      <c r="U232">
        <f>HYPERLINK("https://klasma.github.io/Logging_0513/knärot/A 32781-2021 karta knärot.png", "A 32781-2021")</f>
        <v/>
      </c>
      <c r="V232">
        <f>HYPERLINK("https://klasma.github.io/Logging_0513/klagomål/A 32781-2021 FSC-klagomål.docx", "A 32781-2021")</f>
        <v/>
      </c>
      <c r="W232">
        <f>HYPERLINK("https://klasma.github.io/Logging_0513/klagomålsmail/A 32781-2021 FSC-klagomål mail.docx", "A 32781-2021")</f>
        <v/>
      </c>
      <c r="X232">
        <f>HYPERLINK("https://klasma.github.io/Logging_0513/tillsyn/A 32781-2021 tillsynsbegäran.docx", "A 32781-2021")</f>
        <v/>
      </c>
      <c r="Y232">
        <f>HYPERLINK("https://klasma.github.io/Logging_0513/tillsynsmail/A 32781-2021 tillsynsbegäran mail.docx", "A 32781-2021")</f>
        <v/>
      </c>
    </row>
    <row r="233" ht="15" customHeight="1">
      <c r="A233" t="inlineStr">
        <is>
          <t>A 35947-2023</t>
        </is>
      </c>
      <c r="B233" s="1" t="n">
        <v>45148.70342592592</v>
      </c>
      <c r="C233" s="1" t="n">
        <v>45936</v>
      </c>
      <c r="D233" t="inlineStr">
        <is>
          <t>ÖSTERGÖTLANDS LÄN</t>
        </is>
      </c>
      <c r="E233" t="inlineStr">
        <is>
          <t>KINDA</t>
        </is>
      </c>
      <c r="G233" t="n">
        <v>0.4</v>
      </c>
      <c r="H233" t="n">
        <v>0</v>
      </c>
      <c r="I233" t="n">
        <v>0</v>
      </c>
      <c r="J233" t="n">
        <v>0</v>
      </c>
      <c r="K233" t="n">
        <v>0</v>
      </c>
      <c r="L233" t="n">
        <v>0</v>
      </c>
      <c r="M233" t="n">
        <v>0</v>
      </c>
      <c r="N233" t="n">
        <v>0</v>
      </c>
      <c r="O233" t="n">
        <v>0</v>
      </c>
      <c r="P233" t="n">
        <v>0</v>
      </c>
      <c r="Q233" t="n">
        <v>0</v>
      </c>
      <c r="R233" s="2" t="inlineStr"/>
    </row>
    <row r="234" ht="15" customHeight="1">
      <c r="A234" t="inlineStr">
        <is>
          <t>A 34730-2022</t>
        </is>
      </c>
      <c r="B234" s="1" t="n">
        <v>44795</v>
      </c>
      <c r="C234" s="1" t="n">
        <v>45936</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35672-2022</t>
        </is>
      </c>
      <c r="B235" s="1" t="n">
        <v>44799.59876157407</v>
      </c>
      <c r="C235" s="1" t="n">
        <v>45936</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37068-2024</t>
        </is>
      </c>
      <c r="B236" s="1" t="n">
        <v>45539.46399305556</v>
      </c>
      <c r="C236" s="1" t="n">
        <v>45936</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767-2025</t>
        </is>
      </c>
      <c r="B237" s="1" t="n">
        <v>45665.45471064815</v>
      </c>
      <c r="C237" s="1" t="n">
        <v>45936</v>
      </c>
      <c r="D237" t="inlineStr">
        <is>
          <t>ÖSTERGÖTLANDS LÄN</t>
        </is>
      </c>
      <c r="E237" t="inlineStr">
        <is>
          <t>KINDA</t>
        </is>
      </c>
      <c r="G237" t="n">
        <v>5</v>
      </c>
      <c r="H237" t="n">
        <v>0</v>
      </c>
      <c r="I237" t="n">
        <v>0</v>
      </c>
      <c r="J237" t="n">
        <v>0</v>
      </c>
      <c r="K237" t="n">
        <v>0</v>
      </c>
      <c r="L237" t="n">
        <v>0</v>
      </c>
      <c r="M237" t="n">
        <v>0</v>
      </c>
      <c r="N237" t="n">
        <v>0</v>
      </c>
      <c r="O237" t="n">
        <v>0</v>
      </c>
      <c r="P237" t="n">
        <v>0</v>
      </c>
      <c r="Q237" t="n">
        <v>0</v>
      </c>
      <c r="R237" s="2" t="inlineStr"/>
    </row>
    <row r="238" ht="15" customHeight="1">
      <c r="A238" t="inlineStr">
        <is>
          <t>A 19296-2023</t>
        </is>
      </c>
      <c r="B238" s="1" t="n">
        <v>45048</v>
      </c>
      <c r="C238" s="1" t="n">
        <v>45936</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29717-2023</t>
        </is>
      </c>
      <c r="B239" s="1" t="n">
        <v>45107.42807870371</v>
      </c>
      <c r="C239" s="1" t="n">
        <v>45936</v>
      </c>
      <c r="D239" t="inlineStr">
        <is>
          <t>ÖSTERGÖTLANDS LÄN</t>
        </is>
      </c>
      <c r="E239" t="inlineStr">
        <is>
          <t>KINDA</t>
        </is>
      </c>
      <c r="G239" t="n">
        <v>2.9</v>
      </c>
      <c r="H239" t="n">
        <v>0</v>
      </c>
      <c r="I239" t="n">
        <v>0</v>
      </c>
      <c r="J239" t="n">
        <v>0</v>
      </c>
      <c r="K239" t="n">
        <v>0</v>
      </c>
      <c r="L239" t="n">
        <v>0</v>
      </c>
      <c r="M239" t="n">
        <v>0</v>
      </c>
      <c r="N239" t="n">
        <v>0</v>
      </c>
      <c r="O239" t="n">
        <v>0</v>
      </c>
      <c r="P239" t="n">
        <v>0</v>
      </c>
      <c r="Q239" t="n">
        <v>0</v>
      </c>
      <c r="R239" s="2" t="inlineStr"/>
    </row>
    <row r="240" ht="15" customHeight="1">
      <c r="A240" t="inlineStr">
        <is>
          <t>A 27959-2024</t>
        </is>
      </c>
      <c r="B240" s="1" t="n">
        <v>45476.34908564815</v>
      </c>
      <c r="C240" s="1" t="n">
        <v>45936</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35104-2023</t>
        </is>
      </c>
      <c r="B241" s="1" t="n">
        <v>45145</v>
      </c>
      <c r="C241" s="1" t="n">
        <v>45936</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45674-2025</t>
        </is>
      </c>
      <c r="B242" s="1" t="n">
        <v>45923.3625</v>
      </c>
      <c r="C242" s="1" t="n">
        <v>45936</v>
      </c>
      <c r="D242" t="inlineStr">
        <is>
          <t>ÖSTERGÖTLANDS LÄN</t>
        </is>
      </c>
      <c r="E242" t="inlineStr">
        <is>
          <t>KINDA</t>
        </is>
      </c>
      <c r="G242" t="n">
        <v>2.5</v>
      </c>
      <c r="H242" t="n">
        <v>0</v>
      </c>
      <c r="I242" t="n">
        <v>0</v>
      </c>
      <c r="J242" t="n">
        <v>0</v>
      </c>
      <c r="K242" t="n">
        <v>0</v>
      </c>
      <c r="L242" t="n">
        <v>0</v>
      </c>
      <c r="M242" t="n">
        <v>0</v>
      </c>
      <c r="N242" t="n">
        <v>0</v>
      </c>
      <c r="O242" t="n">
        <v>0</v>
      </c>
      <c r="P242" t="n">
        <v>0</v>
      </c>
      <c r="Q242" t="n">
        <v>0</v>
      </c>
      <c r="R242" s="2" t="inlineStr"/>
    </row>
    <row r="243" ht="15" customHeight="1">
      <c r="A243" t="inlineStr">
        <is>
          <t>A 2967-2024</t>
        </is>
      </c>
      <c r="B243" s="1" t="n">
        <v>45315.66689814815</v>
      </c>
      <c r="C243" s="1" t="n">
        <v>45936</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20920-2021</t>
        </is>
      </c>
      <c r="B244" s="1" t="n">
        <v>44319</v>
      </c>
      <c r="C244" s="1" t="n">
        <v>45936</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49096-2022</t>
        </is>
      </c>
      <c r="B245" s="1" t="n">
        <v>44860</v>
      </c>
      <c r="C245" s="1" t="n">
        <v>45936</v>
      </c>
      <c r="D245" t="inlineStr">
        <is>
          <t>ÖSTERGÖTLANDS LÄN</t>
        </is>
      </c>
      <c r="E245" t="inlineStr">
        <is>
          <t>KINDA</t>
        </is>
      </c>
      <c r="G245" t="n">
        <v>5.1</v>
      </c>
      <c r="H245" t="n">
        <v>0</v>
      </c>
      <c r="I245" t="n">
        <v>0</v>
      </c>
      <c r="J245" t="n">
        <v>0</v>
      </c>
      <c r="K245" t="n">
        <v>0</v>
      </c>
      <c r="L245" t="n">
        <v>0</v>
      </c>
      <c r="M245" t="n">
        <v>0</v>
      </c>
      <c r="N245" t="n">
        <v>0</v>
      </c>
      <c r="O245" t="n">
        <v>0</v>
      </c>
      <c r="P245" t="n">
        <v>0</v>
      </c>
      <c r="Q245" t="n">
        <v>0</v>
      </c>
      <c r="R245" s="2" t="inlineStr"/>
    </row>
    <row r="246" ht="15" customHeight="1">
      <c r="A246" t="inlineStr">
        <is>
          <t>A 28043-2024</t>
        </is>
      </c>
      <c r="B246" s="1" t="n">
        <v>45476.50915509259</v>
      </c>
      <c r="C246" s="1" t="n">
        <v>45936</v>
      </c>
      <c r="D246" t="inlineStr">
        <is>
          <t>ÖSTERGÖTLANDS LÄN</t>
        </is>
      </c>
      <c r="E246" t="inlineStr">
        <is>
          <t>KINDA</t>
        </is>
      </c>
      <c r="G246" t="n">
        <v>1.9</v>
      </c>
      <c r="H246" t="n">
        <v>0</v>
      </c>
      <c r="I246" t="n">
        <v>0</v>
      </c>
      <c r="J246" t="n">
        <v>0</v>
      </c>
      <c r="K246" t="n">
        <v>0</v>
      </c>
      <c r="L246" t="n">
        <v>0</v>
      </c>
      <c r="M246" t="n">
        <v>0</v>
      </c>
      <c r="N246" t="n">
        <v>0</v>
      </c>
      <c r="O246" t="n">
        <v>0</v>
      </c>
      <c r="P246" t="n">
        <v>0</v>
      </c>
      <c r="Q246" t="n">
        <v>0</v>
      </c>
      <c r="R246" s="2" t="inlineStr"/>
    </row>
    <row r="247" ht="15" customHeight="1">
      <c r="A247" t="inlineStr">
        <is>
          <t>A 2644-2025</t>
        </is>
      </c>
      <c r="B247" s="1" t="n">
        <v>45676</v>
      </c>
      <c r="C247" s="1" t="n">
        <v>45936</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2645-2025</t>
        </is>
      </c>
      <c r="B248" s="1" t="n">
        <v>45676.49690972222</v>
      </c>
      <c r="C248" s="1" t="n">
        <v>45936</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16611-2023</t>
        </is>
      </c>
      <c r="B249" s="1" t="n">
        <v>45030</v>
      </c>
      <c r="C249" s="1" t="n">
        <v>45936</v>
      </c>
      <c r="D249" t="inlineStr">
        <is>
          <t>ÖSTERGÖTLANDS LÄN</t>
        </is>
      </c>
      <c r="E249" t="inlineStr">
        <is>
          <t>KINDA</t>
        </is>
      </c>
      <c r="G249" t="n">
        <v>4.3</v>
      </c>
      <c r="H249" t="n">
        <v>0</v>
      </c>
      <c r="I249" t="n">
        <v>0</v>
      </c>
      <c r="J249" t="n">
        <v>0</v>
      </c>
      <c r="K249" t="n">
        <v>0</v>
      </c>
      <c r="L249" t="n">
        <v>0</v>
      </c>
      <c r="M249" t="n">
        <v>0</v>
      </c>
      <c r="N249" t="n">
        <v>0</v>
      </c>
      <c r="O249" t="n">
        <v>0</v>
      </c>
      <c r="P249" t="n">
        <v>0</v>
      </c>
      <c r="Q249" t="n">
        <v>0</v>
      </c>
      <c r="R249" s="2" t="inlineStr"/>
    </row>
    <row r="250" ht="15" customHeight="1">
      <c r="A250" t="inlineStr">
        <is>
          <t>A 33043-2024</t>
        </is>
      </c>
      <c r="B250" s="1" t="n">
        <v>45517.61326388889</v>
      </c>
      <c r="C250" s="1" t="n">
        <v>45936</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13968-2023</t>
        </is>
      </c>
      <c r="B251" s="1" t="n">
        <v>45008</v>
      </c>
      <c r="C251" s="1" t="n">
        <v>45936</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13661-2021</t>
        </is>
      </c>
      <c r="B252" s="1" t="n">
        <v>44274</v>
      </c>
      <c r="C252" s="1" t="n">
        <v>45936</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43475-2023</t>
        </is>
      </c>
      <c r="B253" s="1" t="n">
        <v>45184.43140046296</v>
      </c>
      <c r="C253" s="1" t="n">
        <v>45936</v>
      </c>
      <c r="D253" t="inlineStr">
        <is>
          <t>ÖSTERGÖTLANDS LÄN</t>
        </is>
      </c>
      <c r="E253" t="inlineStr">
        <is>
          <t>KINDA</t>
        </is>
      </c>
      <c r="G253" t="n">
        <v>6.1</v>
      </c>
      <c r="H253" t="n">
        <v>0</v>
      </c>
      <c r="I253" t="n">
        <v>0</v>
      </c>
      <c r="J253" t="n">
        <v>0</v>
      </c>
      <c r="K253" t="n">
        <v>0</v>
      </c>
      <c r="L253" t="n">
        <v>0</v>
      </c>
      <c r="M253" t="n">
        <v>0</v>
      </c>
      <c r="N253" t="n">
        <v>0</v>
      </c>
      <c r="O253" t="n">
        <v>0</v>
      </c>
      <c r="P253" t="n">
        <v>0</v>
      </c>
      <c r="Q253" t="n">
        <v>0</v>
      </c>
      <c r="R253" s="2" t="inlineStr"/>
    </row>
    <row r="254" ht="15" customHeight="1">
      <c r="A254" t="inlineStr">
        <is>
          <t>A 8064-2024</t>
        </is>
      </c>
      <c r="B254" s="1" t="n">
        <v>45351.40523148148</v>
      </c>
      <c r="C254" s="1" t="n">
        <v>45936</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54345-2022</t>
        </is>
      </c>
      <c r="B255" s="1" t="n">
        <v>44882</v>
      </c>
      <c r="C255" s="1" t="n">
        <v>45936</v>
      </c>
      <c r="D255" t="inlineStr">
        <is>
          <t>ÖSTERGÖTLANDS LÄN</t>
        </is>
      </c>
      <c r="E255" t="inlineStr">
        <is>
          <t>KINDA</t>
        </is>
      </c>
      <c r="G255" t="n">
        <v>0.1</v>
      </c>
      <c r="H255" t="n">
        <v>0</v>
      </c>
      <c r="I255" t="n">
        <v>0</v>
      </c>
      <c r="J255" t="n">
        <v>0</v>
      </c>
      <c r="K255" t="n">
        <v>0</v>
      </c>
      <c r="L255" t="n">
        <v>0</v>
      </c>
      <c r="M255" t="n">
        <v>0</v>
      </c>
      <c r="N255" t="n">
        <v>0</v>
      </c>
      <c r="O255" t="n">
        <v>0</v>
      </c>
      <c r="P255" t="n">
        <v>0</v>
      </c>
      <c r="Q255" t="n">
        <v>0</v>
      </c>
      <c r="R255" s="2" t="inlineStr"/>
    </row>
    <row r="256" ht="15" customHeight="1">
      <c r="A256" t="inlineStr">
        <is>
          <t>A 13673-2024</t>
        </is>
      </c>
      <c r="B256" s="1" t="n">
        <v>45390.53634259259</v>
      </c>
      <c r="C256" s="1" t="n">
        <v>45936</v>
      </c>
      <c r="D256" t="inlineStr">
        <is>
          <t>ÖSTERGÖTLANDS LÄN</t>
        </is>
      </c>
      <c r="E256" t="inlineStr">
        <is>
          <t>KINDA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58875-2023</t>
        </is>
      </c>
      <c r="B257" s="1" t="n">
        <v>45250</v>
      </c>
      <c r="C257" s="1" t="n">
        <v>45936</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5903-2025</t>
        </is>
      </c>
      <c r="B258" s="1" t="n">
        <v>45695.40054398148</v>
      </c>
      <c r="C258" s="1" t="n">
        <v>45936</v>
      </c>
      <c r="D258" t="inlineStr">
        <is>
          <t>ÖSTERGÖTLANDS LÄN</t>
        </is>
      </c>
      <c r="E258" t="inlineStr">
        <is>
          <t>KINDA</t>
        </is>
      </c>
      <c r="G258" t="n">
        <v>1.2</v>
      </c>
      <c r="H258" t="n">
        <v>0</v>
      </c>
      <c r="I258" t="n">
        <v>0</v>
      </c>
      <c r="J258" t="n">
        <v>0</v>
      </c>
      <c r="K258" t="n">
        <v>0</v>
      </c>
      <c r="L258" t="n">
        <v>0</v>
      </c>
      <c r="M258" t="n">
        <v>0</v>
      </c>
      <c r="N258" t="n">
        <v>0</v>
      </c>
      <c r="O258" t="n">
        <v>0</v>
      </c>
      <c r="P258" t="n">
        <v>0</v>
      </c>
      <c r="Q258" t="n">
        <v>0</v>
      </c>
      <c r="R258" s="2" t="inlineStr"/>
    </row>
    <row r="259" ht="15" customHeight="1">
      <c r="A259" t="inlineStr">
        <is>
          <t>A 12997-2024</t>
        </is>
      </c>
      <c r="B259" s="1" t="n">
        <v>45385.56655092593</v>
      </c>
      <c r="C259" s="1" t="n">
        <v>45936</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59384-2020</t>
        </is>
      </c>
      <c r="B260" s="1" t="n">
        <v>44148.37969907407</v>
      </c>
      <c r="C260" s="1" t="n">
        <v>45936</v>
      </c>
      <c r="D260" t="inlineStr">
        <is>
          <t>ÖSTERGÖTLANDS LÄN</t>
        </is>
      </c>
      <c r="E260" t="inlineStr">
        <is>
          <t>KINDA</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1876-2025</t>
        </is>
      </c>
      <c r="B261" s="1" t="n">
        <v>45671.62127314815</v>
      </c>
      <c r="C261" s="1" t="n">
        <v>45936</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5371-2024</t>
        </is>
      </c>
      <c r="B262" s="1" t="n">
        <v>45331</v>
      </c>
      <c r="C262" s="1" t="n">
        <v>45936</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22703-2023</t>
        </is>
      </c>
      <c r="B263" s="1" t="n">
        <v>45071</v>
      </c>
      <c r="C263" s="1" t="n">
        <v>45936</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28316-2023</t>
        </is>
      </c>
      <c r="B264" s="1" t="n">
        <v>45098</v>
      </c>
      <c r="C264" s="1" t="n">
        <v>45936</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4001-2025</t>
        </is>
      </c>
      <c r="B265" s="1" t="n">
        <v>45684.57195601852</v>
      </c>
      <c r="C265" s="1" t="n">
        <v>45936</v>
      </c>
      <c r="D265" t="inlineStr">
        <is>
          <t>ÖSTERGÖTLANDS LÄN</t>
        </is>
      </c>
      <c r="E265" t="inlineStr">
        <is>
          <t>KINDA</t>
        </is>
      </c>
      <c r="G265" t="n">
        <v>10.7</v>
      </c>
      <c r="H265" t="n">
        <v>0</v>
      </c>
      <c r="I265" t="n">
        <v>0</v>
      </c>
      <c r="J265" t="n">
        <v>0</v>
      </c>
      <c r="K265" t="n">
        <v>0</v>
      </c>
      <c r="L265" t="n">
        <v>0</v>
      </c>
      <c r="M265" t="n">
        <v>0</v>
      </c>
      <c r="N265" t="n">
        <v>0</v>
      </c>
      <c r="O265" t="n">
        <v>0</v>
      </c>
      <c r="P265" t="n">
        <v>0</v>
      </c>
      <c r="Q265" t="n">
        <v>0</v>
      </c>
      <c r="R265" s="2" t="inlineStr"/>
    </row>
    <row r="266" ht="15" customHeight="1">
      <c r="A266" t="inlineStr">
        <is>
          <t>A 37670-2025</t>
        </is>
      </c>
      <c r="B266" s="1" t="n">
        <v>45880</v>
      </c>
      <c r="C266" s="1" t="n">
        <v>45936</v>
      </c>
      <c r="D266" t="inlineStr">
        <is>
          <t>ÖSTERGÖTLANDS LÄN</t>
        </is>
      </c>
      <c r="E266" t="inlineStr">
        <is>
          <t>KINDA</t>
        </is>
      </c>
      <c r="G266" t="n">
        <v>1.2</v>
      </c>
      <c r="H266" t="n">
        <v>0</v>
      </c>
      <c r="I266" t="n">
        <v>0</v>
      </c>
      <c r="J266" t="n">
        <v>0</v>
      </c>
      <c r="K266" t="n">
        <v>0</v>
      </c>
      <c r="L266" t="n">
        <v>0</v>
      </c>
      <c r="M266" t="n">
        <v>0</v>
      </c>
      <c r="N266" t="n">
        <v>0</v>
      </c>
      <c r="O266" t="n">
        <v>0</v>
      </c>
      <c r="P266" t="n">
        <v>0</v>
      </c>
      <c r="Q266" t="n">
        <v>0</v>
      </c>
      <c r="R266" s="2" t="inlineStr"/>
    </row>
    <row r="267" ht="15" customHeight="1">
      <c r="A267" t="inlineStr">
        <is>
          <t>A 58737-2024</t>
        </is>
      </c>
      <c r="B267" s="1" t="n">
        <v>45635.68952546296</v>
      </c>
      <c r="C267" s="1" t="n">
        <v>45936</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34860-2024</t>
        </is>
      </c>
      <c r="B268" s="1" t="n">
        <v>45527.33670138889</v>
      </c>
      <c r="C268" s="1" t="n">
        <v>45936</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34871-2024</t>
        </is>
      </c>
      <c r="B269" s="1" t="n">
        <v>45527.3469212963</v>
      </c>
      <c r="C269" s="1" t="n">
        <v>45936</v>
      </c>
      <c r="D269" t="inlineStr">
        <is>
          <t>ÖSTERGÖTLANDS LÄN</t>
        </is>
      </c>
      <c r="E269" t="inlineStr">
        <is>
          <t>KINDA</t>
        </is>
      </c>
      <c r="G269" t="n">
        <v>0.8</v>
      </c>
      <c r="H269" t="n">
        <v>0</v>
      </c>
      <c r="I269" t="n">
        <v>0</v>
      </c>
      <c r="J269" t="n">
        <v>0</v>
      </c>
      <c r="K269" t="n">
        <v>0</v>
      </c>
      <c r="L269" t="n">
        <v>0</v>
      </c>
      <c r="M269" t="n">
        <v>0</v>
      </c>
      <c r="N269" t="n">
        <v>0</v>
      </c>
      <c r="O269" t="n">
        <v>0</v>
      </c>
      <c r="P269" t="n">
        <v>0</v>
      </c>
      <c r="Q269" t="n">
        <v>0</v>
      </c>
      <c r="R269" s="2" t="inlineStr"/>
    </row>
    <row r="270" ht="15" customHeight="1">
      <c r="A270" t="inlineStr">
        <is>
          <t>A 43074-2024</t>
        </is>
      </c>
      <c r="B270" s="1" t="n">
        <v>45567.48658564815</v>
      </c>
      <c r="C270" s="1" t="n">
        <v>45936</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17666-2025</t>
        </is>
      </c>
      <c r="B271" s="1" t="n">
        <v>45758.36324074074</v>
      </c>
      <c r="C271" s="1" t="n">
        <v>45936</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38138-2025</t>
        </is>
      </c>
      <c r="B272" s="1" t="n">
        <v>45882.57047453704</v>
      </c>
      <c r="C272" s="1" t="n">
        <v>45936</v>
      </c>
      <c r="D272" t="inlineStr">
        <is>
          <t>ÖSTERGÖTLANDS LÄN</t>
        </is>
      </c>
      <c r="E272" t="inlineStr">
        <is>
          <t>KINDA</t>
        </is>
      </c>
      <c r="G272" t="n">
        <v>2.2</v>
      </c>
      <c r="H272" t="n">
        <v>0</v>
      </c>
      <c r="I272" t="n">
        <v>0</v>
      </c>
      <c r="J272" t="n">
        <v>0</v>
      </c>
      <c r="K272" t="n">
        <v>0</v>
      </c>
      <c r="L272" t="n">
        <v>0</v>
      </c>
      <c r="M272" t="n">
        <v>0</v>
      </c>
      <c r="N272" t="n">
        <v>0</v>
      </c>
      <c r="O272" t="n">
        <v>0</v>
      </c>
      <c r="P272" t="n">
        <v>0</v>
      </c>
      <c r="Q272" t="n">
        <v>0</v>
      </c>
      <c r="R272" s="2" t="inlineStr"/>
    </row>
    <row r="273" ht="15" customHeight="1">
      <c r="A273" t="inlineStr">
        <is>
          <t>A 24075-2025</t>
        </is>
      </c>
      <c r="B273" s="1" t="n">
        <v>45796.54888888889</v>
      </c>
      <c r="C273" s="1" t="n">
        <v>45936</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36005-2024</t>
        </is>
      </c>
      <c r="B274" s="1" t="n">
        <v>45533.54908564815</v>
      </c>
      <c r="C274" s="1" t="n">
        <v>45936</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26917-2024</t>
        </is>
      </c>
      <c r="B275" s="1" t="n">
        <v>45470.88379629629</v>
      </c>
      <c r="C275" s="1" t="n">
        <v>45936</v>
      </c>
      <c r="D275" t="inlineStr">
        <is>
          <t>ÖSTERGÖTLANDS LÄN</t>
        </is>
      </c>
      <c r="E275" t="inlineStr">
        <is>
          <t>KINDA</t>
        </is>
      </c>
      <c r="G275" t="n">
        <v>6.4</v>
      </c>
      <c r="H275" t="n">
        <v>0</v>
      </c>
      <c r="I275" t="n">
        <v>0</v>
      </c>
      <c r="J275" t="n">
        <v>0</v>
      </c>
      <c r="K275" t="n">
        <v>0</v>
      </c>
      <c r="L275" t="n">
        <v>0</v>
      </c>
      <c r="M275" t="n">
        <v>0</v>
      </c>
      <c r="N275" t="n">
        <v>0</v>
      </c>
      <c r="O275" t="n">
        <v>0</v>
      </c>
      <c r="P275" t="n">
        <v>0</v>
      </c>
      <c r="Q275" t="n">
        <v>0</v>
      </c>
      <c r="R275" s="2" t="inlineStr"/>
    </row>
    <row r="276" ht="15" customHeight="1">
      <c r="A276" t="inlineStr">
        <is>
          <t>A 45119-2023</t>
        </is>
      </c>
      <c r="B276" s="1" t="n">
        <v>45187</v>
      </c>
      <c r="C276" s="1" t="n">
        <v>45936</v>
      </c>
      <c r="D276" t="inlineStr">
        <is>
          <t>ÖSTERGÖTLANDS LÄN</t>
        </is>
      </c>
      <c r="E276" t="inlineStr">
        <is>
          <t>KINDA</t>
        </is>
      </c>
      <c r="G276" t="n">
        <v>2.3</v>
      </c>
      <c r="H276" t="n">
        <v>0</v>
      </c>
      <c r="I276" t="n">
        <v>0</v>
      </c>
      <c r="J276" t="n">
        <v>0</v>
      </c>
      <c r="K276" t="n">
        <v>0</v>
      </c>
      <c r="L276" t="n">
        <v>0</v>
      </c>
      <c r="M276" t="n">
        <v>0</v>
      </c>
      <c r="N276" t="n">
        <v>0</v>
      </c>
      <c r="O276" t="n">
        <v>0</v>
      </c>
      <c r="P276" t="n">
        <v>0</v>
      </c>
      <c r="Q276" t="n">
        <v>0</v>
      </c>
      <c r="R276" s="2" t="inlineStr"/>
    </row>
    <row r="277" ht="15" customHeight="1">
      <c r="A277" t="inlineStr">
        <is>
          <t>A 48386-2024</t>
        </is>
      </c>
      <c r="B277" s="1" t="n">
        <v>45590.59793981481</v>
      </c>
      <c r="C277" s="1" t="n">
        <v>45936</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38142-2025</t>
        </is>
      </c>
      <c r="B278" s="1" t="n">
        <v>45882.58010416666</v>
      </c>
      <c r="C278" s="1" t="n">
        <v>45936</v>
      </c>
      <c r="D278" t="inlineStr">
        <is>
          <t>ÖSTERGÖTLANDS LÄN</t>
        </is>
      </c>
      <c r="E278" t="inlineStr">
        <is>
          <t>KINDA</t>
        </is>
      </c>
      <c r="G278" t="n">
        <v>4.2</v>
      </c>
      <c r="H278" t="n">
        <v>0</v>
      </c>
      <c r="I278" t="n">
        <v>0</v>
      </c>
      <c r="J278" t="n">
        <v>0</v>
      </c>
      <c r="K278" t="n">
        <v>0</v>
      </c>
      <c r="L278" t="n">
        <v>0</v>
      </c>
      <c r="M278" t="n">
        <v>0</v>
      </c>
      <c r="N278" t="n">
        <v>0</v>
      </c>
      <c r="O278" t="n">
        <v>0</v>
      </c>
      <c r="P278" t="n">
        <v>0</v>
      </c>
      <c r="Q278" t="n">
        <v>0</v>
      </c>
      <c r="R278" s="2" t="inlineStr"/>
    </row>
    <row r="279" ht="15" customHeight="1">
      <c r="A279" t="inlineStr">
        <is>
          <t>A 5197-2022</t>
        </is>
      </c>
      <c r="B279" s="1" t="n">
        <v>44594</v>
      </c>
      <c r="C279" s="1" t="n">
        <v>45936</v>
      </c>
      <c r="D279" t="inlineStr">
        <is>
          <t>ÖSTERGÖTLANDS LÄN</t>
        </is>
      </c>
      <c r="E279" t="inlineStr">
        <is>
          <t>KINDA</t>
        </is>
      </c>
      <c r="G279" t="n">
        <v>2.6</v>
      </c>
      <c r="H279" t="n">
        <v>0</v>
      </c>
      <c r="I279" t="n">
        <v>0</v>
      </c>
      <c r="J279" t="n">
        <v>0</v>
      </c>
      <c r="K279" t="n">
        <v>0</v>
      </c>
      <c r="L279" t="n">
        <v>0</v>
      </c>
      <c r="M279" t="n">
        <v>0</v>
      </c>
      <c r="N279" t="n">
        <v>0</v>
      </c>
      <c r="O279" t="n">
        <v>0</v>
      </c>
      <c r="P279" t="n">
        <v>0</v>
      </c>
      <c r="Q279" t="n">
        <v>0</v>
      </c>
      <c r="R279" s="2" t="inlineStr"/>
    </row>
    <row r="280" ht="15" customHeight="1">
      <c r="A280" t="inlineStr">
        <is>
          <t>A 5479-2024</t>
        </is>
      </c>
      <c r="B280" s="1" t="n">
        <v>45333.84959490741</v>
      </c>
      <c r="C280" s="1" t="n">
        <v>45936</v>
      </c>
      <c r="D280" t="inlineStr">
        <is>
          <t>ÖSTERGÖTLANDS LÄN</t>
        </is>
      </c>
      <c r="E280" t="inlineStr">
        <is>
          <t>KINDA</t>
        </is>
      </c>
      <c r="G280" t="n">
        <v>0.9</v>
      </c>
      <c r="H280" t="n">
        <v>0</v>
      </c>
      <c r="I280" t="n">
        <v>0</v>
      </c>
      <c r="J280" t="n">
        <v>0</v>
      </c>
      <c r="K280" t="n">
        <v>0</v>
      </c>
      <c r="L280" t="n">
        <v>0</v>
      </c>
      <c r="M280" t="n">
        <v>0</v>
      </c>
      <c r="N280" t="n">
        <v>0</v>
      </c>
      <c r="O280" t="n">
        <v>0</v>
      </c>
      <c r="P280" t="n">
        <v>0</v>
      </c>
      <c r="Q280" t="n">
        <v>0</v>
      </c>
      <c r="R280" s="2" t="inlineStr"/>
    </row>
    <row r="281" ht="15" customHeight="1">
      <c r="A281" t="inlineStr">
        <is>
          <t>A 54246-2020</t>
        </is>
      </c>
      <c r="B281" s="1" t="n">
        <v>44124</v>
      </c>
      <c r="C281" s="1" t="n">
        <v>45936</v>
      </c>
      <c r="D281" t="inlineStr">
        <is>
          <t>ÖSTERGÖTLANDS LÄN</t>
        </is>
      </c>
      <c r="E281" t="inlineStr">
        <is>
          <t>KINDA</t>
        </is>
      </c>
      <c r="G281" t="n">
        <v>3.9</v>
      </c>
      <c r="H281" t="n">
        <v>0</v>
      </c>
      <c r="I281" t="n">
        <v>0</v>
      </c>
      <c r="J281" t="n">
        <v>0</v>
      </c>
      <c r="K281" t="n">
        <v>0</v>
      </c>
      <c r="L281" t="n">
        <v>0</v>
      </c>
      <c r="M281" t="n">
        <v>0</v>
      </c>
      <c r="N281" t="n">
        <v>0</v>
      </c>
      <c r="O281" t="n">
        <v>0</v>
      </c>
      <c r="P281" t="n">
        <v>0</v>
      </c>
      <c r="Q281" t="n">
        <v>0</v>
      </c>
      <c r="R281" s="2" t="inlineStr"/>
    </row>
    <row r="282" ht="15" customHeight="1">
      <c r="A282" t="inlineStr">
        <is>
          <t>A 49443-2021</t>
        </is>
      </c>
      <c r="B282" s="1" t="n">
        <v>44454.66972222222</v>
      </c>
      <c r="C282" s="1" t="n">
        <v>45936</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4555-2023</t>
        </is>
      </c>
      <c r="B283" s="1" t="n">
        <v>44956</v>
      </c>
      <c r="C283" s="1" t="n">
        <v>45936</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38136-2025</t>
        </is>
      </c>
      <c r="B284" s="1" t="n">
        <v>45882.56710648148</v>
      </c>
      <c r="C284" s="1" t="n">
        <v>45936</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38250-2025</t>
        </is>
      </c>
      <c r="B285" s="1" t="n">
        <v>45883.3749537037</v>
      </c>
      <c r="C285" s="1" t="n">
        <v>45936</v>
      </c>
      <c r="D285" t="inlineStr">
        <is>
          <t>ÖSTERGÖTLANDS LÄN</t>
        </is>
      </c>
      <c r="E285" t="inlineStr">
        <is>
          <t>KINDA</t>
        </is>
      </c>
      <c r="G285" t="n">
        <v>3.1</v>
      </c>
      <c r="H285" t="n">
        <v>0</v>
      </c>
      <c r="I285" t="n">
        <v>0</v>
      </c>
      <c r="J285" t="n">
        <v>0</v>
      </c>
      <c r="K285" t="n">
        <v>0</v>
      </c>
      <c r="L285" t="n">
        <v>0</v>
      </c>
      <c r="M285" t="n">
        <v>0</v>
      </c>
      <c r="N285" t="n">
        <v>0</v>
      </c>
      <c r="O285" t="n">
        <v>0</v>
      </c>
      <c r="P285" t="n">
        <v>0</v>
      </c>
      <c r="Q285" t="n">
        <v>0</v>
      </c>
      <c r="R285" s="2" t="inlineStr"/>
    </row>
    <row r="286" ht="15" customHeight="1">
      <c r="A286" t="inlineStr">
        <is>
          <t>A 24839-2024</t>
        </is>
      </c>
      <c r="B286" s="1" t="n">
        <v>45461.41216435185</v>
      </c>
      <c r="C286" s="1" t="n">
        <v>45936</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23886-2023</t>
        </is>
      </c>
      <c r="B287" s="1" t="n">
        <v>45078.5274537037</v>
      </c>
      <c r="C287" s="1" t="n">
        <v>45936</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38134-2025</t>
        </is>
      </c>
      <c r="B288" s="1" t="n">
        <v>45882.56501157407</v>
      </c>
      <c r="C288" s="1" t="n">
        <v>45936</v>
      </c>
      <c r="D288" t="inlineStr">
        <is>
          <t>ÖSTERGÖTLANDS LÄN</t>
        </is>
      </c>
      <c r="E288" t="inlineStr">
        <is>
          <t>KINDA</t>
        </is>
      </c>
      <c r="G288" t="n">
        <v>2</v>
      </c>
      <c r="H288" t="n">
        <v>0</v>
      </c>
      <c r="I288" t="n">
        <v>0</v>
      </c>
      <c r="J288" t="n">
        <v>0</v>
      </c>
      <c r="K288" t="n">
        <v>0</v>
      </c>
      <c r="L288" t="n">
        <v>0</v>
      </c>
      <c r="M288" t="n">
        <v>0</v>
      </c>
      <c r="N288" t="n">
        <v>0</v>
      </c>
      <c r="O288" t="n">
        <v>0</v>
      </c>
      <c r="P288" t="n">
        <v>0</v>
      </c>
      <c r="Q288" t="n">
        <v>0</v>
      </c>
      <c r="R288" s="2" t="inlineStr"/>
    </row>
    <row r="289" ht="15" customHeight="1">
      <c r="A289" t="inlineStr">
        <is>
          <t>A 24903-2022</t>
        </is>
      </c>
      <c r="B289" s="1" t="n">
        <v>44728.60424768519</v>
      </c>
      <c r="C289" s="1" t="n">
        <v>45936</v>
      </c>
      <c r="D289" t="inlineStr">
        <is>
          <t>ÖSTERGÖTLANDS LÄN</t>
        </is>
      </c>
      <c r="E289" t="inlineStr">
        <is>
          <t>KINDA</t>
        </is>
      </c>
      <c r="G289" t="n">
        <v>6.3</v>
      </c>
      <c r="H289" t="n">
        <v>0</v>
      </c>
      <c r="I289" t="n">
        <v>0</v>
      </c>
      <c r="J289" t="n">
        <v>0</v>
      </c>
      <c r="K289" t="n">
        <v>0</v>
      </c>
      <c r="L289" t="n">
        <v>0</v>
      </c>
      <c r="M289" t="n">
        <v>0</v>
      </c>
      <c r="N289" t="n">
        <v>0</v>
      </c>
      <c r="O289" t="n">
        <v>0</v>
      </c>
      <c r="P289" t="n">
        <v>0</v>
      </c>
      <c r="Q289" t="n">
        <v>0</v>
      </c>
      <c r="R289" s="2" t="inlineStr"/>
    </row>
    <row r="290" ht="15" customHeight="1">
      <c r="A290" t="inlineStr">
        <is>
          <t>A 21700-2023</t>
        </is>
      </c>
      <c r="B290" s="1" t="n">
        <v>45062</v>
      </c>
      <c r="C290" s="1" t="n">
        <v>45936</v>
      </c>
      <c r="D290" t="inlineStr">
        <is>
          <t>ÖSTERGÖTLANDS LÄN</t>
        </is>
      </c>
      <c r="E290" t="inlineStr">
        <is>
          <t>KINDA</t>
        </is>
      </c>
      <c r="G290" t="n">
        <v>0.6</v>
      </c>
      <c r="H290" t="n">
        <v>0</v>
      </c>
      <c r="I290" t="n">
        <v>0</v>
      </c>
      <c r="J290" t="n">
        <v>0</v>
      </c>
      <c r="K290" t="n">
        <v>0</v>
      </c>
      <c r="L290" t="n">
        <v>0</v>
      </c>
      <c r="M290" t="n">
        <v>0</v>
      </c>
      <c r="N290" t="n">
        <v>0</v>
      </c>
      <c r="O290" t="n">
        <v>0</v>
      </c>
      <c r="P290" t="n">
        <v>0</v>
      </c>
      <c r="Q290" t="n">
        <v>0</v>
      </c>
      <c r="R290" s="2" t="inlineStr"/>
    </row>
    <row r="291" ht="15" customHeight="1">
      <c r="A291" t="inlineStr">
        <is>
          <t>A 24748-2023</t>
        </is>
      </c>
      <c r="B291" s="1" t="n">
        <v>45078</v>
      </c>
      <c r="C291" s="1" t="n">
        <v>45936</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38128-2025</t>
        </is>
      </c>
      <c r="B292" s="1" t="n">
        <v>45882.55935185185</v>
      </c>
      <c r="C292" s="1" t="n">
        <v>45936</v>
      </c>
      <c r="D292" t="inlineStr">
        <is>
          <t>ÖSTERGÖTLANDS LÄN</t>
        </is>
      </c>
      <c r="E292" t="inlineStr">
        <is>
          <t>KINDA</t>
        </is>
      </c>
      <c r="G292" t="n">
        <v>9.1</v>
      </c>
      <c r="H292" t="n">
        <v>0</v>
      </c>
      <c r="I292" t="n">
        <v>0</v>
      </c>
      <c r="J292" t="n">
        <v>0</v>
      </c>
      <c r="K292" t="n">
        <v>0</v>
      </c>
      <c r="L292" t="n">
        <v>0</v>
      </c>
      <c r="M292" t="n">
        <v>0</v>
      </c>
      <c r="N292" t="n">
        <v>0</v>
      </c>
      <c r="O292" t="n">
        <v>0</v>
      </c>
      <c r="P292" t="n">
        <v>0</v>
      </c>
      <c r="Q292" t="n">
        <v>0</v>
      </c>
      <c r="R292" s="2" t="inlineStr"/>
    </row>
    <row r="293" ht="15" customHeight="1">
      <c r="A293" t="inlineStr">
        <is>
          <t>A 38131-2025</t>
        </is>
      </c>
      <c r="B293" s="1" t="n">
        <v>45882.56136574074</v>
      </c>
      <c r="C293" s="1" t="n">
        <v>45936</v>
      </c>
      <c r="D293" t="inlineStr">
        <is>
          <t>ÖSTERGÖTLANDS LÄN</t>
        </is>
      </c>
      <c r="E293" t="inlineStr">
        <is>
          <t>KINDA</t>
        </is>
      </c>
      <c r="G293" t="n">
        <v>3.9</v>
      </c>
      <c r="H293" t="n">
        <v>0</v>
      </c>
      <c r="I293" t="n">
        <v>0</v>
      </c>
      <c r="J293" t="n">
        <v>0</v>
      </c>
      <c r="K293" t="n">
        <v>0</v>
      </c>
      <c r="L293" t="n">
        <v>0</v>
      </c>
      <c r="M293" t="n">
        <v>0</v>
      </c>
      <c r="N293" t="n">
        <v>0</v>
      </c>
      <c r="O293" t="n">
        <v>0</v>
      </c>
      <c r="P293" t="n">
        <v>0</v>
      </c>
      <c r="Q293" t="n">
        <v>0</v>
      </c>
      <c r="R293" s="2" t="inlineStr"/>
    </row>
    <row r="294" ht="15" customHeight="1">
      <c r="A294" t="inlineStr">
        <is>
          <t>A 38258-2025</t>
        </is>
      </c>
      <c r="B294" s="1" t="n">
        <v>45883.38797453704</v>
      </c>
      <c r="C294" s="1" t="n">
        <v>45936</v>
      </c>
      <c r="D294" t="inlineStr">
        <is>
          <t>ÖSTERGÖTLANDS LÄN</t>
        </is>
      </c>
      <c r="E294" t="inlineStr">
        <is>
          <t>KINDA</t>
        </is>
      </c>
      <c r="G294" t="n">
        <v>1</v>
      </c>
      <c r="H294" t="n">
        <v>0</v>
      </c>
      <c r="I294" t="n">
        <v>0</v>
      </c>
      <c r="J294" t="n">
        <v>0</v>
      </c>
      <c r="K294" t="n">
        <v>0</v>
      </c>
      <c r="L294" t="n">
        <v>0</v>
      </c>
      <c r="M294" t="n">
        <v>0</v>
      </c>
      <c r="N294" t="n">
        <v>0</v>
      </c>
      <c r="O294" t="n">
        <v>0</v>
      </c>
      <c r="P294" t="n">
        <v>0</v>
      </c>
      <c r="Q294" t="n">
        <v>0</v>
      </c>
      <c r="R294" s="2" t="inlineStr"/>
    </row>
    <row r="295" ht="15" customHeight="1">
      <c r="A295" t="inlineStr">
        <is>
          <t>A 38261-2025</t>
        </is>
      </c>
      <c r="B295" s="1" t="n">
        <v>45883.39684027778</v>
      </c>
      <c r="C295" s="1" t="n">
        <v>45936</v>
      </c>
      <c r="D295" t="inlineStr">
        <is>
          <t>ÖSTERGÖTLANDS LÄN</t>
        </is>
      </c>
      <c r="E295" t="inlineStr">
        <is>
          <t>KINDA</t>
        </is>
      </c>
      <c r="G295" t="n">
        <v>1.7</v>
      </c>
      <c r="H295" t="n">
        <v>0</v>
      </c>
      <c r="I295" t="n">
        <v>0</v>
      </c>
      <c r="J295" t="n">
        <v>0</v>
      </c>
      <c r="K295" t="n">
        <v>0</v>
      </c>
      <c r="L295" t="n">
        <v>0</v>
      </c>
      <c r="M295" t="n">
        <v>0</v>
      </c>
      <c r="N295" t="n">
        <v>0</v>
      </c>
      <c r="O295" t="n">
        <v>0</v>
      </c>
      <c r="P295" t="n">
        <v>0</v>
      </c>
      <c r="Q295" t="n">
        <v>0</v>
      </c>
      <c r="R295" s="2" t="inlineStr"/>
    </row>
    <row r="296" ht="15" customHeight="1">
      <c r="A296" t="inlineStr">
        <is>
          <t>A 18410-2023</t>
        </is>
      </c>
      <c r="B296" s="1" t="n">
        <v>45042.40232638889</v>
      </c>
      <c r="C296" s="1" t="n">
        <v>45936</v>
      </c>
      <c r="D296" t="inlineStr">
        <is>
          <t>ÖSTERGÖTLANDS LÄN</t>
        </is>
      </c>
      <c r="E296" t="inlineStr">
        <is>
          <t>KINDA</t>
        </is>
      </c>
      <c r="G296" t="n">
        <v>5.6</v>
      </c>
      <c r="H296" t="n">
        <v>0</v>
      </c>
      <c r="I296" t="n">
        <v>0</v>
      </c>
      <c r="J296" t="n">
        <v>0</v>
      </c>
      <c r="K296" t="n">
        <v>0</v>
      </c>
      <c r="L296" t="n">
        <v>0</v>
      </c>
      <c r="M296" t="n">
        <v>0</v>
      </c>
      <c r="N296" t="n">
        <v>0</v>
      </c>
      <c r="O296" t="n">
        <v>0</v>
      </c>
      <c r="P296" t="n">
        <v>0</v>
      </c>
      <c r="Q296" t="n">
        <v>0</v>
      </c>
      <c r="R296" s="2" t="inlineStr"/>
    </row>
    <row r="297" ht="15" customHeight="1">
      <c r="A297" t="inlineStr">
        <is>
          <t>A 17366-2023</t>
        </is>
      </c>
      <c r="B297" s="1" t="n">
        <v>45035</v>
      </c>
      <c r="C297" s="1" t="n">
        <v>45936</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10477-2022</t>
        </is>
      </c>
      <c r="B298" s="1" t="n">
        <v>44623.61737268518</v>
      </c>
      <c r="C298" s="1" t="n">
        <v>45936</v>
      </c>
      <c r="D298" t="inlineStr">
        <is>
          <t>ÖSTERGÖTLANDS LÄN</t>
        </is>
      </c>
      <c r="E298" t="inlineStr">
        <is>
          <t>KINDA</t>
        </is>
      </c>
      <c r="G298" t="n">
        <v>0.7</v>
      </c>
      <c r="H298" t="n">
        <v>0</v>
      </c>
      <c r="I298" t="n">
        <v>0</v>
      </c>
      <c r="J298" t="n">
        <v>0</v>
      </c>
      <c r="K298" t="n">
        <v>0</v>
      </c>
      <c r="L298" t="n">
        <v>0</v>
      </c>
      <c r="M298" t="n">
        <v>0</v>
      </c>
      <c r="N298" t="n">
        <v>0</v>
      </c>
      <c r="O298" t="n">
        <v>0</v>
      </c>
      <c r="P298" t="n">
        <v>0</v>
      </c>
      <c r="Q298" t="n">
        <v>0</v>
      </c>
      <c r="R298" s="2" t="inlineStr"/>
    </row>
    <row r="299" ht="15" customHeight="1">
      <c r="A299" t="inlineStr">
        <is>
          <t>A 64436-2020</t>
        </is>
      </c>
      <c r="B299" s="1" t="n">
        <v>44168</v>
      </c>
      <c r="C299" s="1" t="n">
        <v>45936</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37880-2022</t>
        </is>
      </c>
      <c r="B300" s="1" t="n">
        <v>44811.38229166667</v>
      </c>
      <c r="C300" s="1" t="n">
        <v>45936</v>
      </c>
      <c r="D300" t="inlineStr">
        <is>
          <t>ÖSTERGÖTLANDS LÄN</t>
        </is>
      </c>
      <c r="E300" t="inlineStr">
        <is>
          <t>KINDA</t>
        </is>
      </c>
      <c r="G300" t="n">
        <v>4.1</v>
      </c>
      <c r="H300" t="n">
        <v>0</v>
      </c>
      <c r="I300" t="n">
        <v>0</v>
      </c>
      <c r="J300" t="n">
        <v>0</v>
      </c>
      <c r="K300" t="n">
        <v>0</v>
      </c>
      <c r="L300" t="n">
        <v>0</v>
      </c>
      <c r="M300" t="n">
        <v>0</v>
      </c>
      <c r="N300" t="n">
        <v>0</v>
      </c>
      <c r="O300" t="n">
        <v>0</v>
      </c>
      <c r="P300" t="n">
        <v>0</v>
      </c>
      <c r="Q300" t="n">
        <v>0</v>
      </c>
      <c r="R300" s="2" t="inlineStr"/>
    </row>
    <row r="301" ht="15" customHeight="1">
      <c r="A301" t="inlineStr">
        <is>
          <t>A 57690-2021</t>
        </is>
      </c>
      <c r="B301" s="1" t="n">
        <v>44484</v>
      </c>
      <c r="C301" s="1" t="n">
        <v>45936</v>
      </c>
      <c r="D301" t="inlineStr">
        <is>
          <t>ÖSTERGÖTLANDS LÄN</t>
        </is>
      </c>
      <c r="E301" t="inlineStr">
        <is>
          <t>KINDA</t>
        </is>
      </c>
      <c r="G301" t="n">
        <v>2.1</v>
      </c>
      <c r="H301" t="n">
        <v>0</v>
      </c>
      <c r="I301" t="n">
        <v>0</v>
      </c>
      <c r="J301" t="n">
        <v>0</v>
      </c>
      <c r="K301" t="n">
        <v>0</v>
      </c>
      <c r="L301" t="n">
        <v>0</v>
      </c>
      <c r="M301" t="n">
        <v>0</v>
      </c>
      <c r="N301" t="n">
        <v>0</v>
      </c>
      <c r="O301" t="n">
        <v>0</v>
      </c>
      <c r="P301" t="n">
        <v>0</v>
      </c>
      <c r="Q301" t="n">
        <v>0</v>
      </c>
      <c r="R301" s="2" t="inlineStr"/>
    </row>
    <row r="302" ht="15" customHeight="1">
      <c r="A302" t="inlineStr">
        <is>
          <t>A 37397-2024</t>
        </is>
      </c>
      <c r="B302" s="1" t="n">
        <v>45540.59917824074</v>
      </c>
      <c r="C302" s="1" t="n">
        <v>45936</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60826-2023</t>
        </is>
      </c>
      <c r="B303" s="1" t="n">
        <v>45260.81440972222</v>
      </c>
      <c r="C303" s="1" t="n">
        <v>45936</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39242-2024</t>
        </is>
      </c>
      <c r="B304" s="1" t="n">
        <v>45551.28467592593</v>
      </c>
      <c r="C304" s="1" t="n">
        <v>45936</v>
      </c>
      <c r="D304" t="inlineStr">
        <is>
          <t>ÖSTERGÖTLANDS LÄN</t>
        </is>
      </c>
      <c r="E304" t="inlineStr">
        <is>
          <t>KINDA</t>
        </is>
      </c>
      <c r="G304" t="n">
        <v>3.9</v>
      </c>
      <c r="H304" t="n">
        <v>0</v>
      </c>
      <c r="I304" t="n">
        <v>0</v>
      </c>
      <c r="J304" t="n">
        <v>0</v>
      </c>
      <c r="K304" t="n">
        <v>0</v>
      </c>
      <c r="L304" t="n">
        <v>0</v>
      </c>
      <c r="M304" t="n">
        <v>0</v>
      </c>
      <c r="N304" t="n">
        <v>0</v>
      </c>
      <c r="O304" t="n">
        <v>0</v>
      </c>
      <c r="P304" t="n">
        <v>0</v>
      </c>
      <c r="Q304" t="n">
        <v>0</v>
      </c>
      <c r="R304" s="2" t="inlineStr"/>
    </row>
    <row r="305" ht="15" customHeight="1">
      <c r="A305" t="inlineStr">
        <is>
          <t>A 46908-2022</t>
        </is>
      </c>
      <c r="B305" s="1" t="n">
        <v>44851</v>
      </c>
      <c r="C305" s="1" t="n">
        <v>45936</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28068-2024</t>
        </is>
      </c>
      <c r="B306" s="1" t="n">
        <v>45476.57782407408</v>
      </c>
      <c r="C306" s="1" t="n">
        <v>45936</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45936</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52863-2023</t>
        </is>
      </c>
      <c r="B308" s="1" t="n">
        <v>45219</v>
      </c>
      <c r="C308" s="1" t="n">
        <v>45936</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53319-2023</t>
        </is>
      </c>
      <c r="B309" s="1" t="n">
        <v>45229</v>
      </c>
      <c r="C309" s="1" t="n">
        <v>45936</v>
      </c>
      <c r="D309" t="inlineStr">
        <is>
          <t>ÖSTERGÖTLANDS LÄN</t>
        </is>
      </c>
      <c r="E309" t="inlineStr">
        <is>
          <t>KINDA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6561-2024</t>
        </is>
      </c>
      <c r="B310" s="1" t="n">
        <v>45341</v>
      </c>
      <c r="C310" s="1" t="n">
        <v>45936</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53439-2020</t>
        </is>
      </c>
      <c r="B311" s="1" t="n">
        <v>44120</v>
      </c>
      <c r="C311" s="1" t="n">
        <v>45936</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46228-2024</t>
        </is>
      </c>
      <c r="B312" s="1" t="n">
        <v>45581.57662037037</v>
      </c>
      <c r="C312" s="1" t="n">
        <v>45936</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46947-2025</t>
        </is>
      </c>
      <c r="B313" s="1" t="n">
        <v>45929.46361111111</v>
      </c>
      <c r="C313" s="1" t="n">
        <v>45936</v>
      </c>
      <c r="D313" t="inlineStr">
        <is>
          <t>ÖSTERGÖTLANDS LÄN</t>
        </is>
      </c>
      <c r="E313" t="inlineStr">
        <is>
          <t>KINDA</t>
        </is>
      </c>
      <c r="G313" t="n">
        <v>3.7</v>
      </c>
      <c r="H313" t="n">
        <v>0</v>
      </c>
      <c r="I313" t="n">
        <v>0</v>
      </c>
      <c r="J313" t="n">
        <v>0</v>
      </c>
      <c r="K313" t="n">
        <v>0</v>
      </c>
      <c r="L313" t="n">
        <v>0</v>
      </c>
      <c r="M313" t="n">
        <v>0</v>
      </c>
      <c r="N313" t="n">
        <v>0</v>
      </c>
      <c r="O313" t="n">
        <v>0</v>
      </c>
      <c r="P313" t="n">
        <v>0</v>
      </c>
      <c r="Q313" t="n">
        <v>0</v>
      </c>
      <c r="R313" s="2" t="inlineStr"/>
    </row>
    <row r="314" ht="15" customHeight="1">
      <c r="A314" t="inlineStr">
        <is>
          <t>A 38019-2024</t>
        </is>
      </c>
      <c r="B314" s="1" t="n">
        <v>45544.6372337963</v>
      </c>
      <c r="C314" s="1" t="n">
        <v>45936</v>
      </c>
      <c r="D314" t="inlineStr">
        <is>
          <t>ÖSTERGÖTLANDS LÄN</t>
        </is>
      </c>
      <c r="E314" t="inlineStr">
        <is>
          <t>KINDA</t>
        </is>
      </c>
      <c r="G314" t="n">
        <v>6.3</v>
      </c>
      <c r="H314" t="n">
        <v>0</v>
      </c>
      <c r="I314" t="n">
        <v>0</v>
      </c>
      <c r="J314" t="n">
        <v>0</v>
      </c>
      <c r="K314" t="n">
        <v>0</v>
      </c>
      <c r="L314" t="n">
        <v>0</v>
      </c>
      <c r="M314" t="n">
        <v>0</v>
      </c>
      <c r="N314" t="n">
        <v>0</v>
      </c>
      <c r="O314" t="n">
        <v>0</v>
      </c>
      <c r="P314" t="n">
        <v>0</v>
      </c>
      <c r="Q314" t="n">
        <v>0</v>
      </c>
      <c r="R314" s="2" t="inlineStr"/>
      <c r="U314">
        <f>HYPERLINK("https://klasma.github.io/Logging_0513/knärot/A 38019-2024 karta knärot.png", "A 38019-2024")</f>
        <v/>
      </c>
      <c r="V314">
        <f>HYPERLINK("https://klasma.github.io/Logging_0513/klagomål/A 38019-2024 FSC-klagomål.docx", "A 38019-2024")</f>
        <v/>
      </c>
      <c r="W314">
        <f>HYPERLINK("https://klasma.github.io/Logging_0513/klagomålsmail/A 38019-2024 FSC-klagomål mail.docx", "A 38019-2024")</f>
        <v/>
      </c>
      <c r="X314">
        <f>HYPERLINK("https://klasma.github.io/Logging_0513/tillsyn/A 38019-2024 tillsynsbegäran.docx", "A 38019-2024")</f>
        <v/>
      </c>
      <c r="Y314">
        <f>HYPERLINK("https://klasma.github.io/Logging_0513/tillsynsmail/A 38019-2024 tillsynsbegäran mail.docx", "A 38019-2024")</f>
        <v/>
      </c>
    </row>
    <row r="315" ht="15" customHeight="1">
      <c r="A315" t="inlineStr">
        <is>
          <t>A 32825-2021</t>
        </is>
      </c>
      <c r="B315" s="1" t="n">
        <v>44375.6209837963</v>
      </c>
      <c r="C315" s="1" t="n">
        <v>45936</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46925-2023</t>
        </is>
      </c>
      <c r="B316" s="1" t="n">
        <v>45201.40716435185</v>
      </c>
      <c r="C316" s="1" t="n">
        <v>45936</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5203-2022</t>
        </is>
      </c>
      <c r="B317" s="1" t="n">
        <v>44594</v>
      </c>
      <c r="C317" s="1" t="n">
        <v>45936</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21293-2021</t>
        </is>
      </c>
      <c r="B318" s="1" t="n">
        <v>44320.65725694445</v>
      </c>
      <c r="C318" s="1" t="n">
        <v>45936</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43857-2023</t>
        </is>
      </c>
      <c r="B319" s="1" t="n">
        <v>45187.61545138889</v>
      </c>
      <c r="C319" s="1" t="n">
        <v>45936</v>
      </c>
      <c r="D319" t="inlineStr">
        <is>
          <t>ÖSTERGÖTLANDS LÄN</t>
        </is>
      </c>
      <c r="E319" t="inlineStr">
        <is>
          <t>KINDA</t>
        </is>
      </c>
      <c r="G319" t="n">
        <v>2</v>
      </c>
      <c r="H319" t="n">
        <v>0</v>
      </c>
      <c r="I319" t="n">
        <v>0</v>
      </c>
      <c r="J319" t="n">
        <v>0</v>
      </c>
      <c r="K319" t="n">
        <v>0</v>
      </c>
      <c r="L319" t="n">
        <v>0</v>
      </c>
      <c r="M319" t="n">
        <v>0</v>
      </c>
      <c r="N319" t="n">
        <v>0</v>
      </c>
      <c r="O319" t="n">
        <v>0</v>
      </c>
      <c r="P319" t="n">
        <v>0</v>
      </c>
      <c r="Q319" t="n">
        <v>0</v>
      </c>
      <c r="R319" s="2" t="inlineStr"/>
    </row>
    <row r="320" ht="15" customHeight="1">
      <c r="A320" t="inlineStr">
        <is>
          <t>A 43069-2024</t>
        </is>
      </c>
      <c r="B320" s="1" t="n">
        <v>45567.47780092592</v>
      </c>
      <c r="C320" s="1" t="n">
        <v>45936</v>
      </c>
      <c r="D320" t="inlineStr">
        <is>
          <t>ÖSTERGÖTLANDS LÄN</t>
        </is>
      </c>
      <c r="E320" t="inlineStr">
        <is>
          <t>KINDA</t>
        </is>
      </c>
      <c r="G320" t="n">
        <v>4.1</v>
      </c>
      <c r="H320" t="n">
        <v>0</v>
      </c>
      <c r="I320" t="n">
        <v>0</v>
      </c>
      <c r="J320" t="n">
        <v>0</v>
      </c>
      <c r="K320" t="n">
        <v>0</v>
      </c>
      <c r="L320" t="n">
        <v>0</v>
      </c>
      <c r="M320" t="n">
        <v>0</v>
      </c>
      <c r="N320" t="n">
        <v>0</v>
      </c>
      <c r="O320" t="n">
        <v>0</v>
      </c>
      <c r="P320" t="n">
        <v>0</v>
      </c>
      <c r="Q320" t="n">
        <v>0</v>
      </c>
      <c r="R320" s="2" t="inlineStr"/>
    </row>
    <row r="321" ht="15" customHeight="1">
      <c r="A321" t="inlineStr">
        <is>
          <t>A 45108-2023</t>
        </is>
      </c>
      <c r="B321" s="1" t="n">
        <v>45187</v>
      </c>
      <c r="C321" s="1" t="n">
        <v>45936</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19324-2021</t>
        </is>
      </c>
      <c r="B322" s="1" t="n">
        <v>44309</v>
      </c>
      <c r="C322" s="1" t="n">
        <v>45936</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20972-2021</t>
        </is>
      </c>
      <c r="B323" s="1" t="n">
        <v>44319.56430555556</v>
      </c>
      <c r="C323" s="1" t="n">
        <v>45936</v>
      </c>
      <c r="D323" t="inlineStr">
        <is>
          <t>ÖSTERGÖTLANDS LÄN</t>
        </is>
      </c>
      <c r="E323" t="inlineStr">
        <is>
          <t>KINDA</t>
        </is>
      </c>
      <c r="G323" t="n">
        <v>2</v>
      </c>
      <c r="H323" t="n">
        <v>0</v>
      </c>
      <c r="I323" t="n">
        <v>0</v>
      </c>
      <c r="J323" t="n">
        <v>0</v>
      </c>
      <c r="K323" t="n">
        <v>0</v>
      </c>
      <c r="L323" t="n">
        <v>0</v>
      </c>
      <c r="M323" t="n">
        <v>0</v>
      </c>
      <c r="N323" t="n">
        <v>0</v>
      </c>
      <c r="O323" t="n">
        <v>0</v>
      </c>
      <c r="P323" t="n">
        <v>0</v>
      </c>
      <c r="Q323" t="n">
        <v>0</v>
      </c>
      <c r="R323" s="2" t="inlineStr"/>
    </row>
    <row r="324" ht="15" customHeight="1">
      <c r="A324" t="inlineStr">
        <is>
          <t>A 21071-2024</t>
        </is>
      </c>
      <c r="B324" s="1" t="n">
        <v>45439.8615625</v>
      </c>
      <c r="C324" s="1" t="n">
        <v>45936</v>
      </c>
      <c r="D324" t="inlineStr">
        <is>
          <t>ÖSTERGÖTLANDS LÄN</t>
        </is>
      </c>
      <c r="E324" t="inlineStr">
        <is>
          <t>KINDA</t>
        </is>
      </c>
      <c r="G324" t="n">
        <v>0.5</v>
      </c>
      <c r="H324" t="n">
        <v>0</v>
      </c>
      <c r="I324" t="n">
        <v>0</v>
      </c>
      <c r="J324" t="n">
        <v>0</v>
      </c>
      <c r="K324" t="n">
        <v>0</v>
      </c>
      <c r="L324" t="n">
        <v>0</v>
      </c>
      <c r="M324" t="n">
        <v>0</v>
      </c>
      <c r="N324" t="n">
        <v>0</v>
      </c>
      <c r="O324" t="n">
        <v>0</v>
      </c>
      <c r="P324" t="n">
        <v>0</v>
      </c>
      <c r="Q324" t="n">
        <v>0</v>
      </c>
      <c r="R324" s="2" t="inlineStr"/>
    </row>
    <row r="325" ht="15" customHeight="1">
      <c r="A325" t="inlineStr">
        <is>
          <t>A 46914-2025</t>
        </is>
      </c>
      <c r="B325" s="1" t="n">
        <v>45929.41962962963</v>
      </c>
      <c r="C325" s="1" t="n">
        <v>45936</v>
      </c>
      <c r="D325" t="inlineStr">
        <is>
          <t>ÖSTERGÖTLANDS LÄN</t>
        </is>
      </c>
      <c r="E325" t="inlineStr">
        <is>
          <t>KINDA</t>
        </is>
      </c>
      <c r="G325" t="n">
        <v>4.4</v>
      </c>
      <c r="H325" t="n">
        <v>0</v>
      </c>
      <c r="I325" t="n">
        <v>0</v>
      </c>
      <c r="J325" t="n">
        <v>0</v>
      </c>
      <c r="K325" t="n">
        <v>0</v>
      </c>
      <c r="L325" t="n">
        <v>0</v>
      </c>
      <c r="M325" t="n">
        <v>0</v>
      </c>
      <c r="N325" t="n">
        <v>0</v>
      </c>
      <c r="O325" t="n">
        <v>0</v>
      </c>
      <c r="P325" t="n">
        <v>0</v>
      </c>
      <c r="Q325" t="n">
        <v>0</v>
      </c>
      <c r="R325" s="2" t="inlineStr"/>
    </row>
    <row r="326" ht="15" customHeight="1">
      <c r="A326" t="inlineStr">
        <is>
          <t>A 46926-2025</t>
        </is>
      </c>
      <c r="B326" s="1" t="n">
        <v>45929.43957175926</v>
      </c>
      <c r="C326" s="1" t="n">
        <v>45936</v>
      </c>
      <c r="D326" t="inlineStr">
        <is>
          <t>ÖSTERGÖTLANDS LÄN</t>
        </is>
      </c>
      <c r="E326" t="inlineStr">
        <is>
          <t>KINDA</t>
        </is>
      </c>
      <c r="G326" t="n">
        <v>2.1</v>
      </c>
      <c r="H326" t="n">
        <v>0</v>
      </c>
      <c r="I326" t="n">
        <v>0</v>
      </c>
      <c r="J326" t="n">
        <v>0</v>
      </c>
      <c r="K326" t="n">
        <v>0</v>
      </c>
      <c r="L326" t="n">
        <v>0</v>
      </c>
      <c r="M326" t="n">
        <v>0</v>
      </c>
      <c r="N326" t="n">
        <v>0</v>
      </c>
      <c r="O326" t="n">
        <v>0</v>
      </c>
      <c r="P326" t="n">
        <v>0</v>
      </c>
      <c r="Q326" t="n">
        <v>0</v>
      </c>
      <c r="R326" s="2" t="inlineStr"/>
    </row>
    <row r="327" ht="15" customHeight="1">
      <c r="A327" t="inlineStr">
        <is>
          <t>A 41580-2023</t>
        </is>
      </c>
      <c r="B327" s="1" t="n">
        <v>45175.62292824074</v>
      </c>
      <c r="C327" s="1" t="n">
        <v>45936</v>
      </c>
      <c r="D327" t="inlineStr">
        <is>
          <t>ÖSTERGÖTLANDS LÄN</t>
        </is>
      </c>
      <c r="E327" t="inlineStr">
        <is>
          <t>KINDA</t>
        </is>
      </c>
      <c r="G327" t="n">
        <v>0.4</v>
      </c>
      <c r="H327" t="n">
        <v>0</v>
      </c>
      <c r="I327" t="n">
        <v>0</v>
      </c>
      <c r="J327" t="n">
        <v>0</v>
      </c>
      <c r="K327" t="n">
        <v>0</v>
      </c>
      <c r="L327" t="n">
        <v>0</v>
      </c>
      <c r="M327" t="n">
        <v>0</v>
      </c>
      <c r="N327" t="n">
        <v>0</v>
      </c>
      <c r="O327" t="n">
        <v>0</v>
      </c>
      <c r="P327" t="n">
        <v>0</v>
      </c>
      <c r="Q327" t="n">
        <v>0</v>
      </c>
      <c r="R327" s="2" t="inlineStr"/>
    </row>
    <row r="328" ht="15" customHeight="1">
      <c r="A328" t="inlineStr">
        <is>
          <t>A 14817-2023</t>
        </is>
      </c>
      <c r="B328" s="1" t="n">
        <v>45014.65841435185</v>
      </c>
      <c r="C328" s="1" t="n">
        <v>45936</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36126-2023</t>
        </is>
      </c>
      <c r="B329" s="1" t="n">
        <v>45149.57319444444</v>
      </c>
      <c r="C329" s="1" t="n">
        <v>45936</v>
      </c>
      <c r="D329" t="inlineStr">
        <is>
          <t>ÖSTERGÖTLANDS LÄN</t>
        </is>
      </c>
      <c r="E329" t="inlineStr">
        <is>
          <t>KINDA</t>
        </is>
      </c>
      <c r="G329" t="n">
        <v>3.8</v>
      </c>
      <c r="H329" t="n">
        <v>0</v>
      </c>
      <c r="I329" t="n">
        <v>0</v>
      </c>
      <c r="J329" t="n">
        <v>0</v>
      </c>
      <c r="K329" t="n">
        <v>0</v>
      </c>
      <c r="L329" t="n">
        <v>0</v>
      </c>
      <c r="M329" t="n">
        <v>0</v>
      </c>
      <c r="N329" t="n">
        <v>0</v>
      </c>
      <c r="O329" t="n">
        <v>0</v>
      </c>
      <c r="P329" t="n">
        <v>0</v>
      </c>
      <c r="Q329" t="n">
        <v>0</v>
      </c>
      <c r="R329" s="2" t="inlineStr"/>
    </row>
    <row r="330" ht="15" customHeight="1">
      <c r="A330" t="inlineStr">
        <is>
          <t>A 42084-2024</t>
        </is>
      </c>
      <c r="B330" s="1" t="n">
        <v>45562.3316087963</v>
      </c>
      <c r="C330" s="1" t="n">
        <v>45936</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25490-2023</t>
        </is>
      </c>
      <c r="B331" s="1" t="n">
        <v>45082</v>
      </c>
      <c r="C331" s="1" t="n">
        <v>45936</v>
      </c>
      <c r="D331" t="inlineStr">
        <is>
          <t>ÖSTERGÖTLANDS LÄN</t>
        </is>
      </c>
      <c r="E331" t="inlineStr">
        <is>
          <t>KINDA</t>
        </is>
      </c>
      <c r="G331" t="n">
        <v>2.2</v>
      </c>
      <c r="H331" t="n">
        <v>0</v>
      </c>
      <c r="I331" t="n">
        <v>0</v>
      </c>
      <c r="J331" t="n">
        <v>0</v>
      </c>
      <c r="K331" t="n">
        <v>0</v>
      </c>
      <c r="L331" t="n">
        <v>0</v>
      </c>
      <c r="M331" t="n">
        <v>0</v>
      </c>
      <c r="N331" t="n">
        <v>0</v>
      </c>
      <c r="O331" t="n">
        <v>0</v>
      </c>
      <c r="P331" t="n">
        <v>0</v>
      </c>
      <c r="Q331" t="n">
        <v>0</v>
      </c>
      <c r="R331" s="2" t="inlineStr"/>
    </row>
    <row r="332" ht="15" customHeight="1">
      <c r="A332" t="inlineStr">
        <is>
          <t>A 61946-2022</t>
        </is>
      </c>
      <c r="B332" s="1" t="n">
        <v>44918.32740740741</v>
      </c>
      <c r="C332" s="1" t="n">
        <v>45936</v>
      </c>
      <c r="D332" t="inlineStr">
        <is>
          <t>ÖSTERGÖTLANDS LÄN</t>
        </is>
      </c>
      <c r="E332" t="inlineStr">
        <is>
          <t>KINDA</t>
        </is>
      </c>
      <c r="G332" t="n">
        <v>11.6</v>
      </c>
      <c r="H332" t="n">
        <v>0</v>
      </c>
      <c r="I332" t="n">
        <v>0</v>
      </c>
      <c r="J332" t="n">
        <v>0</v>
      </c>
      <c r="K332" t="n">
        <v>0</v>
      </c>
      <c r="L332" t="n">
        <v>0</v>
      </c>
      <c r="M332" t="n">
        <v>0</v>
      </c>
      <c r="N332" t="n">
        <v>0</v>
      </c>
      <c r="O332" t="n">
        <v>0</v>
      </c>
      <c r="P332" t="n">
        <v>0</v>
      </c>
      <c r="Q332" t="n">
        <v>0</v>
      </c>
      <c r="R332" s="2" t="inlineStr"/>
    </row>
    <row r="333" ht="15" customHeight="1">
      <c r="A333" t="inlineStr">
        <is>
          <t>A 61949-2022</t>
        </is>
      </c>
      <c r="B333" s="1" t="n">
        <v>44918.33414351852</v>
      </c>
      <c r="C333" s="1" t="n">
        <v>45936</v>
      </c>
      <c r="D333" t="inlineStr">
        <is>
          <t>ÖSTERGÖTLANDS LÄN</t>
        </is>
      </c>
      <c r="E333" t="inlineStr">
        <is>
          <t>KINDA</t>
        </is>
      </c>
      <c r="G333" t="n">
        <v>1.3</v>
      </c>
      <c r="H333" t="n">
        <v>0</v>
      </c>
      <c r="I333" t="n">
        <v>0</v>
      </c>
      <c r="J333" t="n">
        <v>0</v>
      </c>
      <c r="K333" t="n">
        <v>0</v>
      </c>
      <c r="L333" t="n">
        <v>0</v>
      </c>
      <c r="M333" t="n">
        <v>0</v>
      </c>
      <c r="N333" t="n">
        <v>0</v>
      </c>
      <c r="O333" t="n">
        <v>0</v>
      </c>
      <c r="P333" t="n">
        <v>0</v>
      </c>
      <c r="Q333" t="n">
        <v>0</v>
      </c>
      <c r="R333" s="2" t="inlineStr"/>
    </row>
    <row r="334" ht="15" customHeight="1">
      <c r="A334" t="inlineStr">
        <is>
          <t>A 61962-2022</t>
        </is>
      </c>
      <c r="B334" s="1" t="n">
        <v>44918</v>
      </c>
      <c r="C334" s="1" t="n">
        <v>45936</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15029-2024</t>
        </is>
      </c>
      <c r="B335" s="1" t="n">
        <v>45399.46633101852</v>
      </c>
      <c r="C335" s="1" t="n">
        <v>45936</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24150-2024</t>
        </is>
      </c>
      <c r="B336" s="1" t="n">
        <v>45456</v>
      </c>
      <c r="C336" s="1" t="n">
        <v>45936</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5707-2024</t>
        </is>
      </c>
      <c r="B337" s="1" t="n">
        <v>45334</v>
      </c>
      <c r="C337" s="1" t="n">
        <v>45936</v>
      </c>
      <c r="D337" t="inlineStr">
        <is>
          <t>ÖSTERGÖTLANDS LÄN</t>
        </is>
      </c>
      <c r="E337" t="inlineStr">
        <is>
          <t>KINDA</t>
        </is>
      </c>
      <c r="G337" t="n">
        <v>6.2</v>
      </c>
      <c r="H337" t="n">
        <v>0</v>
      </c>
      <c r="I337" t="n">
        <v>0</v>
      </c>
      <c r="J337" t="n">
        <v>0</v>
      </c>
      <c r="K337" t="n">
        <v>0</v>
      </c>
      <c r="L337" t="n">
        <v>0</v>
      </c>
      <c r="M337" t="n">
        <v>0</v>
      </c>
      <c r="N337" t="n">
        <v>0</v>
      </c>
      <c r="O337" t="n">
        <v>0</v>
      </c>
      <c r="P337" t="n">
        <v>0</v>
      </c>
      <c r="Q337" t="n">
        <v>0</v>
      </c>
      <c r="R337" s="2" t="inlineStr"/>
    </row>
    <row r="338" ht="15" customHeight="1">
      <c r="A338" t="inlineStr">
        <is>
          <t>A 343-2025</t>
        </is>
      </c>
      <c r="B338" s="1" t="n">
        <v>45660.71824074074</v>
      </c>
      <c r="C338" s="1" t="n">
        <v>45936</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4326-2021</t>
        </is>
      </c>
      <c r="B339" s="1" t="n">
        <v>44223</v>
      </c>
      <c r="C339" s="1" t="n">
        <v>45936</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4331-2021</t>
        </is>
      </c>
      <c r="B340" s="1" t="n">
        <v>44223</v>
      </c>
      <c r="C340" s="1" t="n">
        <v>45936</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60824-2023</t>
        </is>
      </c>
      <c r="B341" s="1" t="n">
        <v>45260.80365740741</v>
      </c>
      <c r="C341" s="1" t="n">
        <v>45936</v>
      </c>
      <c r="D341" t="inlineStr">
        <is>
          <t>ÖSTERGÖTLANDS LÄN</t>
        </is>
      </c>
      <c r="E341" t="inlineStr">
        <is>
          <t>KINDA</t>
        </is>
      </c>
      <c r="G341" t="n">
        <v>3.1</v>
      </c>
      <c r="H341" t="n">
        <v>0</v>
      </c>
      <c r="I341" t="n">
        <v>0</v>
      </c>
      <c r="J341" t="n">
        <v>0</v>
      </c>
      <c r="K341" t="n">
        <v>0</v>
      </c>
      <c r="L341" t="n">
        <v>0</v>
      </c>
      <c r="M341" t="n">
        <v>0</v>
      </c>
      <c r="N341" t="n">
        <v>0</v>
      </c>
      <c r="O341" t="n">
        <v>0</v>
      </c>
      <c r="P341" t="n">
        <v>0</v>
      </c>
      <c r="Q341" t="n">
        <v>0</v>
      </c>
      <c r="R341" s="2" t="inlineStr"/>
    </row>
    <row r="342" ht="15" customHeight="1">
      <c r="A342" t="inlineStr">
        <is>
          <t>A 8318-2025</t>
        </is>
      </c>
      <c r="B342" s="1" t="n">
        <v>45708.62505787037</v>
      </c>
      <c r="C342" s="1" t="n">
        <v>45936</v>
      </c>
      <c r="D342" t="inlineStr">
        <is>
          <t>ÖSTERGÖTLANDS LÄN</t>
        </is>
      </c>
      <c r="E342" t="inlineStr">
        <is>
          <t>KINDA</t>
        </is>
      </c>
      <c r="G342" t="n">
        <v>2.9</v>
      </c>
      <c r="H342" t="n">
        <v>0</v>
      </c>
      <c r="I342" t="n">
        <v>0</v>
      </c>
      <c r="J342" t="n">
        <v>0</v>
      </c>
      <c r="K342" t="n">
        <v>0</v>
      </c>
      <c r="L342" t="n">
        <v>0</v>
      </c>
      <c r="M342" t="n">
        <v>0</v>
      </c>
      <c r="N342" t="n">
        <v>0</v>
      </c>
      <c r="O342" t="n">
        <v>0</v>
      </c>
      <c r="P342" t="n">
        <v>0</v>
      </c>
      <c r="Q342" t="n">
        <v>0</v>
      </c>
      <c r="R342" s="2" t="inlineStr"/>
    </row>
    <row r="343" ht="15" customHeight="1">
      <c r="A343" t="inlineStr">
        <is>
          <t>A 24110-2024</t>
        </is>
      </c>
      <c r="B343" s="1" t="n">
        <v>45456.61288194444</v>
      </c>
      <c r="C343" s="1" t="n">
        <v>45936</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491-2021</t>
        </is>
      </c>
      <c r="B344" s="1" t="n">
        <v>44203</v>
      </c>
      <c r="C344" s="1" t="n">
        <v>45936</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493-2021</t>
        </is>
      </c>
      <c r="B345" s="1" t="n">
        <v>44203</v>
      </c>
      <c r="C345" s="1" t="n">
        <v>45936</v>
      </c>
      <c r="D345" t="inlineStr">
        <is>
          <t>ÖSTERGÖTLANDS LÄN</t>
        </is>
      </c>
      <c r="E345" t="inlineStr">
        <is>
          <t>KINDA</t>
        </is>
      </c>
      <c r="G345" t="n">
        <v>0.7</v>
      </c>
      <c r="H345" t="n">
        <v>0</v>
      </c>
      <c r="I345" t="n">
        <v>0</v>
      </c>
      <c r="J345" t="n">
        <v>0</v>
      </c>
      <c r="K345" t="n">
        <v>0</v>
      </c>
      <c r="L345" t="n">
        <v>0</v>
      </c>
      <c r="M345" t="n">
        <v>0</v>
      </c>
      <c r="N345" t="n">
        <v>0</v>
      </c>
      <c r="O345" t="n">
        <v>0</v>
      </c>
      <c r="P345" t="n">
        <v>0</v>
      </c>
      <c r="Q345" t="n">
        <v>0</v>
      </c>
      <c r="R345" s="2" t="inlineStr"/>
    </row>
    <row r="346" ht="15" customHeight="1">
      <c r="A346" t="inlineStr">
        <is>
          <t>A 56317-2021</t>
        </is>
      </c>
      <c r="B346" s="1" t="n">
        <v>44480.3503587963</v>
      </c>
      <c r="C346" s="1" t="n">
        <v>45936</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35203-2023</t>
        </is>
      </c>
      <c r="B347" s="1" t="n">
        <v>45145</v>
      </c>
      <c r="C347" s="1" t="n">
        <v>45936</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10935-2023</t>
        </is>
      </c>
      <c r="B348" s="1" t="n">
        <v>44991.5281712963</v>
      </c>
      <c r="C348" s="1" t="n">
        <v>45936</v>
      </c>
      <c r="D348" t="inlineStr">
        <is>
          <t>ÖSTERGÖTLANDS LÄN</t>
        </is>
      </c>
      <c r="E348" t="inlineStr">
        <is>
          <t>KINDA</t>
        </is>
      </c>
      <c r="G348" t="n">
        <v>3.2</v>
      </c>
      <c r="H348" t="n">
        <v>0</v>
      </c>
      <c r="I348" t="n">
        <v>0</v>
      </c>
      <c r="J348" t="n">
        <v>0</v>
      </c>
      <c r="K348" t="n">
        <v>0</v>
      </c>
      <c r="L348" t="n">
        <v>0</v>
      </c>
      <c r="M348" t="n">
        <v>0</v>
      </c>
      <c r="N348" t="n">
        <v>0</v>
      </c>
      <c r="O348" t="n">
        <v>0</v>
      </c>
      <c r="P348" t="n">
        <v>0</v>
      </c>
      <c r="Q348" t="n">
        <v>0</v>
      </c>
      <c r="R348" s="2" t="inlineStr"/>
    </row>
    <row r="349" ht="15" customHeight="1">
      <c r="A349" t="inlineStr">
        <is>
          <t>A 5086-2023</t>
        </is>
      </c>
      <c r="B349" s="1" t="n">
        <v>44953</v>
      </c>
      <c r="C349" s="1" t="n">
        <v>45936</v>
      </c>
      <c r="D349" t="inlineStr">
        <is>
          <t>ÖSTERGÖTLANDS LÄN</t>
        </is>
      </c>
      <c r="E349" t="inlineStr">
        <is>
          <t>KINDA</t>
        </is>
      </c>
      <c r="G349" t="n">
        <v>4.2</v>
      </c>
      <c r="H349" t="n">
        <v>0</v>
      </c>
      <c r="I349" t="n">
        <v>0</v>
      </c>
      <c r="J349" t="n">
        <v>0</v>
      </c>
      <c r="K349" t="n">
        <v>0</v>
      </c>
      <c r="L349" t="n">
        <v>0</v>
      </c>
      <c r="M349" t="n">
        <v>0</v>
      </c>
      <c r="N349" t="n">
        <v>0</v>
      </c>
      <c r="O349" t="n">
        <v>0</v>
      </c>
      <c r="P349" t="n">
        <v>0</v>
      </c>
      <c r="Q349" t="n">
        <v>0</v>
      </c>
      <c r="R349" s="2" t="inlineStr"/>
    </row>
    <row r="350" ht="15" customHeight="1">
      <c r="A350" t="inlineStr">
        <is>
          <t>A 68850-2020</t>
        </is>
      </c>
      <c r="B350" s="1" t="n">
        <v>44187</v>
      </c>
      <c r="C350" s="1" t="n">
        <v>45936</v>
      </c>
      <c r="D350" t="inlineStr">
        <is>
          <t>ÖSTERGÖTLANDS LÄN</t>
        </is>
      </c>
      <c r="E350" t="inlineStr">
        <is>
          <t>KINDA</t>
        </is>
      </c>
      <c r="G350" t="n">
        <v>4.4</v>
      </c>
      <c r="H350" t="n">
        <v>0</v>
      </c>
      <c r="I350" t="n">
        <v>0</v>
      </c>
      <c r="J350" t="n">
        <v>0</v>
      </c>
      <c r="K350" t="n">
        <v>0</v>
      </c>
      <c r="L350" t="n">
        <v>0</v>
      </c>
      <c r="M350" t="n">
        <v>0</v>
      </c>
      <c r="N350" t="n">
        <v>0</v>
      </c>
      <c r="O350" t="n">
        <v>0</v>
      </c>
      <c r="P350" t="n">
        <v>0</v>
      </c>
      <c r="Q350" t="n">
        <v>0</v>
      </c>
      <c r="R350" s="2" t="inlineStr"/>
    </row>
    <row r="351" ht="15" customHeight="1">
      <c r="A351" t="inlineStr">
        <is>
          <t>A 9702-2022</t>
        </is>
      </c>
      <c r="B351" s="1" t="n">
        <v>44617.6878125</v>
      </c>
      <c r="C351" s="1" t="n">
        <v>45936</v>
      </c>
      <c r="D351" t="inlineStr">
        <is>
          <t>ÖSTERGÖTLANDS LÄN</t>
        </is>
      </c>
      <c r="E351" t="inlineStr">
        <is>
          <t>KINDA</t>
        </is>
      </c>
      <c r="G351" t="n">
        <v>2.8</v>
      </c>
      <c r="H351" t="n">
        <v>0</v>
      </c>
      <c r="I351" t="n">
        <v>0</v>
      </c>
      <c r="J351" t="n">
        <v>0</v>
      </c>
      <c r="K351" t="n">
        <v>0</v>
      </c>
      <c r="L351" t="n">
        <v>0</v>
      </c>
      <c r="M351" t="n">
        <v>0</v>
      </c>
      <c r="N351" t="n">
        <v>0</v>
      </c>
      <c r="O351" t="n">
        <v>0</v>
      </c>
      <c r="P351" t="n">
        <v>0</v>
      </c>
      <c r="Q351" t="n">
        <v>0</v>
      </c>
      <c r="R351" s="2" t="inlineStr"/>
    </row>
    <row r="352" ht="15" customHeight="1">
      <c r="A352" t="inlineStr">
        <is>
          <t>A 19545-2023</t>
        </is>
      </c>
      <c r="B352" s="1" t="n">
        <v>45049</v>
      </c>
      <c r="C352" s="1" t="n">
        <v>45936</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9600-2024</t>
        </is>
      </c>
      <c r="B353" s="1" t="n">
        <v>45361.37284722222</v>
      </c>
      <c r="C353" s="1" t="n">
        <v>45936</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13976-2022</t>
        </is>
      </c>
      <c r="B354" s="1" t="n">
        <v>44650.56546296296</v>
      </c>
      <c r="C354" s="1" t="n">
        <v>45936</v>
      </c>
      <c r="D354" t="inlineStr">
        <is>
          <t>ÖSTERGÖTLANDS LÄN</t>
        </is>
      </c>
      <c r="E354" t="inlineStr">
        <is>
          <t>KINDA</t>
        </is>
      </c>
      <c r="F354" t="inlineStr">
        <is>
          <t>Övriga Aktiebolag</t>
        </is>
      </c>
      <c r="G354" t="n">
        <v>7.4</v>
      </c>
      <c r="H354" t="n">
        <v>0</v>
      </c>
      <c r="I354" t="n">
        <v>0</v>
      </c>
      <c r="J354" t="n">
        <v>0</v>
      </c>
      <c r="K354" t="n">
        <v>0</v>
      </c>
      <c r="L354" t="n">
        <v>0</v>
      </c>
      <c r="M354" t="n">
        <v>0</v>
      </c>
      <c r="N354" t="n">
        <v>0</v>
      </c>
      <c r="O354" t="n">
        <v>0</v>
      </c>
      <c r="P354" t="n">
        <v>0</v>
      </c>
      <c r="Q354" t="n">
        <v>0</v>
      </c>
      <c r="R354" s="2" t="inlineStr"/>
    </row>
    <row r="355" ht="15" customHeight="1">
      <c r="A355" t="inlineStr">
        <is>
          <t>A 4914-2023</t>
        </is>
      </c>
      <c r="B355" s="1" t="n">
        <v>44958.38997685185</v>
      </c>
      <c r="C355" s="1" t="n">
        <v>45936</v>
      </c>
      <c r="D355" t="inlineStr">
        <is>
          <t>ÖSTERGÖTLANDS LÄN</t>
        </is>
      </c>
      <c r="E355" t="inlineStr">
        <is>
          <t>KINDA</t>
        </is>
      </c>
      <c r="G355" t="n">
        <v>1.8</v>
      </c>
      <c r="H355" t="n">
        <v>0</v>
      </c>
      <c r="I355" t="n">
        <v>0</v>
      </c>
      <c r="J355" t="n">
        <v>0</v>
      </c>
      <c r="K355" t="n">
        <v>0</v>
      </c>
      <c r="L355" t="n">
        <v>0</v>
      </c>
      <c r="M355" t="n">
        <v>0</v>
      </c>
      <c r="N355" t="n">
        <v>0</v>
      </c>
      <c r="O355" t="n">
        <v>0</v>
      </c>
      <c r="P355" t="n">
        <v>0</v>
      </c>
      <c r="Q355" t="n">
        <v>0</v>
      </c>
      <c r="R355" s="2" t="inlineStr"/>
    </row>
    <row r="356" ht="15" customHeight="1">
      <c r="A356" t="inlineStr">
        <is>
          <t>A 133-2024</t>
        </is>
      </c>
      <c r="B356" s="1" t="n">
        <v>45294.43197916666</v>
      </c>
      <c r="C356" s="1" t="n">
        <v>45936</v>
      </c>
      <c r="D356" t="inlineStr">
        <is>
          <t>ÖSTERGÖTLANDS LÄN</t>
        </is>
      </c>
      <c r="E356" t="inlineStr">
        <is>
          <t>KINDA</t>
        </is>
      </c>
      <c r="G356" t="n">
        <v>1.3</v>
      </c>
      <c r="H356" t="n">
        <v>0</v>
      </c>
      <c r="I356" t="n">
        <v>0</v>
      </c>
      <c r="J356" t="n">
        <v>0</v>
      </c>
      <c r="K356" t="n">
        <v>0</v>
      </c>
      <c r="L356" t="n">
        <v>0</v>
      </c>
      <c r="M356" t="n">
        <v>0</v>
      </c>
      <c r="N356" t="n">
        <v>0</v>
      </c>
      <c r="O356" t="n">
        <v>0</v>
      </c>
      <c r="P356" t="n">
        <v>0</v>
      </c>
      <c r="Q356" t="n">
        <v>0</v>
      </c>
      <c r="R356" s="2" t="inlineStr"/>
    </row>
    <row r="357" ht="15" customHeight="1">
      <c r="A357" t="inlineStr">
        <is>
          <t>A 48811-2024</t>
        </is>
      </c>
      <c r="B357" s="1" t="n">
        <v>45593.66861111111</v>
      </c>
      <c r="C357" s="1" t="n">
        <v>45936</v>
      </c>
      <c r="D357" t="inlineStr">
        <is>
          <t>ÖSTERGÖTLANDS LÄN</t>
        </is>
      </c>
      <c r="E357" t="inlineStr">
        <is>
          <t>KINDA</t>
        </is>
      </c>
      <c r="G357" t="n">
        <v>1.2</v>
      </c>
      <c r="H357" t="n">
        <v>0</v>
      </c>
      <c r="I357" t="n">
        <v>0</v>
      </c>
      <c r="J357" t="n">
        <v>0</v>
      </c>
      <c r="K357" t="n">
        <v>0</v>
      </c>
      <c r="L357" t="n">
        <v>0</v>
      </c>
      <c r="M357" t="n">
        <v>0</v>
      </c>
      <c r="N357" t="n">
        <v>0</v>
      </c>
      <c r="O357" t="n">
        <v>0</v>
      </c>
      <c r="P357" t="n">
        <v>0</v>
      </c>
      <c r="Q357" t="n">
        <v>0</v>
      </c>
      <c r="R357" s="2" t="inlineStr"/>
    </row>
    <row r="358" ht="15" customHeight="1">
      <c r="A358" t="inlineStr">
        <is>
          <t>A 60343-2023</t>
        </is>
      </c>
      <c r="B358" s="1" t="n">
        <v>45259.31565972222</v>
      </c>
      <c r="C358" s="1" t="n">
        <v>45936</v>
      </c>
      <c r="D358" t="inlineStr">
        <is>
          <t>ÖSTERGÖTLANDS LÄN</t>
        </is>
      </c>
      <c r="E358" t="inlineStr">
        <is>
          <t>KINDA</t>
        </is>
      </c>
      <c r="G358" t="n">
        <v>1.5</v>
      </c>
      <c r="H358" t="n">
        <v>0</v>
      </c>
      <c r="I358" t="n">
        <v>0</v>
      </c>
      <c r="J358" t="n">
        <v>0</v>
      </c>
      <c r="K358" t="n">
        <v>0</v>
      </c>
      <c r="L358" t="n">
        <v>0</v>
      </c>
      <c r="M358" t="n">
        <v>0</v>
      </c>
      <c r="N358" t="n">
        <v>0</v>
      </c>
      <c r="O358" t="n">
        <v>0</v>
      </c>
      <c r="P358" t="n">
        <v>0</v>
      </c>
      <c r="Q358" t="n">
        <v>0</v>
      </c>
      <c r="R358" s="2" t="inlineStr"/>
    </row>
    <row r="359" ht="15" customHeight="1">
      <c r="A359" t="inlineStr">
        <is>
          <t>A 24023-2024</t>
        </is>
      </c>
      <c r="B359" s="1" t="n">
        <v>45456.44684027778</v>
      </c>
      <c r="C359" s="1" t="n">
        <v>45936</v>
      </c>
      <c r="D359" t="inlineStr">
        <is>
          <t>ÖSTERGÖTLANDS LÄN</t>
        </is>
      </c>
      <c r="E359" t="inlineStr">
        <is>
          <t>KINDA</t>
        </is>
      </c>
      <c r="G359" t="n">
        <v>7.1</v>
      </c>
      <c r="H359" t="n">
        <v>0</v>
      </c>
      <c r="I359" t="n">
        <v>0</v>
      </c>
      <c r="J359" t="n">
        <v>0</v>
      </c>
      <c r="K359" t="n">
        <v>0</v>
      </c>
      <c r="L359" t="n">
        <v>0</v>
      </c>
      <c r="M359" t="n">
        <v>0</v>
      </c>
      <c r="N359" t="n">
        <v>0</v>
      </c>
      <c r="O359" t="n">
        <v>0</v>
      </c>
      <c r="P359" t="n">
        <v>0</v>
      </c>
      <c r="Q359" t="n">
        <v>0</v>
      </c>
      <c r="R359" s="2" t="inlineStr"/>
    </row>
    <row r="360" ht="15" customHeight="1">
      <c r="A360" t="inlineStr">
        <is>
          <t>A 62254-2023</t>
        </is>
      </c>
      <c r="B360" s="1" t="n">
        <v>45267.61618055555</v>
      </c>
      <c r="C360" s="1" t="n">
        <v>45936</v>
      </c>
      <c r="D360" t="inlineStr">
        <is>
          <t>ÖSTERGÖTLANDS LÄN</t>
        </is>
      </c>
      <c r="E360" t="inlineStr">
        <is>
          <t>KINDA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1760-2024</t>
        </is>
      </c>
      <c r="B361" s="1" t="n">
        <v>45307.48108796297</v>
      </c>
      <c r="C361" s="1" t="n">
        <v>45936</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10020-2025</t>
        </is>
      </c>
      <c r="B362" s="1" t="n">
        <v>45719.48104166667</v>
      </c>
      <c r="C362" s="1" t="n">
        <v>45936</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53306-2024</t>
        </is>
      </c>
      <c r="B363" s="1" t="n">
        <v>45614.39091435185</v>
      </c>
      <c r="C363" s="1" t="n">
        <v>45936</v>
      </c>
      <c r="D363" t="inlineStr">
        <is>
          <t>ÖSTERGÖTLANDS LÄN</t>
        </is>
      </c>
      <c r="E363" t="inlineStr">
        <is>
          <t>KINDA</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610-2022</t>
        </is>
      </c>
      <c r="B364" s="1" t="n">
        <v>44567.77518518519</v>
      </c>
      <c r="C364" s="1" t="n">
        <v>45936</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38827-2021</t>
        </is>
      </c>
      <c r="B365" s="1" t="n">
        <v>44411</v>
      </c>
      <c r="C365" s="1" t="n">
        <v>45936</v>
      </c>
      <c r="D365" t="inlineStr">
        <is>
          <t>ÖSTERGÖTLANDS LÄN</t>
        </is>
      </c>
      <c r="E365" t="inlineStr">
        <is>
          <t>KINDA</t>
        </is>
      </c>
      <c r="F365" t="inlineStr">
        <is>
          <t>Övriga Aktiebolag</t>
        </is>
      </c>
      <c r="G365" t="n">
        <v>13.6</v>
      </c>
      <c r="H365" t="n">
        <v>0</v>
      </c>
      <c r="I365" t="n">
        <v>0</v>
      </c>
      <c r="J365" t="n">
        <v>0</v>
      </c>
      <c r="K365" t="n">
        <v>0</v>
      </c>
      <c r="L365" t="n">
        <v>0</v>
      </c>
      <c r="M365" t="n">
        <v>0</v>
      </c>
      <c r="N365" t="n">
        <v>0</v>
      </c>
      <c r="O365" t="n">
        <v>0</v>
      </c>
      <c r="P365" t="n">
        <v>0</v>
      </c>
      <c r="Q365" t="n">
        <v>0</v>
      </c>
      <c r="R365" s="2" t="inlineStr"/>
    </row>
    <row r="366" ht="15" customHeight="1">
      <c r="A366" t="inlineStr">
        <is>
          <t>A 12016-2021</t>
        </is>
      </c>
      <c r="B366" s="1" t="n">
        <v>44266.44692129629</v>
      </c>
      <c r="C366" s="1" t="n">
        <v>45936</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9203-2023</t>
        </is>
      </c>
      <c r="B367" s="1" t="n">
        <v>44977</v>
      </c>
      <c r="C367" s="1" t="n">
        <v>45936</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8413-2025</t>
        </is>
      </c>
      <c r="B368" s="1" t="n">
        <v>45709.39325231482</v>
      </c>
      <c r="C368" s="1" t="n">
        <v>45936</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row>
    <row r="369" ht="15" customHeight="1">
      <c r="A369" t="inlineStr">
        <is>
          <t>A 8233-2023</t>
        </is>
      </c>
      <c r="B369" s="1" t="n">
        <v>44974.57886574074</v>
      </c>
      <c r="C369" s="1" t="n">
        <v>45936</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34135-2021</t>
        </is>
      </c>
      <c r="B370" s="1" t="n">
        <v>44379</v>
      </c>
      <c r="C370" s="1" t="n">
        <v>45936</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13845-2025</t>
        </is>
      </c>
      <c r="B371" s="1" t="n">
        <v>45737.5596875</v>
      </c>
      <c r="C371" s="1" t="n">
        <v>45936</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46944-2025</t>
        </is>
      </c>
      <c r="B372" s="1" t="n">
        <v>45929.45878472222</v>
      </c>
      <c r="C372" s="1" t="n">
        <v>45936</v>
      </c>
      <c r="D372" t="inlineStr">
        <is>
          <t>ÖSTERGÖTLANDS LÄN</t>
        </is>
      </c>
      <c r="E372" t="inlineStr">
        <is>
          <t>KINDA</t>
        </is>
      </c>
      <c r="G372" t="n">
        <v>3.1</v>
      </c>
      <c r="H372" t="n">
        <v>0</v>
      </c>
      <c r="I372" t="n">
        <v>0</v>
      </c>
      <c r="J372" t="n">
        <v>0</v>
      </c>
      <c r="K372" t="n">
        <v>0</v>
      </c>
      <c r="L372" t="n">
        <v>0</v>
      </c>
      <c r="M372" t="n">
        <v>0</v>
      </c>
      <c r="N372" t="n">
        <v>0</v>
      </c>
      <c r="O372" t="n">
        <v>0</v>
      </c>
      <c r="P372" t="n">
        <v>0</v>
      </c>
      <c r="Q372" t="n">
        <v>0</v>
      </c>
      <c r="R372" s="2" t="inlineStr"/>
    </row>
    <row r="373" ht="15" customHeight="1">
      <c r="A373" t="inlineStr">
        <is>
          <t>A 32610-2023</t>
        </is>
      </c>
      <c r="B373" s="1" t="n">
        <v>45111</v>
      </c>
      <c r="C373" s="1" t="n">
        <v>45936</v>
      </c>
      <c r="D373" t="inlineStr">
        <is>
          <t>ÖSTERGÖTLANDS LÄN</t>
        </is>
      </c>
      <c r="E373" t="inlineStr">
        <is>
          <t>KINDA</t>
        </is>
      </c>
      <c r="G373" t="n">
        <v>8.9</v>
      </c>
      <c r="H373" t="n">
        <v>0</v>
      </c>
      <c r="I373" t="n">
        <v>0</v>
      </c>
      <c r="J373" t="n">
        <v>0</v>
      </c>
      <c r="K373" t="n">
        <v>0</v>
      </c>
      <c r="L373" t="n">
        <v>0</v>
      </c>
      <c r="M373" t="n">
        <v>0</v>
      </c>
      <c r="N373" t="n">
        <v>0</v>
      </c>
      <c r="O373" t="n">
        <v>0</v>
      </c>
      <c r="P373" t="n">
        <v>0</v>
      </c>
      <c r="Q373" t="n">
        <v>0</v>
      </c>
      <c r="R373" s="2" t="inlineStr"/>
    </row>
    <row r="374" ht="15" customHeight="1">
      <c r="A374" t="inlineStr">
        <is>
          <t>A 21246-2023</t>
        </is>
      </c>
      <c r="B374" s="1" t="n">
        <v>45062.57262731482</v>
      </c>
      <c r="C374" s="1" t="n">
        <v>45936</v>
      </c>
      <c r="D374" t="inlineStr">
        <is>
          <t>ÖSTERGÖTLANDS LÄN</t>
        </is>
      </c>
      <c r="E374" t="inlineStr">
        <is>
          <t>KINDA</t>
        </is>
      </c>
      <c r="G374" t="n">
        <v>5.5</v>
      </c>
      <c r="H374" t="n">
        <v>0</v>
      </c>
      <c r="I374" t="n">
        <v>0</v>
      </c>
      <c r="J374" t="n">
        <v>0</v>
      </c>
      <c r="K374" t="n">
        <v>0</v>
      </c>
      <c r="L374" t="n">
        <v>0</v>
      </c>
      <c r="M374" t="n">
        <v>0</v>
      </c>
      <c r="N374" t="n">
        <v>0</v>
      </c>
      <c r="O374" t="n">
        <v>0</v>
      </c>
      <c r="P374" t="n">
        <v>0</v>
      </c>
      <c r="Q374" t="n">
        <v>0</v>
      </c>
      <c r="R374" s="2" t="inlineStr"/>
    </row>
    <row r="375" ht="15" customHeight="1">
      <c r="A375" t="inlineStr">
        <is>
          <t>A 12568-2025</t>
        </is>
      </c>
      <c r="B375" s="1" t="n">
        <v>45731.65049768519</v>
      </c>
      <c r="C375" s="1" t="n">
        <v>45936</v>
      </c>
      <c r="D375" t="inlineStr">
        <is>
          <t>ÖSTERGÖTLANDS LÄN</t>
        </is>
      </c>
      <c r="E375" t="inlineStr">
        <is>
          <t>KINDA</t>
        </is>
      </c>
      <c r="G375" t="n">
        <v>3.9</v>
      </c>
      <c r="H375" t="n">
        <v>0</v>
      </c>
      <c r="I375" t="n">
        <v>0</v>
      </c>
      <c r="J375" t="n">
        <v>0</v>
      </c>
      <c r="K375" t="n">
        <v>0</v>
      </c>
      <c r="L375" t="n">
        <v>0</v>
      </c>
      <c r="M375" t="n">
        <v>0</v>
      </c>
      <c r="N375" t="n">
        <v>0</v>
      </c>
      <c r="O375" t="n">
        <v>0</v>
      </c>
      <c r="P375" t="n">
        <v>0</v>
      </c>
      <c r="Q375" t="n">
        <v>0</v>
      </c>
      <c r="R375" s="2" t="inlineStr"/>
    </row>
    <row r="376" ht="15" customHeight="1">
      <c r="A376" t="inlineStr">
        <is>
          <t>A 1503-2023</t>
        </is>
      </c>
      <c r="B376" s="1" t="n">
        <v>44935</v>
      </c>
      <c r="C376" s="1" t="n">
        <v>45936</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row>
    <row r="377" ht="15" customHeight="1">
      <c r="A377" t="inlineStr">
        <is>
          <t>A 27099-2023</t>
        </is>
      </c>
      <c r="B377" s="1" t="n">
        <v>45096</v>
      </c>
      <c r="C377" s="1" t="n">
        <v>45936</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46901-2025</t>
        </is>
      </c>
      <c r="B378" s="1" t="n">
        <v>45929.39244212963</v>
      </c>
      <c r="C378" s="1" t="n">
        <v>45936</v>
      </c>
      <c r="D378" t="inlineStr">
        <is>
          <t>ÖSTERGÖTLANDS LÄN</t>
        </is>
      </c>
      <c r="E378" t="inlineStr">
        <is>
          <t>KINDA</t>
        </is>
      </c>
      <c r="G378" t="n">
        <v>3.1</v>
      </c>
      <c r="H378" t="n">
        <v>0</v>
      </c>
      <c r="I378" t="n">
        <v>0</v>
      </c>
      <c r="J378" t="n">
        <v>0</v>
      </c>
      <c r="K378" t="n">
        <v>0</v>
      </c>
      <c r="L378" t="n">
        <v>0</v>
      </c>
      <c r="M378" t="n">
        <v>0</v>
      </c>
      <c r="N378" t="n">
        <v>0</v>
      </c>
      <c r="O378" t="n">
        <v>0</v>
      </c>
      <c r="P378" t="n">
        <v>0</v>
      </c>
      <c r="Q378" t="n">
        <v>0</v>
      </c>
      <c r="R378" s="2" t="inlineStr"/>
    </row>
    <row r="379" ht="15" customHeight="1">
      <c r="A379" t="inlineStr">
        <is>
          <t>A 46916-2025</t>
        </is>
      </c>
      <c r="B379" s="1" t="n">
        <v>45929.42545138889</v>
      </c>
      <c r="C379" s="1" t="n">
        <v>45936</v>
      </c>
      <c r="D379" t="inlineStr">
        <is>
          <t>ÖSTERGÖTLANDS LÄN</t>
        </is>
      </c>
      <c r="E379" t="inlineStr">
        <is>
          <t>KINDA</t>
        </is>
      </c>
      <c r="G379" t="n">
        <v>3.4</v>
      </c>
      <c r="H379" t="n">
        <v>0</v>
      </c>
      <c r="I379" t="n">
        <v>0</v>
      </c>
      <c r="J379" t="n">
        <v>0</v>
      </c>
      <c r="K379" t="n">
        <v>0</v>
      </c>
      <c r="L379" t="n">
        <v>0</v>
      </c>
      <c r="M379" t="n">
        <v>0</v>
      </c>
      <c r="N379" t="n">
        <v>0</v>
      </c>
      <c r="O379" t="n">
        <v>0</v>
      </c>
      <c r="P379" t="n">
        <v>0</v>
      </c>
      <c r="Q379" t="n">
        <v>0</v>
      </c>
      <c r="R379" s="2" t="inlineStr"/>
    </row>
    <row r="380" ht="15" customHeight="1">
      <c r="A380" t="inlineStr">
        <is>
          <t>A 47003-2025</t>
        </is>
      </c>
      <c r="B380" s="1" t="n">
        <v>45929.5552662037</v>
      </c>
      <c r="C380" s="1" t="n">
        <v>45936</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25626-2022</t>
        </is>
      </c>
      <c r="B381" s="1" t="n">
        <v>44732</v>
      </c>
      <c r="C381" s="1" t="n">
        <v>45936</v>
      </c>
      <c r="D381" t="inlineStr">
        <is>
          <t>ÖSTERGÖTLANDS LÄN</t>
        </is>
      </c>
      <c r="E381" t="inlineStr">
        <is>
          <t>KINDA</t>
        </is>
      </c>
      <c r="G381" t="n">
        <v>7</v>
      </c>
      <c r="H381" t="n">
        <v>0</v>
      </c>
      <c r="I381" t="n">
        <v>0</v>
      </c>
      <c r="J381" t="n">
        <v>0</v>
      </c>
      <c r="K381" t="n">
        <v>0</v>
      </c>
      <c r="L381" t="n">
        <v>0</v>
      </c>
      <c r="M381" t="n">
        <v>0</v>
      </c>
      <c r="N381" t="n">
        <v>0</v>
      </c>
      <c r="O381" t="n">
        <v>0</v>
      </c>
      <c r="P381" t="n">
        <v>0</v>
      </c>
      <c r="Q381" t="n">
        <v>0</v>
      </c>
      <c r="R381" s="2" t="inlineStr"/>
    </row>
    <row r="382" ht="15" customHeight="1">
      <c r="A382" t="inlineStr">
        <is>
          <t>A 13273-2021</t>
        </is>
      </c>
      <c r="B382" s="1" t="n">
        <v>44272</v>
      </c>
      <c r="C382" s="1" t="n">
        <v>45936</v>
      </c>
      <c r="D382" t="inlineStr">
        <is>
          <t>ÖSTERGÖTLANDS LÄN</t>
        </is>
      </c>
      <c r="E382" t="inlineStr">
        <is>
          <t>KINDA</t>
        </is>
      </c>
      <c r="G382" t="n">
        <v>3.4</v>
      </c>
      <c r="H382" t="n">
        <v>0</v>
      </c>
      <c r="I382" t="n">
        <v>0</v>
      </c>
      <c r="J382" t="n">
        <v>0</v>
      </c>
      <c r="K382" t="n">
        <v>0</v>
      </c>
      <c r="L382" t="n">
        <v>0</v>
      </c>
      <c r="M382" t="n">
        <v>0</v>
      </c>
      <c r="N382" t="n">
        <v>0</v>
      </c>
      <c r="O382" t="n">
        <v>0</v>
      </c>
      <c r="P382" t="n">
        <v>0</v>
      </c>
      <c r="Q382" t="n">
        <v>0</v>
      </c>
      <c r="R382" s="2" t="inlineStr"/>
    </row>
    <row r="383" ht="15" customHeight="1">
      <c r="A383" t="inlineStr">
        <is>
          <t>A 31839-2023</t>
        </is>
      </c>
      <c r="B383" s="1" t="n">
        <v>45118.57342592593</v>
      </c>
      <c r="C383" s="1" t="n">
        <v>45936</v>
      </c>
      <c r="D383" t="inlineStr">
        <is>
          <t>ÖSTERGÖTLANDS LÄN</t>
        </is>
      </c>
      <c r="E383" t="inlineStr">
        <is>
          <t>KINDA</t>
        </is>
      </c>
      <c r="G383" t="n">
        <v>1.6</v>
      </c>
      <c r="H383" t="n">
        <v>0</v>
      </c>
      <c r="I383" t="n">
        <v>0</v>
      </c>
      <c r="J383" t="n">
        <v>0</v>
      </c>
      <c r="K383" t="n">
        <v>0</v>
      </c>
      <c r="L383" t="n">
        <v>0</v>
      </c>
      <c r="M383" t="n">
        <v>0</v>
      </c>
      <c r="N383" t="n">
        <v>0</v>
      </c>
      <c r="O383" t="n">
        <v>0</v>
      </c>
      <c r="P383" t="n">
        <v>0</v>
      </c>
      <c r="Q383" t="n">
        <v>0</v>
      </c>
      <c r="R383" s="2" t="inlineStr"/>
    </row>
    <row r="384" ht="15" customHeight="1">
      <c r="A384" t="inlineStr">
        <is>
          <t>A 44139-2024</t>
        </is>
      </c>
      <c r="B384" s="1" t="n">
        <v>45572.6625</v>
      </c>
      <c r="C384" s="1" t="n">
        <v>45936</v>
      </c>
      <c r="D384" t="inlineStr">
        <is>
          <t>ÖSTERGÖTLANDS LÄN</t>
        </is>
      </c>
      <c r="E384" t="inlineStr">
        <is>
          <t>KINDA</t>
        </is>
      </c>
      <c r="G384" t="n">
        <v>3.6</v>
      </c>
      <c r="H384" t="n">
        <v>0</v>
      </c>
      <c r="I384" t="n">
        <v>0</v>
      </c>
      <c r="J384" t="n">
        <v>0</v>
      </c>
      <c r="K384" t="n">
        <v>0</v>
      </c>
      <c r="L384" t="n">
        <v>0</v>
      </c>
      <c r="M384" t="n">
        <v>0</v>
      </c>
      <c r="N384" t="n">
        <v>0</v>
      </c>
      <c r="O384" t="n">
        <v>0</v>
      </c>
      <c r="P384" t="n">
        <v>0</v>
      </c>
      <c r="Q384" t="n">
        <v>0</v>
      </c>
      <c r="R384" s="2" t="inlineStr"/>
    </row>
    <row r="385" ht="15" customHeight="1">
      <c r="A385" t="inlineStr">
        <is>
          <t>A 17174-2022</t>
        </is>
      </c>
      <c r="B385" s="1" t="n">
        <v>44677</v>
      </c>
      <c r="C385" s="1" t="n">
        <v>45936</v>
      </c>
      <c r="D385" t="inlineStr">
        <is>
          <t>ÖSTERGÖTLANDS LÄN</t>
        </is>
      </c>
      <c r="E385" t="inlineStr">
        <is>
          <t>KINDA</t>
        </is>
      </c>
      <c r="G385" t="n">
        <v>1.8</v>
      </c>
      <c r="H385" t="n">
        <v>0</v>
      </c>
      <c r="I385" t="n">
        <v>0</v>
      </c>
      <c r="J385" t="n">
        <v>0</v>
      </c>
      <c r="K385" t="n">
        <v>0</v>
      </c>
      <c r="L385" t="n">
        <v>0</v>
      </c>
      <c r="M385" t="n">
        <v>0</v>
      </c>
      <c r="N385" t="n">
        <v>0</v>
      </c>
      <c r="O385" t="n">
        <v>0</v>
      </c>
      <c r="P385" t="n">
        <v>0</v>
      </c>
      <c r="Q385" t="n">
        <v>0</v>
      </c>
      <c r="R385" s="2" t="inlineStr"/>
    </row>
    <row r="386" ht="15" customHeight="1">
      <c r="A386" t="inlineStr">
        <is>
          <t>A 29516-2024</t>
        </is>
      </c>
      <c r="B386" s="1" t="n">
        <v>45484</v>
      </c>
      <c r="C386" s="1" t="n">
        <v>45936</v>
      </c>
      <c r="D386" t="inlineStr">
        <is>
          <t>ÖSTERGÖTLANDS LÄN</t>
        </is>
      </c>
      <c r="E386" t="inlineStr">
        <is>
          <t>KINDA</t>
        </is>
      </c>
      <c r="G386" t="n">
        <v>1.8</v>
      </c>
      <c r="H386" t="n">
        <v>0</v>
      </c>
      <c r="I386" t="n">
        <v>0</v>
      </c>
      <c r="J386" t="n">
        <v>0</v>
      </c>
      <c r="K386" t="n">
        <v>0</v>
      </c>
      <c r="L386" t="n">
        <v>0</v>
      </c>
      <c r="M386" t="n">
        <v>0</v>
      </c>
      <c r="N386" t="n">
        <v>0</v>
      </c>
      <c r="O386" t="n">
        <v>0</v>
      </c>
      <c r="P386" t="n">
        <v>0</v>
      </c>
      <c r="Q386" t="n">
        <v>0</v>
      </c>
      <c r="R386" s="2" t="inlineStr"/>
    </row>
    <row r="387" ht="15" customHeight="1">
      <c r="A387" t="inlineStr">
        <is>
          <t>A 51047-2022</t>
        </is>
      </c>
      <c r="B387" s="1" t="n">
        <v>44868</v>
      </c>
      <c r="C387" s="1" t="n">
        <v>45936</v>
      </c>
      <c r="D387" t="inlineStr">
        <is>
          <t>ÖSTERGÖTLANDS LÄN</t>
        </is>
      </c>
      <c r="E387" t="inlineStr">
        <is>
          <t>KINDA</t>
        </is>
      </c>
      <c r="G387" t="n">
        <v>0.9</v>
      </c>
      <c r="H387" t="n">
        <v>0</v>
      </c>
      <c r="I387" t="n">
        <v>0</v>
      </c>
      <c r="J387" t="n">
        <v>0</v>
      </c>
      <c r="K387" t="n">
        <v>0</v>
      </c>
      <c r="L387" t="n">
        <v>0</v>
      </c>
      <c r="M387" t="n">
        <v>0</v>
      </c>
      <c r="N387" t="n">
        <v>0</v>
      </c>
      <c r="O387" t="n">
        <v>0</v>
      </c>
      <c r="P387" t="n">
        <v>0</v>
      </c>
      <c r="Q387" t="n">
        <v>0</v>
      </c>
      <c r="R387" s="2" t="inlineStr"/>
    </row>
    <row r="388" ht="15" customHeight="1">
      <c r="A388" t="inlineStr">
        <is>
          <t>A 31147-2025</t>
        </is>
      </c>
      <c r="B388" s="1" t="n">
        <v>45832.6390625</v>
      </c>
      <c r="C388" s="1" t="n">
        <v>45936</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10035-2025</t>
        </is>
      </c>
      <c r="B389" s="1" t="n">
        <v>45719.49922453704</v>
      </c>
      <c r="C389" s="1" t="n">
        <v>45936</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c r="U389">
        <f>HYPERLINK("https://klasma.github.io/Logging_0513/knärot/A 10035-2025 karta knärot.png", "A 10035-2025")</f>
        <v/>
      </c>
      <c r="V389">
        <f>HYPERLINK("https://klasma.github.io/Logging_0513/klagomål/A 10035-2025 FSC-klagomål.docx", "A 10035-2025")</f>
        <v/>
      </c>
      <c r="W389">
        <f>HYPERLINK("https://klasma.github.io/Logging_0513/klagomålsmail/A 10035-2025 FSC-klagomål mail.docx", "A 10035-2025")</f>
        <v/>
      </c>
      <c r="X389">
        <f>HYPERLINK("https://klasma.github.io/Logging_0513/tillsyn/A 10035-2025 tillsynsbegäran.docx", "A 10035-2025")</f>
        <v/>
      </c>
      <c r="Y389">
        <f>HYPERLINK("https://klasma.github.io/Logging_0513/tillsynsmail/A 10035-2025 tillsynsbegäran mail.docx", "A 10035-2025")</f>
        <v/>
      </c>
    </row>
    <row r="390" ht="15" customHeight="1">
      <c r="A390" t="inlineStr">
        <is>
          <t>A 61954-2022</t>
        </is>
      </c>
      <c r="B390" s="1" t="n">
        <v>44918.33840277778</v>
      </c>
      <c r="C390" s="1" t="n">
        <v>45936</v>
      </c>
      <c r="D390" t="inlineStr">
        <is>
          <t>ÖSTERGÖTLANDS LÄN</t>
        </is>
      </c>
      <c r="E390" t="inlineStr">
        <is>
          <t>KINDA</t>
        </is>
      </c>
      <c r="G390" t="n">
        <v>6.2</v>
      </c>
      <c r="H390" t="n">
        <v>0</v>
      </c>
      <c r="I390" t="n">
        <v>0</v>
      </c>
      <c r="J390" t="n">
        <v>0</v>
      </c>
      <c r="K390" t="n">
        <v>0</v>
      </c>
      <c r="L390" t="n">
        <v>0</v>
      </c>
      <c r="M390" t="n">
        <v>0</v>
      </c>
      <c r="N390" t="n">
        <v>0</v>
      </c>
      <c r="O390" t="n">
        <v>0</v>
      </c>
      <c r="P390" t="n">
        <v>0</v>
      </c>
      <c r="Q390" t="n">
        <v>0</v>
      </c>
      <c r="R390" s="2" t="inlineStr"/>
    </row>
    <row r="391" ht="15" customHeight="1">
      <c r="A391" t="inlineStr">
        <is>
          <t>A 57194-2023</t>
        </is>
      </c>
      <c r="B391" s="1" t="n">
        <v>45245.47634259259</v>
      </c>
      <c r="C391" s="1" t="n">
        <v>45936</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23717-2021</t>
        </is>
      </c>
      <c r="B392" s="1" t="n">
        <v>44334.71728009259</v>
      </c>
      <c r="C392" s="1" t="n">
        <v>45936</v>
      </c>
      <c r="D392" t="inlineStr">
        <is>
          <t>ÖSTERGÖTLANDS LÄN</t>
        </is>
      </c>
      <c r="E392" t="inlineStr">
        <is>
          <t>KINDA</t>
        </is>
      </c>
      <c r="G392" t="n">
        <v>1.8</v>
      </c>
      <c r="H392" t="n">
        <v>0</v>
      </c>
      <c r="I392" t="n">
        <v>0</v>
      </c>
      <c r="J392" t="n">
        <v>0</v>
      </c>
      <c r="K392" t="n">
        <v>0</v>
      </c>
      <c r="L392" t="n">
        <v>0</v>
      </c>
      <c r="M392" t="n">
        <v>0</v>
      </c>
      <c r="N392" t="n">
        <v>0</v>
      </c>
      <c r="O392" t="n">
        <v>0</v>
      </c>
      <c r="P392" t="n">
        <v>0</v>
      </c>
      <c r="Q392" t="n">
        <v>0</v>
      </c>
      <c r="R392" s="2" t="inlineStr"/>
    </row>
    <row r="393" ht="15" customHeight="1">
      <c r="A393" t="inlineStr">
        <is>
          <t>A 41379-2024</t>
        </is>
      </c>
      <c r="B393" s="1" t="n">
        <v>45560.2703125</v>
      </c>
      <c r="C393" s="1" t="n">
        <v>45936</v>
      </c>
      <c r="D393" t="inlineStr">
        <is>
          <t>ÖSTERGÖTLANDS LÄN</t>
        </is>
      </c>
      <c r="E393" t="inlineStr">
        <is>
          <t>KINDA</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6409-2025</t>
        </is>
      </c>
      <c r="B394" s="1" t="n">
        <v>45699.45700231481</v>
      </c>
      <c r="C394" s="1" t="n">
        <v>45936</v>
      </c>
      <c r="D394" t="inlineStr">
        <is>
          <t>ÖSTERGÖTLANDS LÄN</t>
        </is>
      </c>
      <c r="E394" t="inlineStr">
        <is>
          <t>KINDA</t>
        </is>
      </c>
      <c r="F394" t="inlineStr">
        <is>
          <t>Sveaskog</t>
        </is>
      </c>
      <c r="G394" t="n">
        <v>2.7</v>
      </c>
      <c r="H394" t="n">
        <v>0</v>
      </c>
      <c r="I394" t="n">
        <v>0</v>
      </c>
      <c r="J394" t="n">
        <v>0</v>
      </c>
      <c r="K394" t="n">
        <v>0</v>
      </c>
      <c r="L394" t="n">
        <v>0</v>
      </c>
      <c r="M394" t="n">
        <v>0</v>
      </c>
      <c r="N394" t="n">
        <v>0</v>
      </c>
      <c r="O394" t="n">
        <v>0</v>
      </c>
      <c r="P394" t="n">
        <v>0</v>
      </c>
      <c r="Q394" t="n">
        <v>0</v>
      </c>
      <c r="R394" s="2" t="inlineStr"/>
    </row>
    <row r="395" ht="15" customHeight="1">
      <c r="A395" t="inlineStr">
        <is>
          <t>A 9182-2024</t>
        </is>
      </c>
      <c r="B395" s="1" t="n">
        <v>45358.44520833333</v>
      </c>
      <c r="C395" s="1" t="n">
        <v>45936</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15159-2022</t>
        </is>
      </c>
      <c r="B396" s="1" t="n">
        <v>44658.49030092593</v>
      </c>
      <c r="C396" s="1" t="n">
        <v>45936</v>
      </c>
      <c r="D396" t="inlineStr">
        <is>
          <t>ÖSTERGÖTLANDS LÄN</t>
        </is>
      </c>
      <c r="E396" t="inlineStr">
        <is>
          <t>KINDA</t>
        </is>
      </c>
      <c r="G396" t="n">
        <v>2.9</v>
      </c>
      <c r="H396" t="n">
        <v>0</v>
      </c>
      <c r="I396" t="n">
        <v>0</v>
      </c>
      <c r="J396" t="n">
        <v>0</v>
      </c>
      <c r="K396" t="n">
        <v>0</v>
      </c>
      <c r="L396" t="n">
        <v>0</v>
      </c>
      <c r="M396" t="n">
        <v>0</v>
      </c>
      <c r="N396" t="n">
        <v>0</v>
      </c>
      <c r="O396" t="n">
        <v>0</v>
      </c>
      <c r="P396" t="n">
        <v>0</v>
      </c>
      <c r="Q396" t="n">
        <v>0</v>
      </c>
      <c r="R396" s="2" t="inlineStr"/>
    </row>
    <row r="397" ht="15" customHeight="1">
      <c r="A397" t="inlineStr">
        <is>
          <t>A 3911-2023</t>
        </is>
      </c>
      <c r="B397" s="1" t="n">
        <v>44952</v>
      </c>
      <c r="C397" s="1" t="n">
        <v>45936</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49798-2024</t>
        </is>
      </c>
      <c r="B398" s="1" t="n">
        <v>45597.37384259259</v>
      </c>
      <c r="C398" s="1" t="n">
        <v>45936</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2969-2024</t>
        </is>
      </c>
      <c r="B399" s="1" t="n">
        <v>45315.66914351852</v>
      </c>
      <c r="C399" s="1" t="n">
        <v>45936</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39246-2025</t>
        </is>
      </c>
      <c r="B400" s="1" t="n">
        <v>45889.35399305556</v>
      </c>
      <c r="C400" s="1" t="n">
        <v>45936</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11881-2025</t>
        </is>
      </c>
      <c r="B401" s="1" t="n">
        <v>45728.44758101852</v>
      </c>
      <c r="C401" s="1" t="n">
        <v>45936</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21795-2024</t>
        </is>
      </c>
      <c r="B402" s="1" t="n">
        <v>45442.6459837963</v>
      </c>
      <c r="C402" s="1" t="n">
        <v>45936</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22029-2025</t>
        </is>
      </c>
      <c r="B403" s="1" t="n">
        <v>45785.24804398148</v>
      </c>
      <c r="C403" s="1" t="n">
        <v>45936</v>
      </c>
      <c r="D403" t="inlineStr">
        <is>
          <t>ÖSTERGÖTLANDS LÄN</t>
        </is>
      </c>
      <c r="E403" t="inlineStr">
        <is>
          <t>KINDA</t>
        </is>
      </c>
      <c r="G403" t="n">
        <v>5.2</v>
      </c>
      <c r="H403" t="n">
        <v>0</v>
      </c>
      <c r="I403" t="n">
        <v>0</v>
      </c>
      <c r="J403" t="n">
        <v>0</v>
      </c>
      <c r="K403" t="n">
        <v>0</v>
      </c>
      <c r="L403" t="n">
        <v>0</v>
      </c>
      <c r="M403" t="n">
        <v>0</v>
      </c>
      <c r="N403" t="n">
        <v>0</v>
      </c>
      <c r="O403" t="n">
        <v>0</v>
      </c>
      <c r="P403" t="n">
        <v>0</v>
      </c>
      <c r="Q403" t="n">
        <v>0</v>
      </c>
      <c r="R403" s="2" t="inlineStr"/>
    </row>
    <row r="404" ht="15" customHeight="1">
      <c r="A404" t="inlineStr">
        <is>
          <t>A 17480-2025</t>
        </is>
      </c>
      <c r="B404" s="1" t="n">
        <v>45757.48918981481</v>
      </c>
      <c r="C404" s="1" t="n">
        <v>45936</v>
      </c>
      <c r="D404" t="inlineStr">
        <is>
          <t>ÖSTERGÖTLANDS LÄN</t>
        </is>
      </c>
      <c r="E404" t="inlineStr">
        <is>
          <t>KINDA</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33997-2023</t>
        </is>
      </c>
      <c r="B405" s="1" t="n">
        <v>45134</v>
      </c>
      <c r="C405" s="1" t="n">
        <v>45936</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57987-2024</t>
        </is>
      </c>
      <c r="B406" s="1" t="n">
        <v>45631.62002314815</v>
      </c>
      <c r="C406" s="1" t="n">
        <v>45936</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46890-2025</t>
        </is>
      </c>
      <c r="B407" s="1" t="n">
        <v>45929</v>
      </c>
      <c r="C407" s="1" t="n">
        <v>45936</v>
      </c>
      <c r="D407" t="inlineStr">
        <is>
          <t>ÖSTERGÖTLANDS LÄN</t>
        </is>
      </c>
      <c r="E407" t="inlineStr">
        <is>
          <t>KINDA</t>
        </is>
      </c>
      <c r="G407" t="n">
        <v>3.8</v>
      </c>
      <c r="H407" t="n">
        <v>0</v>
      </c>
      <c r="I407" t="n">
        <v>0</v>
      </c>
      <c r="J407" t="n">
        <v>0</v>
      </c>
      <c r="K407" t="n">
        <v>0</v>
      </c>
      <c r="L407" t="n">
        <v>0</v>
      </c>
      <c r="M407" t="n">
        <v>0</v>
      </c>
      <c r="N407" t="n">
        <v>0</v>
      </c>
      <c r="O407" t="n">
        <v>0</v>
      </c>
      <c r="P407" t="n">
        <v>0</v>
      </c>
      <c r="Q407" t="n">
        <v>0</v>
      </c>
      <c r="R407" s="2" t="inlineStr"/>
    </row>
    <row r="408" ht="15" customHeight="1">
      <c r="A408" t="inlineStr">
        <is>
          <t>A 27648-2023</t>
        </is>
      </c>
      <c r="B408" s="1" t="n">
        <v>45097.68376157407</v>
      </c>
      <c r="C408" s="1" t="n">
        <v>45936</v>
      </c>
      <c r="D408" t="inlineStr">
        <is>
          <t>ÖSTERGÖTLANDS LÄN</t>
        </is>
      </c>
      <c r="E408" t="inlineStr">
        <is>
          <t>KINDA</t>
        </is>
      </c>
      <c r="G408" t="n">
        <v>0.9</v>
      </c>
      <c r="H408" t="n">
        <v>0</v>
      </c>
      <c r="I408" t="n">
        <v>0</v>
      </c>
      <c r="J408" t="n">
        <v>0</v>
      </c>
      <c r="K408" t="n">
        <v>0</v>
      </c>
      <c r="L408" t="n">
        <v>0</v>
      </c>
      <c r="M408" t="n">
        <v>0</v>
      </c>
      <c r="N408" t="n">
        <v>0</v>
      </c>
      <c r="O408" t="n">
        <v>0</v>
      </c>
      <c r="P408" t="n">
        <v>0</v>
      </c>
      <c r="Q408" t="n">
        <v>0</v>
      </c>
      <c r="R408" s="2" t="inlineStr"/>
    </row>
    <row r="409" ht="15" customHeight="1">
      <c r="A409" t="inlineStr">
        <is>
          <t>A 10823-2024</t>
        </is>
      </c>
      <c r="B409" s="1" t="n">
        <v>45369.67408564815</v>
      </c>
      <c r="C409" s="1" t="n">
        <v>45936</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27809-2024</t>
        </is>
      </c>
      <c r="B410" s="1" t="n">
        <v>45475</v>
      </c>
      <c r="C410" s="1" t="n">
        <v>45936</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57455-2021</t>
        </is>
      </c>
      <c r="B411" s="1" t="n">
        <v>44483.65453703704</v>
      </c>
      <c r="C411" s="1" t="n">
        <v>45936</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915-2024</t>
        </is>
      </c>
      <c r="B412" s="1" t="n">
        <v>45301.47129629629</v>
      </c>
      <c r="C412" s="1" t="n">
        <v>45936</v>
      </c>
      <c r="D412" t="inlineStr">
        <is>
          <t>ÖSTERGÖTLANDS LÄN</t>
        </is>
      </c>
      <c r="E412" t="inlineStr">
        <is>
          <t>KINDA</t>
        </is>
      </c>
      <c r="G412" t="n">
        <v>2.5</v>
      </c>
      <c r="H412" t="n">
        <v>0</v>
      </c>
      <c r="I412" t="n">
        <v>0</v>
      </c>
      <c r="J412" t="n">
        <v>0</v>
      </c>
      <c r="K412" t="n">
        <v>0</v>
      </c>
      <c r="L412" t="n">
        <v>0</v>
      </c>
      <c r="M412" t="n">
        <v>0</v>
      </c>
      <c r="N412" t="n">
        <v>0</v>
      </c>
      <c r="O412" t="n">
        <v>0</v>
      </c>
      <c r="P412" t="n">
        <v>0</v>
      </c>
      <c r="Q412" t="n">
        <v>0</v>
      </c>
      <c r="R412" s="2" t="inlineStr"/>
    </row>
    <row r="413" ht="15" customHeight="1">
      <c r="A413" t="inlineStr">
        <is>
          <t>A 59573-2022</t>
        </is>
      </c>
      <c r="B413" s="1" t="n">
        <v>44907</v>
      </c>
      <c r="C413" s="1" t="n">
        <v>45936</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21244-2023</t>
        </is>
      </c>
      <c r="B414" s="1" t="n">
        <v>45062.57160879629</v>
      </c>
      <c r="C414" s="1" t="n">
        <v>45936</v>
      </c>
      <c r="D414" t="inlineStr">
        <is>
          <t>ÖSTERGÖTLANDS LÄN</t>
        </is>
      </c>
      <c r="E414" t="inlineStr">
        <is>
          <t>KINDA</t>
        </is>
      </c>
      <c r="G414" t="n">
        <v>5.5</v>
      </c>
      <c r="H414" t="n">
        <v>0</v>
      </c>
      <c r="I414" t="n">
        <v>0</v>
      </c>
      <c r="J414" t="n">
        <v>0</v>
      </c>
      <c r="K414" t="n">
        <v>0</v>
      </c>
      <c r="L414" t="n">
        <v>0</v>
      </c>
      <c r="M414" t="n">
        <v>0</v>
      </c>
      <c r="N414" t="n">
        <v>0</v>
      </c>
      <c r="O414" t="n">
        <v>0</v>
      </c>
      <c r="P414" t="n">
        <v>0</v>
      </c>
      <c r="Q414" t="n">
        <v>0</v>
      </c>
      <c r="R414" s="2" t="inlineStr"/>
    </row>
    <row r="415" ht="15" customHeight="1">
      <c r="A415" t="inlineStr">
        <is>
          <t>A 9576-2024</t>
        </is>
      </c>
      <c r="B415" s="1" t="n">
        <v>45360.41204861111</v>
      </c>
      <c r="C415" s="1" t="n">
        <v>45936</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17669-2025</t>
        </is>
      </c>
      <c r="B416" s="1" t="n">
        <v>45758.36638888889</v>
      </c>
      <c r="C416" s="1" t="n">
        <v>45936</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45601.35335648148</v>
      </c>
      <c r="C417" s="1" t="n">
        <v>45936</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61544-2024</t>
        </is>
      </c>
      <c r="B418" s="1" t="n">
        <v>45646.5981712963</v>
      </c>
      <c r="C418" s="1" t="n">
        <v>45936</v>
      </c>
      <c r="D418" t="inlineStr">
        <is>
          <t>ÖSTERGÖTLANDS LÄN</t>
        </is>
      </c>
      <c r="E418" t="inlineStr">
        <is>
          <t>KINDA</t>
        </is>
      </c>
      <c r="G418" t="n">
        <v>0.9</v>
      </c>
      <c r="H418" t="n">
        <v>0</v>
      </c>
      <c r="I418" t="n">
        <v>0</v>
      </c>
      <c r="J418" t="n">
        <v>0</v>
      </c>
      <c r="K418" t="n">
        <v>0</v>
      </c>
      <c r="L418" t="n">
        <v>0</v>
      </c>
      <c r="M418" t="n">
        <v>0</v>
      </c>
      <c r="N418" t="n">
        <v>0</v>
      </c>
      <c r="O418" t="n">
        <v>0</v>
      </c>
      <c r="P418" t="n">
        <v>0</v>
      </c>
      <c r="Q418" t="n">
        <v>0</v>
      </c>
      <c r="R418" s="2" t="inlineStr"/>
    </row>
    <row r="419" ht="15" customHeight="1">
      <c r="A419" t="inlineStr">
        <is>
          <t>A 39090-2025</t>
        </is>
      </c>
      <c r="B419" s="1" t="n">
        <v>45888.49229166667</v>
      </c>
      <c r="C419" s="1" t="n">
        <v>45936</v>
      </c>
      <c r="D419" t="inlineStr">
        <is>
          <t>ÖSTERGÖTLANDS LÄN</t>
        </is>
      </c>
      <c r="E419" t="inlineStr">
        <is>
          <t>KINDA</t>
        </is>
      </c>
      <c r="G419" t="n">
        <v>5.4</v>
      </c>
      <c r="H419" t="n">
        <v>0</v>
      </c>
      <c r="I419" t="n">
        <v>0</v>
      </c>
      <c r="J419" t="n">
        <v>0</v>
      </c>
      <c r="K419" t="n">
        <v>0</v>
      </c>
      <c r="L419" t="n">
        <v>0</v>
      </c>
      <c r="M419" t="n">
        <v>0</v>
      </c>
      <c r="N419" t="n">
        <v>0</v>
      </c>
      <c r="O419" t="n">
        <v>0</v>
      </c>
      <c r="P419" t="n">
        <v>0</v>
      </c>
      <c r="Q419" t="n">
        <v>0</v>
      </c>
      <c r="R419" s="2" t="inlineStr"/>
    </row>
    <row r="420" ht="15" customHeight="1">
      <c r="A420" t="inlineStr">
        <is>
          <t>A 39099-2025</t>
        </is>
      </c>
      <c r="B420" s="1" t="n">
        <v>45888</v>
      </c>
      <c r="C420" s="1" t="n">
        <v>45936</v>
      </c>
      <c r="D420" t="inlineStr">
        <is>
          <t>ÖSTERGÖTLANDS LÄN</t>
        </is>
      </c>
      <c r="E420" t="inlineStr">
        <is>
          <t>KINDA</t>
        </is>
      </c>
      <c r="G420" t="n">
        <v>1.3</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45936</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35650-2022</t>
        </is>
      </c>
      <c r="B422" s="1" t="n">
        <v>44799</v>
      </c>
      <c r="C422" s="1" t="n">
        <v>45936</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35654-2022</t>
        </is>
      </c>
      <c r="B423" s="1" t="n">
        <v>44799.57753472222</v>
      </c>
      <c r="C423" s="1" t="n">
        <v>45936</v>
      </c>
      <c r="D423" t="inlineStr">
        <is>
          <t>ÖSTERGÖTLANDS LÄN</t>
        </is>
      </c>
      <c r="E423" t="inlineStr">
        <is>
          <t>KINDA</t>
        </is>
      </c>
      <c r="G423" t="n">
        <v>3</v>
      </c>
      <c r="H423" t="n">
        <v>0</v>
      </c>
      <c r="I423" t="n">
        <v>0</v>
      </c>
      <c r="J423" t="n">
        <v>0</v>
      </c>
      <c r="K423" t="n">
        <v>0</v>
      </c>
      <c r="L423" t="n">
        <v>0</v>
      </c>
      <c r="M423" t="n">
        <v>0</v>
      </c>
      <c r="N423" t="n">
        <v>0</v>
      </c>
      <c r="O423" t="n">
        <v>0</v>
      </c>
      <c r="P423" t="n">
        <v>0</v>
      </c>
      <c r="Q423" t="n">
        <v>0</v>
      </c>
      <c r="R423" s="2" t="inlineStr"/>
    </row>
    <row r="424" ht="15" customHeight="1">
      <c r="A424" t="inlineStr">
        <is>
          <t>A 22694-2023</t>
        </is>
      </c>
      <c r="B424" s="1" t="n">
        <v>45071</v>
      </c>
      <c r="C424" s="1" t="n">
        <v>45936</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39097-2025</t>
        </is>
      </c>
      <c r="B425" s="1" t="n">
        <v>45888</v>
      </c>
      <c r="C425" s="1" t="n">
        <v>45936</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39101-2025</t>
        </is>
      </c>
      <c r="B426" s="1" t="n">
        <v>45888</v>
      </c>
      <c r="C426" s="1" t="n">
        <v>45936</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20997-2025</t>
        </is>
      </c>
      <c r="B427" s="1" t="n">
        <v>45777.48113425926</v>
      </c>
      <c r="C427" s="1" t="n">
        <v>45936</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21049-2025</t>
        </is>
      </c>
      <c r="B428" s="1" t="n">
        <v>45777.55960648148</v>
      </c>
      <c r="C428" s="1" t="n">
        <v>45936</v>
      </c>
      <c r="D428" t="inlineStr">
        <is>
          <t>ÖSTERGÖTLANDS LÄN</t>
        </is>
      </c>
      <c r="E428" t="inlineStr">
        <is>
          <t>KINDA</t>
        </is>
      </c>
      <c r="G428" t="n">
        <v>2</v>
      </c>
      <c r="H428" t="n">
        <v>0</v>
      </c>
      <c r="I428" t="n">
        <v>0</v>
      </c>
      <c r="J428" t="n">
        <v>0</v>
      </c>
      <c r="K428" t="n">
        <v>0</v>
      </c>
      <c r="L428" t="n">
        <v>0</v>
      </c>
      <c r="M428" t="n">
        <v>0</v>
      </c>
      <c r="N428" t="n">
        <v>0</v>
      </c>
      <c r="O428" t="n">
        <v>0</v>
      </c>
      <c r="P428" t="n">
        <v>0</v>
      </c>
      <c r="Q428" t="n">
        <v>0</v>
      </c>
      <c r="R428" s="2" t="inlineStr"/>
    </row>
    <row r="429" ht="15" customHeight="1">
      <c r="A429" t="inlineStr">
        <is>
          <t>A 37489-2024</t>
        </is>
      </c>
      <c r="B429" s="1" t="n">
        <v>45541.34607638889</v>
      </c>
      <c r="C429" s="1" t="n">
        <v>45936</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57500-2024</t>
        </is>
      </c>
      <c r="B430" s="1" t="n">
        <v>45629</v>
      </c>
      <c r="C430" s="1" t="n">
        <v>45936</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4731-2025</t>
        </is>
      </c>
      <c r="B431" s="1" t="n">
        <v>45688.43620370371</v>
      </c>
      <c r="C431" s="1" t="n">
        <v>45936</v>
      </c>
      <c r="D431" t="inlineStr">
        <is>
          <t>ÖSTERGÖTLANDS LÄN</t>
        </is>
      </c>
      <c r="E431" t="inlineStr">
        <is>
          <t>KINDA</t>
        </is>
      </c>
      <c r="F431" t="inlineStr">
        <is>
          <t>Övriga Aktiebolag</t>
        </is>
      </c>
      <c r="G431" t="n">
        <v>6.3</v>
      </c>
      <c r="H431" t="n">
        <v>0</v>
      </c>
      <c r="I431" t="n">
        <v>0</v>
      </c>
      <c r="J431" t="n">
        <v>0</v>
      </c>
      <c r="K431" t="n">
        <v>0</v>
      </c>
      <c r="L431" t="n">
        <v>0</v>
      </c>
      <c r="M431" t="n">
        <v>0</v>
      </c>
      <c r="N431" t="n">
        <v>0</v>
      </c>
      <c r="O431" t="n">
        <v>0</v>
      </c>
      <c r="P431" t="n">
        <v>0</v>
      </c>
      <c r="Q431" t="n">
        <v>0</v>
      </c>
      <c r="R431" s="2" t="inlineStr"/>
    </row>
    <row r="432" ht="15" customHeight="1">
      <c r="A432" t="inlineStr">
        <is>
          <t>A 20677-2025</t>
        </is>
      </c>
      <c r="B432" s="1" t="n">
        <v>45776.44575231482</v>
      </c>
      <c r="C432" s="1" t="n">
        <v>45936</v>
      </c>
      <c r="D432" t="inlineStr">
        <is>
          <t>ÖSTERGÖTLANDS LÄN</t>
        </is>
      </c>
      <c r="E432" t="inlineStr">
        <is>
          <t>KINDA</t>
        </is>
      </c>
      <c r="G432" t="n">
        <v>5.1</v>
      </c>
      <c r="H432" t="n">
        <v>0</v>
      </c>
      <c r="I432" t="n">
        <v>0</v>
      </c>
      <c r="J432" t="n">
        <v>0</v>
      </c>
      <c r="K432" t="n">
        <v>0</v>
      </c>
      <c r="L432" t="n">
        <v>0</v>
      </c>
      <c r="M432" t="n">
        <v>0</v>
      </c>
      <c r="N432" t="n">
        <v>0</v>
      </c>
      <c r="O432" t="n">
        <v>0</v>
      </c>
      <c r="P432" t="n">
        <v>0</v>
      </c>
      <c r="Q432" t="n">
        <v>0</v>
      </c>
      <c r="R432" s="2" t="inlineStr"/>
    </row>
    <row r="433" ht="15" customHeight="1">
      <c r="A433" t="inlineStr">
        <is>
          <t>A 20711-2025</t>
        </is>
      </c>
      <c r="B433" s="1" t="n">
        <v>45776.48627314815</v>
      </c>
      <c r="C433" s="1" t="n">
        <v>45936</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20989-2025</t>
        </is>
      </c>
      <c r="B434" s="1" t="n">
        <v>45777.47508101852</v>
      </c>
      <c r="C434" s="1" t="n">
        <v>45936</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5508-2025</t>
        </is>
      </c>
      <c r="B435" s="1" t="n">
        <v>45693.39354166666</v>
      </c>
      <c r="C435" s="1" t="n">
        <v>45936</v>
      </c>
      <c r="D435" t="inlineStr">
        <is>
          <t>ÖSTERGÖTLANDS LÄN</t>
        </is>
      </c>
      <c r="E435" t="inlineStr">
        <is>
          <t>KINDA</t>
        </is>
      </c>
      <c r="G435" t="n">
        <v>1.3</v>
      </c>
      <c r="H435" t="n">
        <v>0</v>
      </c>
      <c r="I435" t="n">
        <v>0</v>
      </c>
      <c r="J435" t="n">
        <v>0</v>
      </c>
      <c r="K435" t="n">
        <v>0</v>
      </c>
      <c r="L435" t="n">
        <v>0</v>
      </c>
      <c r="M435" t="n">
        <v>0</v>
      </c>
      <c r="N435" t="n">
        <v>0</v>
      </c>
      <c r="O435" t="n">
        <v>0</v>
      </c>
      <c r="P435" t="n">
        <v>0</v>
      </c>
      <c r="Q435" t="n">
        <v>0</v>
      </c>
      <c r="R435" s="2" t="inlineStr"/>
    </row>
    <row r="436" ht="15" customHeight="1">
      <c r="A436" t="inlineStr">
        <is>
          <t>A 37831-2023</t>
        </is>
      </c>
      <c r="B436" s="1" t="n">
        <v>45160.3425</v>
      </c>
      <c r="C436" s="1" t="n">
        <v>45936</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20701-2025</t>
        </is>
      </c>
      <c r="B437" s="1" t="n">
        <v>45776.47818287037</v>
      </c>
      <c r="C437" s="1" t="n">
        <v>45936</v>
      </c>
      <c r="D437" t="inlineStr">
        <is>
          <t>ÖSTERGÖTLANDS LÄN</t>
        </is>
      </c>
      <c r="E437" t="inlineStr">
        <is>
          <t>KINDA</t>
        </is>
      </c>
      <c r="G437" t="n">
        <v>1.9</v>
      </c>
      <c r="H437" t="n">
        <v>0</v>
      </c>
      <c r="I437" t="n">
        <v>0</v>
      </c>
      <c r="J437" t="n">
        <v>0</v>
      </c>
      <c r="K437" t="n">
        <v>0</v>
      </c>
      <c r="L437" t="n">
        <v>0</v>
      </c>
      <c r="M437" t="n">
        <v>0</v>
      </c>
      <c r="N437" t="n">
        <v>0</v>
      </c>
      <c r="O437" t="n">
        <v>0</v>
      </c>
      <c r="P437" t="n">
        <v>0</v>
      </c>
      <c r="Q437" t="n">
        <v>0</v>
      </c>
      <c r="R437" s="2" t="inlineStr"/>
    </row>
    <row r="438" ht="15" customHeight="1">
      <c r="A438" t="inlineStr">
        <is>
          <t>A 47956-2025</t>
        </is>
      </c>
      <c r="B438" s="1" t="n">
        <v>45932.59002314815</v>
      </c>
      <c r="C438" s="1" t="n">
        <v>45936</v>
      </c>
      <c r="D438" t="inlineStr">
        <is>
          <t>ÖSTERGÖTLANDS LÄN</t>
        </is>
      </c>
      <c r="E438" t="inlineStr">
        <is>
          <t>KINDA</t>
        </is>
      </c>
      <c r="G438" t="n">
        <v>1.6</v>
      </c>
      <c r="H438" t="n">
        <v>0</v>
      </c>
      <c r="I438" t="n">
        <v>0</v>
      </c>
      <c r="J438" t="n">
        <v>0</v>
      </c>
      <c r="K438" t="n">
        <v>0</v>
      </c>
      <c r="L438" t="n">
        <v>0</v>
      </c>
      <c r="M438" t="n">
        <v>0</v>
      </c>
      <c r="N438" t="n">
        <v>0</v>
      </c>
      <c r="O438" t="n">
        <v>0</v>
      </c>
      <c r="P438" t="n">
        <v>0</v>
      </c>
      <c r="Q438" t="n">
        <v>0</v>
      </c>
      <c r="R438" s="2" t="inlineStr"/>
    </row>
    <row r="439" ht="15" customHeight="1">
      <c r="A439" t="inlineStr">
        <is>
          <t>A 26146-2024</t>
        </is>
      </c>
      <c r="B439" s="1" t="n">
        <v>45468.49909722222</v>
      </c>
      <c r="C439" s="1" t="n">
        <v>45936</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48520-2024</t>
        </is>
      </c>
      <c r="B440" s="1" t="n">
        <v>45593.32488425926</v>
      </c>
      <c r="C440" s="1" t="n">
        <v>45936</v>
      </c>
      <c r="D440" t="inlineStr">
        <is>
          <t>ÖSTERGÖTLANDS LÄN</t>
        </is>
      </c>
      <c r="E440" t="inlineStr">
        <is>
          <t>KINDA</t>
        </is>
      </c>
      <c r="G440" t="n">
        <v>4.6</v>
      </c>
      <c r="H440" t="n">
        <v>0</v>
      </c>
      <c r="I440" t="n">
        <v>0</v>
      </c>
      <c r="J440" t="n">
        <v>0</v>
      </c>
      <c r="K440" t="n">
        <v>0</v>
      </c>
      <c r="L440" t="n">
        <v>0</v>
      </c>
      <c r="M440" t="n">
        <v>0</v>
      </c>
      <c r="N440" t="n">
        <v>0</v>
      </c>
      <c r="O440" t="n">
        <v>0</v>
      </c>
      <c r="P440" t="n">
        <v>0</v>
      </c>
      <c r="Q440" t="n">
        <v>0</v>
      </c>
      <c r="R440" s="2" t="inlineStr"/>
    </row>
    <row r="441" ht="15" customHeight="1">
      <c r="A441" t="inlineStr">
        <is>
          <t>A 26625-2022</t>
        </is>
      </c>
      <c r="B441" s="1" t="n">
        <v>44739.5850462963</v>
      </c>
      <c r="C441" s="1" t="n">
        <v>45936</v>
      </c>
      <c r="D441" t="inlineStr">
        <is>
          <t>ÖSTERGÖTLANDS LÄN</t>
        </is>
      </c>
      <c r="E441" t="inlineStr">
        <is>
          <t>KINDA</t>
        </is>
      </c>
      <c r="G441" t="n">
        <v>3.2</v>
      </c>
      <c r="H441" t="n">
        <v>0</v>
      </c>
      <c r="I441" t="n">
        <v>0</v>
      </c>
      <c r="J441" t="n">
        <v>0</v>
      </c>
      <c r="K441" t="n">
        <v>0</v>
      </c>
      <c r="L441" t="n">
        <v>0</v>
      </c>
      <c r="M441" t="n">
        <v>0</v>
      </c>
      <c r="N441" t="n">
        <v>0</v>
      </c>
      <c r="O441" t="n">
        <v>0</v>
      </c>
      <c r="P441" t="n">
        <v>0</v>
      </c>
      <c r="Q441" t="n">
        <v>0</v>
      </c>
      <c r="R441" s="2" t="inlineStr"/>
    </row>
    <row r="442" ht="15" customHeight="1">
      <c r="A442" t="inlineStr">
        <is>
          <t>A 62565-2021</t>
        </is>
      </c>
      <c r="B442" s="1" t="n">
        <v>44502</v>
      </c>
      <c r="C442" s="1" t="n">
        <v>45936</v>
      </c>
      <c r="D442" t="inlineStr">
        <is>
          <t>ÖSTERGÖTLANDS LÄN</t>
        </is>
      </c>
      <c r="E442" t="inlineStr">
        <is>
          <t>KINDA</t>
        </is>
      </c>
      <c r="G442" t="n">
        <v>1.5</v>
      </c>
      <c r="H442" t="n">
        <v>0</v>
      </c>
      <c r="I442" t="n">
        <v>0</v>
      </c>
      <c r="J442" t="n">
        <v>0</v>
      </c>
      <c r="K442" t="n">
        <v>0</v>
      </c>
      <c r="L442" t="n">
        <v>0</v>
      </c>
      <c r="M442" t="n">
        <v>0</v>
      </c>
      <c r="N442" t="n">
        <v>0</v>
      </c>
      <c r="O442" t="n">
        <v>0</v>
      </c>
      <c r="P442" t="n">
        <v>0</v>
      </c>
      <c r="Q442" t="n">
        <v>0</v>
      </c>
      <c r="R442" s="2" t="inlineStr"/>
    </row>
    <row r="443" ht="15" customHeight="1">
      <c r="A443" t="inlineStr">
        <is>
          <t>A 23883-2023</t>
        </is>
      </c>
      <c r="B443" s="1" t="n">
        <v>45078.51806712963</v>
      </c>
      <c r="C443" s="1" t="n">
        <v>45936</v>
      </c>
      <c r="D443" t="inlineStr">
        <is>
          <t>ÖSTERGÖTLANDS LÄN</t>
        </is>
      </c>
      <c r="E443" t="inlineStr">
        <is>
          <t>KINDA</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5184-2023</t>
        </is>
      </c>
      <c r="B444" s="1" t="n">
        <v>44959.3233912037</v>
      </c>
      <c r="C444" s="1" t="n">
        <v>45936</v>
      </c>
      <c r="D444" t="inlineStr">
        <is>
          <t>ÖSTERGÖTLANDS LÄN</t>
        </is>
      </c>
      <c r="E444" t="inlineStr">
        <is>
          <t>KINDA</t>
        </is>
      </c>
      <c r="G444" t="n">
        <v>3.4</v>
      </c>
      <c r="H444" t="n">
        <v>0</v>
      </c>
      <c r="I444" t="n">
        <v>0</v>
      </c>
      <c r="J444" t="n">
        <v>0</v>
      </c>
      <c r="K444" t="n">
        <v>0</v>
      </c>
      <c r="L444" t="n">
        <v>0</v>
      </c>
      <c r="M444" t="n">
        <v>0</v>
      </c>
      <c r="N444" t="n">
        <v>0</v>
      </c>
      <c r="O444" t="n">
        <v>0</v>
      </c>
      <c r="P444" t="n">
        <v>0</v>
      </c>
      <c r="Q444" t="n">
        <v>0</v>
      </c>
      <c r="R444" s="2" t="inlineStr"/>
    </row>
    <row r="445" ht="15" customHeight="1">
      <c r="A445" t="inlineStr">
        <is>
          <t>A 31849-2023</t>
        </is>
      </c>
      <c r="B445" s="1" t="n">
        <v>45118.58756944445</v>
      </c>
      <c r="C445" s="1" t="n">
        <v>45936</v>
      </c>
      <c r="D445" t="inlineStr">
        <is>
          <t>ÖSTERGÖTLANDS LÄN</t>
        </is>
      </c>
      <c r="E445" t="inlineStr">
        <is>
          <t>KINDA</t>
        </is>
      </c>
      <c r="G445" t="n">
        <v>3</v>
      </c>
      <c r="H445" t="n">
        <v>0</v>
      </c>
      <c r="I445" t="n">
        <v>0</v>
      </c>
      <c r="J445" t="n">
        <v>0</v>
      </c>
      <c r="K445" t="n">
        <v>0</v>
      </c>
      <c r="L445" t="n">
        <v>0</v>
      </c>
      <c r="M445" t="n">
        <v>0</v>
      </c>
      <c r="N445" t="n">
        <v>0</v>
      </c>
      <c r="O445" t="n">
        <v>0</v>
      </c>
      <c r="P445" t="n">
        <v>0</v>
      </c>
      <c r="Q445" t="n">
        <v>0</v>
      </c>
      <c r="R445" s="2" t="inlineStr"/>
    </row>
    <row r="446" ht="15" customHeight="1">
      <c r="A446" t="inlineStr">
        <is>
          <t>A 47958-2025</t>
        </is>
      </c>
      <c r="B446" s="1" t="n">
        <v>45932.59138888889</v>
      </c>
      <c r="C446" s="1" t="n">
        <v>45936</v>
      </c>
      <c r="D446" t="inlineStr">
        <is>
          <t>ÖSTERGÖTLANDS LÄN</t>
        </is>
      </c>
      <c r="E446" t="inlineStr">
        <is>
          <t>KINDA</t>
        </is>
      </c>
      <c r="G446" t="n">
        <v>5.5</v>
      </c>
      <c r="H446" t="n">
        <v>0</v>
      </c>
      <c r="I446" t="n">
        <v>0</v>
      </c>
      <c r="J446" t="n">
        <v>0</v>
      </c>
      <c r="K446" t="n">
        <v>0</v>
      </c>
      <c r="L446" t="n">
        <v>0</v>
      </c>
      <c r="M446" t="n">
        <v>0</v>
      </c>
      <c r="N446" t="n">
        <v>0</v>
      </c>
      <c r="O446" t="n">
        <v>0</v>
      </c>
      <c r="P446" t="n">
        <v>0</v>
      </c>
      <c r="Q446" t="n">
        <v>0</v>
      </c>
      <c r="R446" s="2" t="inlineStr"/>
    </row>
    <row r="447" ht="15" customHeight="1">
      <c r="A447" t="inlineStr">
        <is>
          <t>A 57336-2023</t>
        </is>
      </c>
      <c r="B447" s="1" t="n">
        <v>45245.66636574074</v>
      </c>
      <c r="C447" s="1" t="n">
        <v>45936</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13782-2023</t>
        </is>
      </c>
      <c r="B448" s="1" t="n">
        <v>45007</v>
      </c>
      <c r="C448" s="1" t="n">
        <v>45936</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47936-2025</t>
        </is>
      </c>
      <c r="B449" s="1" t="n">
        <v>45932.55936342593</v>
      </c>
      <c r="C449" s="1" t="n">
        <v>45936</v>
      </c>
      <c r="D449" t="inlineStr">
        <is>
          <t>ÖSTERGÖTLANDS LÄN</t>
        </is>
      </c>
      <c r="E449" t="inlineStr">
        <is>
          <t>KINDA</t>
        </is>
      </c>
      <c r="G449" t="n">
        <v>2.7</v>
      </c>
      <c r="H449" t="n">
        <v>0</v>
      </c>
      <c r="I449" t="n">
        <v>0</v>
      </c>
      <c r="J449" t="n">
        <v>0</v>
      </c>
      <c r="K449" t="n">
        <v>0</v>
      </c>
      <c r="L449" t="n">
        <v>0</v>
      </c>
      <c r="M449" t="n">
        <v>0</v>
      </c>
      <c r="N449" t="n">
        <v>0</v>
      </c>
      <c r="O449" t="n">
        <v>0</v>
      </c>
      <c r="P449" t="n">
        <v>0</v>
      </c>
      <c r="Q449" t="n">
        <v>0</v>
      </c>
      <c r="R449" s="2" t="inlineStr"/>
    </row>
    <row r="450" ht="15" customHeight="1">
      <c r="A450" t="inlineStr">
        <is>
          <t>A 17671-2025</t>
        </is>
      </c>
      <c r="B450" s="1" t="n">
        <v>45758.36788194445</v>
      </c>
      <c r="C450" s="1" t="n">
        <v>45936</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15302-2025</t>
        </is>
      </c>
      <c r="B451" s="1" t="n">
        <v>45746.48921296297</v>
      </c>
      <c r="C451" s="1" t="n">
        <v>45936</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48193-2025</t>
        </is>
      </c>
      <c r="B452" s="1" t="n">
        <v>45933.46984953704</v>
      </c>
      <c r="C452" s="1" t="n">
        <v>45936</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48194-2025</t>
        </is>
      </c>
      <c r="B453" s="1" t="n">
        <v>45933.47111111111</v>
      </c>
      <c r="C453" s="1" t="n">
        <v>45936</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22044-2025</t>
        </is>
      </c>
      <c r="B454" s="1" t="n">
        <v>45785.34126157407</v>
      </c>
      <c r="C454" s="1" t="n">
        <v>45936</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4659-2023</t>
        </is>
      </c>
      <c r="B455" s="1" t="n">
        <v>44952</v>
      </c>
      <c r="C455" s="1" t="n">
        <v>45936</v>
      </c>
      <c r="D455" t="inlineStr">
        <is>
          <t>ÖSTERGÖTLANDS LÄN</t>
        </is>
      </c>
      <c r="E455" t="inlineStr">
        <is>
          <t>KINDA</t>
        </is>
      </c>
      <c r="G455" t="n">
        <v>1.1</v>
      </c>
      <c r="H455" t="n">
        <v>0</v>
      </c>
      <c r="I455" t="n">
        <v>0</v>
      </c>
      <c r="J455" t="n">
        <v>0</v>
      </c>
      <c r="K455" t="n">
        <v>0</v>
      </c>
      <c r="L455" t="n">
        <v>0</v>
      </c>
      <c r="M455" t="n">
        <v>0</v>
      </c>
      <c r="N455" t="n">
        <v>0</v>
      </c>
      <c r="O455" t="n">
        <v>0</v>
      </c>
      <c r="P455" t="n">
        <v>0</v>
      </c>
      <c r="Q455" t="n">
        <v>0</v>
      </c>
      <c r="R455" s="2" t="inlineStr"/>
    </row>
    <row r="456" ht="15" customHeight="1">
      <c r="A456" t="inlineStr">
        <is>
          <t>A 7792-2022</t>
        </is>
      </c>
      <c r="B456" s="1" t="n">
        <v>44608.48450231482</v>
      </c>
      <c r="C456" s="1" t="n">
        <v>45936</v>
      </c>
      <c r="D456" t="inlineStr">
        <is>
          <t>ÖSTERGÖTLANDS LÄN</t>
        </is>
      </c>
      <c r="E456" t="inlineStr">
        <is>
          <t>KINDA</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15599-2023</t>
        </is>
      </c>
      <c r="B457" s="1" t="n">
        <v>45020.71773148148</v>
      </c>
      <c r="C457" s="1" t="n">
        <v>45936</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5706-2024</t>
        </is>
      </c>
      <c r="B458" s="1" t="n">
        <v>45334.82431712963</v>
      </c>
      <c r="C458" s="1" t="n">
        <v>45936</v>
      </c>
      <c r="D458" t="inlineStr">
        <is>
          <t>ÖSTERGÖTLANDS LÄN</t>
        </is>
      </c>
      <c r="E458" t="inlineStr">
        <is>
          <t>KINDA</t>
        </is>
      </c>
      <c r="G458" t="n">
        <v>5.3</v>
      </c>
      <c r="H458" t="n">
        <v>0</v>
      </c>
      <c r="I458" t="n">
        <v>0</v>
      </c>
      <c r="J458" t="n">
        <v>0</v>
      </c>
      <c r="K458" t="n">
        <v>0</v>
      </c>
      <c r="L458" t="n">
        <v>0</v>
      </c>
      <c r="M458" t="n">
        <v>0</v>
      </c>
      <c r="N458" t="n">
        <v>0</v>
      </c>
      <c r="O458" t="n">
        <v>0</v>
      </c>
      <c r="P458" t="n">
        <v>0</v>
      </c>
      <c r="Q458" t="n">
        <v>0</v>
      </c>
      <c r="R458" s="2" t="inlineStr"/>
    </row>
    <row r="459" ht="15" customHeight="1">
      <c r="A459" t="inlineStr">
        <is>
          <t>A 62260-2023</t>
        </is>
      </c>
      <c r="B459" s="1" t="n">
        <v>45267.6274537037</v>
      </c>
      <c r="C459" s="1" t="n">
        <v>45936</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3820-2024</t>
        </is>
      </c>
      <c r="B460" s="1" t="n">
        <v>45321.70762731481</v>
      </c>
      <c r="C460" s="1" t="n">
        <v>45936</v>
      </c>
      <c r="D460" t="inlineStr">
        <is>
          <t>ÖSTERGÖTLANDS LÄN</t>
        </is>
      </c>
      <c r="E460" t="inlineStr">
        <is>
          <t>KINDA</t>
        </is>
      </c>
      <c r="G460" t="n">
        <v>3.4</v>
      </c>
      <c r="H460" t="n">
        <v>0</v>
      </c>
      <c r="I460" t="n">
        <v>0</v>
      </c>
      <c r="J460" t="n">
        <v>0</v>
      </c>
      <c r="K460" t="n">
        <v>0</v>
      </c>
      <c r="L460" t="n">
        <v>0</v>
      </c>
      <c r="M460" t="n">
        <v>0</v>
      </c>
      <c r="N460" t="n">
        <v>0</v>
      </c>
      <c r="O460" t="n">
        <v>0</v>
      </c>
      <c r="P460" t="n">
        <v>0</v>
      </c>
      <c r="Q460" t="n">
        <v>0</v>
      </c>
      <c r="R460" s="2" t="inlineStr"/>
    </row>
    <row r="461" ht="15" customHeight="1">
      <c r="A461" t="inlineStr">
        <is>
          <t>A 21948-2025</t>
        </is>
      </c>
      <c r="B461" s="1" t="n">
        <v>45784.59287037037</v>
      </c>
      <c r="C461" s="1" t="n">
        <v>45936</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17047-2025</t>
        </is>
      </c>
      <c r="B462" s="1" t="n">
        <v>45755.59559027778</v>
      </c>
      <c r="C462" s="1" t="n">
        <v>45936</v>
      </c>
      <c r="D462" t="inlineStr">
        <is>
          <t>ÖSTERGÖTLANDS LÄN</t>
        </is>
      </c>
      <c r="E462" t="inlineStr">
        <is>
          <t>KINDA</t>
        </is>
      </c>
      <c r="G462" t="n">
        <v>2.4</v>
      </c>
      <c r="H462" t="n">
        <v>0</v>
      </c>
      <c r="I462" t="n">
        <v>0</v>
      </c>
      <c r="J462" t="n">
        <v>0</v>
      </c>
      <c r="K462" t="n">
        <v>0</v>
      </c>
      <c r="L462" t="n">
        <v>0</v>
      </c>
      <c r="M462" t="n">
        <v>0</v>
      </c>
      <c r="N462" t="n">
        <v>0</v>
      </c>
      <c r="O462" t="n">
        <v>0</v>
      </c>
      <c r="P462" t="n">
        <v>0</v>
      </c>
      <c r="Q462" t="n">
        <v>0</v>
      </c>
      <c r="R462" s="2" t="inlineStr"/>
    </row>
    <row r="463" ht="15" customHeight="1">
      <c r="A463" t="inlineStr">
        <is>
          <t>A 58289-2024</t>
        </is>
      </c>
      <c r="B463" s="1" t="n">
        <v>45632.59153935185</v>
      </c>
      <c r="C463" s="1" t="n">
        <v>45936</v>
      </c>
      <c r="D463" t="inlineStr">
        <is>
          <t>ÖSTERGÖTLANDS LÄN</t>
        </is>
      </c>
      <c r="E463" t="inlineStr">
        <is>
          <t>KINDA</t>
        </is>
      </c>
      <c r="G463" t="n">
        <v>4.4</v>
      </c>
      <c r="H463" t="n">
        <v>0</v>
      </c>
      <c r="I463" t="n">
        <v>0</v>
      </c>
      <c r="J463" t="n">
        <v>0</v>
      </c>
      <c r="K463" t="n">
        <v>0</v>
      </c>
      <c r="L463" t="n">
        <v>0</v>
      </c>
      <c r="M463" t="n">
        <v>0</v>
      </c>
      <c r="N463" t="n">
        <v>0</v>
      </c>
      <c r="O463" t="n">
        <v>0</v>
      </c>
      <c r="P463" t="n">
        <v>0</v>
      </c>
      <c r="Q463" t="n">
        <v>0</v>
      </c>
      <c r="R463" s="2" t="inlineStr"/>
    </row>
    <row r="464" ht="15" customHeight="1">
      <c r="A464" t="inlineStr">
        <is>
          <t>A 3953-2025</t>
        </is>
      </c>
      <c r="B464" s="1" t="n">
        <v>45684.49472222223</v>
      </c>
      <c r="C464" s="1" t="n">
        <v>45936</v>
      </c>
      <c r="D464" t="inlineStr">
        <is>
          <t>ÖSTERGÖTLANDS LÄN</t>
        </is>
      </c>
      <c r="E464" t="inlineStr">
        <is>
          <t>KINDA</t>
        </is>
      </c>
      <c r="G464" t="n">
        <v>4</v>
      </c>
      <c r="H464" t="n">
        <v>0</v>
      </c>
      <c r="I464" t="n">
        <v>0</v>
      </c>
      <c r="J464" t="n">
        <v>0</v>
      </c>
      <c r="K464" t="n">
        <v>0</v>
      </c>
      <c r="L464" t="n">
        <v>0</v>
      </c>
      <c r="M464" t="n">
        <v>0</v>
      </c>
      <c r="N464" t="n">
        <v>0</v>
      </c>
      <c r="O464" t="n">
        <v>0</v>
      </c>
      <c r="P464" t="n">
        <v>0</v>
      </c>
      <c r="Q464" t="n">
        <v>0</v>
      </c>
      <c r="R464" s="2" t="inlineStr"/>
    </row>
    <row r="465" ht="15" customHeight="1">
      <c r="A465" t="inlineStr">
        <is>
          <t>A 22804-2025</t>
        </is>
      </c>
      <c r="B465" s="1" t="n">
        <v>45789.67196759259</v>
      </c>
      <c r="C465" s="1" t="n">
        <v>45936</v>
      </c>
      <c r="D465" t="inlineStr">
        <is>
          <t>ÖSTERGÖTLANDS LÄN</t>
        </is>
      </c>
      <c r="E465" t="inlineStr">
        <is>
          <t>KINDA</t>
        </is>
      </c>
      <c r="G465" t="n">
        <v>2.5</v>
      </c>
      <c r="H465" t="n">
        <v>0</v>
      </c>
      <c r="I465" t="n">
        <v>0</v>
      </c>
      <c r="J465" t="n">
        <v>0</v>
      </c>
      <c r="K465" t="n">
        <v>0</v>
      </c>
      <c r="L465" t="n">
        <v>0</v>
      </c>
      <c r="M465" t="n">
        <v>0</v>
      </c>
      <c r="N465" t="n">
        <v>0</v>
      </c>
      <c r="O465" t="n">
        <v>0</v>
      </c>
      <c r="P465" t="n">
        <v>0</v>
      </c>
      <c r="Q465" t="n">
        <v>0</v>
      </c>
      <c r="R465" s="2" t="inlineStr"/>
    </row>
    <row r="466" ht="15" customHeight="1">
      <c r="A466" t="inlineStr">
        <is>
          <t>A 22806-2025</t>
        </is>
      </c>
      <c r="B466" s="1" t="n">
        <v>45789.67461805556</v>
      </c>
      <c r="C466" s="1" t="n">
        <v>45936</v>
      </c>
      <c r="D466" t="inlineStr">
        <is>
          <t>ÖSTERGÖTLANDS LÄN</t>
        </is>
      </c>
      <c r="E466" t="inlineStr">
        <is>
          <t>KINDA</t>
        </is>
      </c>
      <c r="G466" t="n">
        <v>6.8</v>
      </c>
      <c r="H466" t="n">
        <v>0</v>
      </c>
      <c r="I466" t="n">
        <v>0</v>
      </c>
      <c r="J466" t="n">
        <v>0</v>
      </c>
      <c r="K466" t="n">
        <v>0</v>
      </c>
      <c r="L466" t="n">
        <v>0</v>
      </c>
      <c r="M466" t="n">
        <v>0</v>
      </c>
      <c r="N466" t="n">
        <v>0</v>
      </c>
      <c r="O466" t="n">
        <v>0</v>
      </c>
      <c r="P466" t="n">
        <v>0</v>
      </c>
      <c r="Q466" t="n">
        <v>0</v>
      </c>
      <c r="R466" s="2" t="inlineStr"/>
    </row>
    <row r="467" ht="15" customHeight="1">
      <c r="A467" t="inlineStr">
        <is>
          <t>A 3907-2023</t>
        </is>
      </c>
      <c r="B467" s="1" t="n">
        <v>44952.00760416667</v>
      </c>
      <c r="C467" s="1" t="n">
        <v>45936</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10621-2023</t>
        </is>
      </c>
      <c r="B468" s="1" t="n">
        <v>44988</v>
      </c>
      <c r="C468" s="1" t="n">
        <v>45936</v>
      </c>
      <c r="D468" t="inlineStr">
        <is>
          <t>ÖSTERGÖTLANDS LÄN</t>
        </is>
      </c>
      <c r="E468" t="inlineStr">
        <is>
          <t>KINDA</t>
        </is>
      </c>
      <c r="G468" t="n">
        <v>1.1</v>
      </c>
      <c r="H468" t="n">
        <v>0</v>
      </c>
      <c r="I468" t="n">
        <v>0</v>
      </c>
      <c r="J468" t="n">
        <v>0</v>
      </c>
      <c r="K468" t="n">
        <v>0</v>
      </c>
      <c r="L468" t="n">
        <v>0</v>
      </c>
      <c r="M468" t="n">
        <v>0</v>
      </c>
      <c r="N468" t="n">
        <v>0</v>
      </c>
      <c r="O468" t="n">
        <v>0</v>
      </c>
      <c r="P468" t="n">
        <v>0</v>
      </c>
      <c r="Q468" t="n">
        <v>0</v>
      </c>
      <c r="R468" s="2" t="inlineStr"/>
    </row>
    <row r="469" ht="15" customHeight="1">
      <c r="A469" t="inlineStr">
        <is>
          <t>A 9615-2024</t>
        </is>
      </c>
      <c r="B469" s="1" t="n">
        <v>45361.75074074074</v>
      </c>
      <c r="C469" s="1" t="n">
        <v>45936</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22473-2025</t>
        </is>
      </c>
      <c r="B470" s="1" t="n">
        <v>45786.62056712963</v>
      </c>
      <c r="C470" s="1" t="n">
        <v>45936</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57457-2021</t>
        </is>
      </c>
      <c r="B471" s="1" t="n">
        <v>44483.65719907408</v>
      </c>
      <c r="C471" s="1" t="n">
        <v>45936</v>
      </c>
      <c r="D471" t="inlineStr">
        <is>
          <t>ÖSTERGÖTLANDS LÄN</t>
        </is>
      </c>
      <c r="E471" t="inlineStr">
        <is>
          <t>KINDA</t>
        </is>
      </c>
      <c r="G471" t="n">
        <v>0.9</v>
      </c>
      <c r="H471" t="n">
        <v>0</v>
      </c>
      <c r="I471" t="n">
        <v>0</v>
      </c>
      <c r="J471" t="n">
        <v>0</v>
      </c>
      <c r="K471" t="n">
        <v>0</v>
      </c>
      <c r="L471" t="n">
        <v>0</v>
      </c>
      <c r="M471" t="n">
        <v>0</v>
      </c>
      <c r="N471" t="n">
        <v>0</v>
      </c>
      <c r="O471" t="n">
        <v>0</v>
      </c>
      <c r="P471" t="n">
        <v>0</v>
      </c>
      <c r="Q471" t="n">
        <v>0</v>
      </c>
      <c r="R471" s="2" t="inlineStr"/>
    </row>
    <row r="472" ht="15" customHeight="1">
      <c r="A472" t="inlineStr">
        <is>
          <t>A 17046-2025</t>
        </is>
      </c>
      <c r="B472" s="1" t="n">
        <v>45755.59457175926</v>
      </c>
      <c r="C472" s="1" t="n">
        <v>45936</v>
      </c>
      <c r="D472" t="inlineStr">
        <is>
          <t>ÖSTERGÖTLANDS LÄN</t>
        </is>
      </c>
      <c r="E472" t="inlineStr">
        <is>
          <t>KINDA</t>
        </is>
      </c>
      <c r="G472" t="n">
        <v>1</v>
      </c>
      <c r="H472" t="n">
        <v>0</v>
      </c>
      <c r="I472" t="n">
        <v>0</v>
      </c>
      <c r="J472" t="n">
        <v>0</v>
      </c>
      <c r="K472" t="n">
        <v>0</v>
      </c>
      <c r="L472" t="n">
        <v>0</v>
      </c>
      <c r="M472" t="n">
        <v>0</v>
      </c>
      <c r="N472" t="n">
        <v>0</v>
      </c>
      <c r="O472" t="n">
        <v>0</v>
      </c>
      <c r="P472" t="n">
        <v>0</v>
      </c>
      <c r="Q472" t="n">
        <v>0</v>
      </c>
      <c r="R472" s="2" t="inlineStr"/>
    </row>
    <row r="473" ht="15" customHeight="1">
      <c r="A473" t="inlineStr">
        <is>
          <t>A 53239-2024</t>
        </is>
      </c>
      <c r="B473" s="1" t="n">
        <v>45613.8235300926</v>
      </c>
      <c r="C473" s="1" t="n">
        <v>45936</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34661-2024</t>
        </is>
      </c>
      <c r="B474" s="1" t="n">
        <v>45526</v>
      </c>
      <c r="C474" s="1" t="n">
        <v>45936</v>
      </c>
      <c r="D474" t="inlineStr">
        <is>
          <t>ÖSTERGÖTLANDS LÄN</t>
        </is>
      </c>
      <c r="E474" t="inlineStr">
        <is>
          <t>KINDA</t>
        </is>
      </c>
      <c r="G474" t="n">
        <v>2.1</v>
      </c>
      <c r="H474" t="n">
        <v>0</v>
      </c>
      <c r="I474" t="n">
        <v>0</v>
      </c>
      <c r="J474" t="n">
        <v>0</v>
      </c>
      <c r="K474" t="n">
        <v>0</v>
      </c>
      <c r="L474" t="n">
        <v>0</v>
      </c>
      <c r="M474" t="n">
        <v>0</v>
      </c>
      <c r="N474" t="n">
        <v>0</v>
      </c>
      <c r="O474" t="n">
        <v>0</v>
      </c>
      <c r="P474" t="n">
        <v>0</v>
      </c>
      <c r="Q474" t="n">
        <v>0</v>
      </c>
      <c r="R474" s="2" t="inlineStr"/>
    </row>
    <row r="475" ht="15" customHeight="1">
      <c r="A475" t="inlineStr">
        <is>
          <t>A 20914-2021</t>
        </is>
      </c>
      <c r="B475" s="1" t="n">
        <v>44319</v>
      </c>
      <c r="C475" s="1" t="n">
        <v>45936</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41718-2023</t>
        </is>
      </c>
      <c r="B476" s="1" t="n">
        <v>45176.39657407408</v>
      </c>
      <c r="C476" s="1" t="n">
        <v>45936</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31831-2023</t>
        </is>
      </c>
      <c r="B477" s="1" t="n">
        <v>45118.5630787037</v>
      </c>
      <c r="C477" s="1" t="n">
        <v>45936</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38130-2023</t>
        </is>
      </c>
      <c r="B478" s="1" t="n">
        <v>45161</v>
      </c>
      <c r="C478" s="1" t="n">
        <v>45936</v>
      </c>
      <c r="D478" t="inlineStr">
        <is>
          <t>ÖSTERGÖTLANDS LÄN</t>
        </is>
      </c>
      <c r="E478" t="inlineStr">
        <is>
          <t>KINDA</t>
        </is>
      </c>
      <c r="G478" t="n">
        <v>1.4</v>
      </c>
      <c r="H478" t="n">
        <v>0</v>
      </c>
      <c r="I478" t="n">
        <v>0</v>
      </c>
      <c r="J478" t="n">
        <v>0</v>
      </c>
      <c r="K478" t="n">
        <v>0</v>
      </c>
      <c r="L478" t="n">
        <v>0</v>
      </c>
      <c r="M478" t="n">
        <v>0</v>
      </c>
      <c r="N478" t="n">
        <v>0</v>
      </c>
      <c r="O478" t="n">
        <v>0</v>
      </c>
      <c r="P478" t="n">
        <v>0</v>
      </c>
      <c r="Q478" t="n">
        <v>0</v>
      </c>
      <c r="R478" s="2" t="inlineStr"/>
    </row>
    <row r="479" ht="15" customHeight="1">
      <c r="A479" t="inlineStr">
        <is>
          <t>A 38132-2023</t>
        </is>
      </c>
      <c r="B479" s="1" t="n">
        <v>45161.36759259259</v>
      </c>
      <c r="C479" s="1" t="n">
        <v>45936</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38133-2023</t>
        </is>
      </c>
      <c r="B480" s="1" t="n">
        <v>45161.36928240741</v>
      </c>
      <c r="C480" s="1" t="n">
        <v>45936</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20829-2022</t>
        </is>
      </c>
      <c r="B481" s="1" t="n">
        <v>44701</v>
      </c>
      <c r="C481" s="1" t="n">
        <v>45936</v>
      </c>
      <c r="D481" t="inlineStr">
        <is>
          <t>ÖSTERGÖTLANDS LÄN</t>
        </is>
      </c>
      <c r="E481" t="inlineStr">
        <is>
          <t>KINDA</t>
        </is>
      </c>
      <c r="G481" t="n">
        <v>2.5</v>
      </c>
      <c r="H481" t="n">
        <v>0</v>
      </c>
      <c r="I481" t="n">
        <v>0</v>
      </c>
      <c r="J481" t="n">
        <v>0</v>
      </c>
      <c r="K481" t="n">
        <v>0</v>
      </c>
      <c r="L481" t="n">
        <v>0</v>
      </c>
      <c r="M481" t="n">
        <v>0</v>
      </c>
      <c r="N481" t="n">
        <v>0</v>
      </c>
      <c r="O481" t="n">
        <v>0</v>
      </c>
      <c r="P481" t="n">
        <v>0</v>
      </c>
      <c r="Q481" t="n">
        <v>0</v>
      </c>
      <c r="R481" s="2" t="inlineStr"/>
    </row>
    <row r="482" ht="15" customHeight="1">
      <c r="A482" t="inlineStr">
        <is>
          <t>A 13064-2024</t>
        </is>
      </c>
      <c r="B482" s="1" t="n">
        <v>45385</v>
      </c>
      <c r="C482" s="1" t="n">
        <v>45936</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23372-2025</t>
        </is>
      </c>
      <c r="B483" s="1" t="n">
        <v>45791</v>
      </c>
      <c r="C483" s="1" t="n">
        <v>45936</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9465-2022</t>
        </is>
      </c>
      <c r="B484" s="1" t="n">
        <v>44616.78555555556</v>
      </c>
      <c r="C484" s="1" t="n">
        <v>45936</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34627-2023</t>
        </is>
      </c>
      <c r="B485" s="1" t="n">
        <v>45139</v>
      </c>
      <c r="C485" s="1" t="n">
        <v>45936</v>
      </c>
      <c r="D485" t="inlineStr">
        <is>
          <t>ÖSTERGÖTLANDS LÄN</t>
        </is>
      </c>
      <c r="E485" t="inlineStr">
        <is>
          <t>KINDA</t>
        </is>
      </c>
      <c r="G485" t="n">
        <v>1.7</v>
      </c>
      <c r="H485" t="n">
        <v>0</v>
      </c>
      <c r="I485" t="n">
        <v>0</v>
      </c>
      <c r="J485" t="n">
        <v>0</v>
      </c>
      <c r="K485" t="n">
        <v>0</v>
      </c>
      <c r="L485" t="n">
        <v>0</v>
      </c>
      <c r="M485" t="n">
        <v>0</v>
      </c>
      <c r="N485" t="n">
        <v>0</v>
      </c>
      <c r="O485" t="n">
        <v>0</v>
      </c>
      <c r="P485" t="n">
        <v>0</v>
      </c>
      <c r="Q485" t="n">
        <v>0</v>
      </c>
      <c r="R485" s="2" t="inlineStr"/>
    </row>
    <row r="486" ht="15" customHeight="1">
      <c r="A486" t="inlineStr">
        <is>
          <t>A 54671-2023</t>
        </is>
      </c>
      <c r="B486" s="1" t="n">
        <v>45235</v>
      </c>
      <c r="C486" s="1" t="n">
        <v>45936</v>
      </c>
      <c r="D486" t="inlineStr">
        <is>
          <t>ÖSTERGÖTLANDS LÄN</t>
        </is>
      </c>
      <c r="E486" t="inlineStr">
        <is>
          <t>KINDA</t>
        </is>
      </c>
      <c r="G486" t="n">
        <v>10.8</v>
      </c>
      <c r="H486" t="n">
        <v>0</v>
      </c>
      <c r="I486" t="n">
        <v>0</v>
      </c>
      <c r="J486" t="n">
        <v>0</v>
      </c>
      <c r="K486" t="n">
        <v>0</v>
      </c>
      <c r="L486" t="n">
        <v>0</v>
      </c>
      <c r="M486" t="n">
        <v>0</v>
      </c>
      <c r="N486" t="n">
        <v>0</v>
      </c>
      <c r="O486" t="n">
        <v>0</v>
      </c>
      <c r="P486" t="n">
        <v>0</v>
      </c>
      <c r="Q486" t="n">
        <v>0</v>
      </c>
      <c r="R486" s="2" t="inlineStr"/>
    </row>
    <row r="487" ht="15" customHeight="1">
      <c r="A487" t="inlineStr">
        <is>
          <t>A 3908-2023</t>
        </is>
      </c>
      <c r="B487" s="1" t="n">
        <v>44952</v>
      </c>
      <c r="C487" s="1" t="n">
        <v>45936</v>
      </c>
      <c r="D487" t="inlineStr">
        <is>
          <t>ÖSTERGÖTLANDS LÄN</t>
        </is>
      </c>
      <c r="E487" t="inlineStr">
        <is>
          <t>KINDA</t>
        </is>
      </c>
      <c r="G487" t="n">
        <v>2.3</v>
      </c>
      <c r="H487" t="n">
        <v>0</v>
      </c>
      <c r="I487" t="n">
        <v>0</v>
      </c>
      <c r="J487" t="n">
        <v>0</v>
      </c>
      <c r="K487" t="n">
        <v>0</v>
      </c>
      <c r="L487" t="n">
        <v>0</v>
      </c>
      <c r="M487" t="n">
        <v>0</v>
      </c>
      <c r="N487" t="n">
        <v>0</v>
      </c>
      <c r="O487" t="n">
        <v>0</v>
      </c>
      <c r="P487" t="n">
        <v>0</v>
      </c>
      <c r="Q487" t="n">
        <v>0</v>
      </c>
      <c r="R487" s="2" t="inlineStr"/>
    </row>
    <row r="488" ht="15" customHeight="1">
      <c r="A488" t="inlineStr">
        <is>
          <t>A 23437-2025</t>
        </is>
      </c>
      <c r="B488" s="1" t="n">
        <v>45792.37238425926</v>
      </c>
      <c r="C488" s="1" t="n">
        <v>45936</v>
      </c>
      <c r="D488" t="inlineStr">
        <is>
          <t>ÖSTERGÖTLANDS LÄN</t>
        </is>
      </c>
      <c r="E488" t="inlineStr">
        <is>
          <t>KINDA</t>
        </is>
      </c>
      <c r="G488" t="n">
        <v>5.2</v>
      </c>
      <c r="H488" t="n">
        <v>0</v>
      </c>
      <c r="I488" t="n">
        <v>0</v>
      </c>
      <c r="J488" t="n">
        <v>0</v>
      </c>
      <c r="K488" t="n">
        <v>0</v>
      </c>
      <c r="L488" t="n">
        <v>0</v>
      </c>
      <c r="M488" t="n">
        <v>0</v>
      </c>
      <c r="N488" t="n">
        <v>0</v>
      </c>
      <c r="O488" t="n">
        <v>0</v>
      </c>
      <c r="P488" t="n">
        <v>0</v>
      </c>
      <c r="Q488" t="n">
        <v>0</v>
      </c>
      <c r="R488" s="2" t="inlineStr"/>
    </row>
    <row r="489" ht="15" customHeight="1">
      <c r="A489" t="inlineStr">
        <is>
          <t>A 937-2024</t>
        </is>
      </c>
      <c r="B489" s="1" t="n">
        <v>45301</v>
      </c>
      <c r="C489" s="1" t="n">
        <v>45936</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24133-2025</t>
        </is>
      </c>
      <c r="B490" s="1" t="n">
        <v>45796.63584490741</v>
      </c>
      <c r="C490" s="1" t="n">
        <v>45936</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54131-2020</t>
        </is>
      </c>
      <c r="B491" s="1" t="n">
        <v>44125</v>
      </c>
      <c r="C491" s="1" t="n">
        <v>45936</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8228-2025</t>
        </is>
      </c>
      <c r="B492" s="1" t="n">
        <v>45708.46913194445</v>
      </c>
      <c r="C492" s="1" t="n">
        <v>45936</v>
      </c>
      <c r="D492" t="inlineStr">
        <is>
          <t>ÖSTERGÖTLANDS LÄN</t>
        </is>
      </c>
      <c r="E492" t="inlineStr">
        <is>
          <t>KINDA</t>
        </is>
      </c>
      <c r="G492" t="n">
        <v>4.8</v>
      </c>
      <c r="H492" t="n">
        <v>0</v>
      </c>
      <c r="I492" t="n">
        <v>0</v>
      </c>
      <c r="J492" t="n">
        <v>0</v>
      </c>
      <c r="K492" t="n">
        <v>0</v>
      </c>
      <c r="L492" t="n">
        <v>0</v>
      </c>
      <c r="M492" t="n">
        <v>0</v>
      </c>
      <c r="N492" t="n">
        <v>0</v>
      </c>
      <c r="O492" t="n">
        <v>0</v>
      </c>
      <c r="P492" t="n">
        <v>0</v>
      </c>
      <c r="Q492" t="n">
        <v>0</v>
      </c>
      <c r="R492" s="2" t="inlineStr"/>
    </row>
    <row r="493" ht="15" customHeight="1">
      <c r="A493" t="inlineStr">
        <is>
          <t>A 8229-2025</t>
        </is>
      </c>
      <c r="B493" s="1" t="n">
        <v>45708.46960648148</v>
      </c>
      <c r="C493" s="1" t="n">
        <v>45936</v>
      </c>
      <c r="D493" t="inlineStr">
        <is>
          <t>ÖSTERGÖTLANDS LÄN</t>
        </is>
      </c>
      <c r="E493" t="inlineStr">
        <is>
          <t>KINDA</t>
        </is>
      </c>
      <c r="G493" t="n">
        <v>2.8</v>
      </c>
      <c r="H493" t="n">
        <v>0</v>
      </c>
      <c r="I493" t="n">
        <v>0</v>
      </c>
      <c r="J493" t="n">
        <v>0</v>
      </c>
      <c r="K493" t="n">
        <v>0</v>
      </c>
      <c r="L493" t="n">
        <v>0</v>
      </c>
      <c r="M493" t="n">
        <v>0</v>
      </c>
      <c r="N493" t="n">
        <v>0</v>
      </c>
      <c r="O493" t="n">
        <v>0</v>
      </c>
      <c r="P493" t="n">
        <v>0</v>
      </c>
      <c r="Q493" t="n">
        <v>0</v>
      </c>
      <c r="R493" s="2" t="inlineStr"/>
    </row>
    <row r="494" ht="15" customHeight="1">
      <c r="A494" t="inlineStr">
        <is>
          <t>A 58738-2024</t>
        </is>
      </c>
      <c r="B494" s="1" t="n">
        <v>45635.6921875</v>
      </c>
      <c r="C494" s="1" t="n">
        <v>45936</v>
      </c>
      <c r="D494" t="inlineStr">
        <is>
          <t>ÖSTERGÖTLANDS LÄN</t>
        </is>
      </c>
      <c r="E494" t="inlineStr">
        <is>
          <t>KINDA</t>
        </is>
      </c>
      <c r="G494" t="n">
        <v>0.7</v>
      </c>
      <c r="H494" t="n">
        <v>0</v>
      </c>
      <c r="I494" t="n">
        <v>0</v>
      </c>
      <c r="J494" t="n">
        <v>0</v>
      </c>
      <c r="K494" t="n">
        <v>0</v>
      </c>
      <c r="L494" t="n">
        <v>0</v>
      </c>
      <c r="M494" t="n">
        <v>0</v>
      </c>
      <c r="N494" t="n">
        <v>0</v>
      </c>
      <c r="O494" t="n">
        <v>0</v>
      </c>
      <c r="P494" t="n">
        <v>0</v>
      </c>
      <c r="Q494" t="n">
        <v>0</v>
      </c>
      <c r="R494" s="2" t="inlineStr"/>
      <c r="U494">
        <f>HYPERLINK("https://klasma.github.io/Logging_0513/knärot/A 58738-2024 karta knärot.png", "A 58738-2024")</f>
        <v/>
      </c>
      <c r="V494">
        <f>HYPERLINK("https://klasma.github.io/Logging_0513/klagomål/A 58738-2024 FSC-klagomål.docx", "A 58738-2024")</f>
        <v/>
      </c>
      <c r="W494">
        <f>HYPERLINK("https://klasma.github.io/Logging_0513/klagomålsmail/A 58738-2024 FSC-klagomål mail.docx", "A 58738-2024")</f>
        <v/>
      </c>
      <c r="X494">
        <f>HYPERLINK("https://klasma.github.io/Logging_0513/tillsyn/A 58738-2024 tillsynsbegäran.docx", "A 58738-2024")</f>
        <v/>
      </c>
      <c r="Y494">
        <f>HYPERLINK("https://klasma.github.io/Logging_0513/tillsynsmail/A 58738-2024 tillsynsbegäran mail.docx", "A 58738-2024")</f>
        <v/>
      </c>
    </row>
    <row r="495" ht="15" customHeight="1">
      <c r="A495" t="inlineStr">
        <is>
          <t>A 24130-2025</t>
        </is>
      </c>
      <c r="B495" s="1" t="n">
        <v>45796.63424768519</v>
      </c>
      <c r="C495" s="1" t="n">
        <v>45936</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57449-2021</t>
        </is>
      </c>
      <c r="B496" s="1" t="n">
        <v>44483</v>
      </c>
      <c r="C496" s="1" t="n">
        <v>45936</v>
      </c>
      <c r="D496" t="inlineStr">
        <is>
          <t>ÖSTERGÖTLANDS LÄN</t>
        </is>
      </c>
      <c r="E496" t="inlineStr">
        <is>
          <t>KINDA</t>
        </is>
      </c>
      <c r="G496" t="n">
        <v>5.3</v>
      </c>
      <c r="H496" t="n">
        <v>0</v>
      </c>
      <c r="I496" t="n">
        <v>0</v>
      </c>
      <c r="J496" t="n">
        <v>0</v>
      </c>
      <c r="K496" t="n">
        <v>0</v>
      </c>
      <c r="L496" t="n">
        <v>0</v>
      </c>
      <c r="M496" t="n">
        <v>0</v>
      </c>
      <c r="N496" t="n">
        <v>0</v>
      </c>
      <c r="O496" t="n">
        <v>0</v>
      </c>
      <c r="P496" t="n">
        <v>0</v>
      </c>
      <c r="Q496" t="n">
        <v>0</v>
      </c>
      <c r="R496" s="2" t="inlineStr"/>
    </row>
    <row r="497" ht="15" customHeight="1">
      <c r="A497" t="inlineStr">
        <is>
          <t>A 24128-2025</t>
        </is>
      </c>
      <c r="B497" s="1" t="n">
        <v>45796.63180555555</v>
      </c>
      <c r="C497" s="1" t="n">
        <v>45936</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6411-2025</t>
        </is>
      </c>
      <c r="B498" s="1" t="n">
        <v>45699.45978009259</v>
      </c>
      <c r="C498" s="1" t="n">
        <v>45936</v>
      </c>
      <c r="D498" t="inlineStr">
        <is>
          <t>ÖSTERGÖTLANDS LÄN</t>
        </is>
      </c>
      <c r="E498" t="inlineStr">
        <is>
          <t>KINDA</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42956-2023</t>
        </is>
      </c>
      <c r="B499" s="1" t="n">
        <v>45182</v>
      </c>
      <c r="C499" s="1" t="n">
        <v>45936</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24446-2025</t>
        </is>
      </c>
      <c r="B500" s="1" t="n">
        <v>45798.33460648148</v>
      </c>
      <c r="C500" s="1" t="n">
        <v>45936</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24448-2025</t>
        </is>
      </c>
      <c r="B501" s="1" t="n">
        <v>45798.33824074074</v>
      </c>
      <c r="C501" s="1" t="n">
        <v>45936</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38015-2023</t>
        </is>
      </c>
      <c r="B502" s="1" t="n">
        <v>45160</v>
      </c>
      <c r="C502" s="1" t="n">
        <v>45936</v>
      </c>
      <c r="D502" t="inlineStr">
        <is>
          <t>ÖSTERGÖTLANDS LÄN</t>
        </is>
      </c>
      <c r="E502" t="inlineStr">
        <is>
          <t>KINDA</t>
        </is>
      </c>
      <c r="F502" t="inlineStr">
        <is>
          <t>Allmännings- och besparingsskogar</t>
        </is>
      </c>
      <c r="G502" t="n">
        <v>11.5</v>
      </c>
      <c r="H502" t="n">
        <v>0</v>
      </c>
      <c r="I502" t="n">
        <v>0</v>
      </c>
      <c r="J502" t="n">
        <v>0</v>
      </c>
      <c r="K502" t="n">
        <v>0</v>
      </c>
      <c r="L502" t="n">
        <v>0</v>
      </c>
      <c r="M502" t="n">
        <v>0</v>
      </c>
      <c r="N502" t="n">
        <v>0</v>
      </c>
      <c r="O502" t="n">
        <v>0</v>
      </c>
      <c r="P502" t="n">
        <v>0</v>
      </c>
      <c r="Q502" t="n">
        <v>0</v>
      </c>
      <c r="R502" s="2" t="inlineStr"/>
    </row>
    <row r="503" ht="15" customHeight="1">
      <c r="A503" t="inlineStr">
        <is>
          <t>A 58286-2020</t>
        </is>
      </c>
      <c r="B503" s="1" t="n">
        <v>44144</v>
      </c>
      <c r="C503" s="1" t="n">
        <v>45936</v>
      </c>
      <c r="D503" t="inlineStr">
        <is>
          <t>ÖSTERGÖTLANDS LÄN</t>
        </is>
      </c>
      <c r="E503" t="inlineStr">
        <is>
          <t>KINDA</t>
        </is>
      </c>
      <c r="G503" t="n">
        <v>2.8</v>
      </c>
      <c r="H503" t="n">
        <v>0</v>
      </c>
      <c r="I503" t="n">
        <v>0</v>
      </c>
      <c r="J503" t="n">
        <v>0</v>
      </c>
      <c r="K503" t="n">
        <v>0</v>
      </c>
      <c r="L503" t="n">
        <v>0</v>
      </c>
      <c r="M503" t="n">
        <v>0</v>
      </c>
      <c r="N503" t="n">
        <v>0</v>
      </c>
      <c r="O503" t="n">
        <v>0</v>
      </c>
      <c r="P503" t="n">
        <v>0</v>
      </c>
      <c r="Q503" t="n">
        <v>0</v>
      </c>
      <c r="R503" s="2" t="inlineStr"/>
    </row>
    <row r="504" ht="15" customHeight="1">
      <c r="A504" t="inlineStr">
        <is>
          <t>A 20350-2025</t>
        </is>
      </c>
      <c r="B504" s="1" t="n">
        <v>45775</v>
      </c>
      <c r="C504" s="1" t="n">
        <v>45936</v>
      </c>
      <c r="D504" t="inlineStr">
        <is>
          <t>ÖSTERGÖTLANDS LÄN</t>
        </is>
      </c>
      <c r="E504" t="inlineStr">
        <is>
          <t>KINDA</t>
        </is>
      </c>
      <c r="G504" t="n">
        <v>2</v>
      </c>
      <c r="H504" t="n">
        <v>0</v>
      </c>
      <c r="I504" t="n">
        <v>0</v>
      </c>
      <c r="J504" t="n">
        <v>0</v>
      </c>
      <c r="K504" t="n">
        <v>0</v>
      </c>
      <c r="L504" t="n">
        <v>0</v>
      </c>
      <c r="M504" t="n">
        <v>0</v>
      </c>
      <c r="N504" t="n">
        <v>0</v>
      </c>
      <c r="O504" t="n">
        <v>0</v>
      </c>
      <c r="P504" t="n">
        <v>0</v>
      </c>
      <c r="Q504" t="n">
        <v>0</v>
      </c>
      <c r="R504" s="2" t="inlineStr"/>
    </row>
    <row r="505" ht="15" customHeight="1">
      <c r="A505" t="inlineStr">
        <is>
          <t>A 24774-2025</t>
        </is>
      </c>
      <c r="B505" s="1" t="n">
        <v>45799</v>
      </c>
      <c r="C505" s="1" t="n">
        <v>45936</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24754-2025</t>
        </is>
      </c>
      <c r="B506" s="1" t="n">
        <v>45799.36881944445</v>
      </c>
      <c r="C506" s="1" t="n">
        <v>45936</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52230-2020</t>
        </is>
      </c>
      <c r="B507" s="1" t="n">
        <v>44112</v>
      </c>
      <c r="C507" s="1" t="n">
        <v>45936</v>
      </c>
      <c r="D507" t="inlineStr">
        <is>
          <t>ÖSTERGÖTLANDS LÄN</t>
        </is>
      </c>
      <c r="E507" t="inlineStr">
        <is>
          <t>KINDA</t>
        </is>
      </c>
      <c r="G507" t="n">
        <v>2.1</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45936</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45936</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45936</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45936</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61957-2022</t>
        </is>
      </c>
      <c r="B512" s="1" t="n">
        <v>44918.34216435185</v>
      </c>
      <c r="C512" s="1" t="n">
        <v>45936</v>
      </c>
      <c r="D512" t="inlineStr">
        <is>
          <t>ÖSTERGÖTLANDS LÄN</t>
        </is>
      </c>
      <c r="E512" t="inlineStr">
        <is>
          <t>KINDA</t>
        </is>
      </c>
      <c r="G512" t="n">
        <v>1</v>
      </c>
      <c r="H512" t="n">
        <v>0</v>
      </c>
      <c r="I512" t="n">
        <v>0</v>
      </c>
      <c r="J512" t="n">
        <v>0</v>
      </c>
      <c r="K512" t="n">
        <v>0</v>
      </c>
      <c r="L512" t="n">
        <v>0</v>
      </c>
      <c r="M512" t="n">
        <v>0</v>
      </c>
      <c r="N512" t="n">
        <v>0</v>
      </c>
      <c r="O512" t="n">
        <v>0</v>
      </c>
      <c r="P512" t="n">
        <v>0</v>
      </c>
      <c r="Q512" t="n">
        <v>0</v>
      </c>
      <c r="R512" s="2" t="inlineStr"/>
    </row>
    <row r="513" ht="15" customHeight="1">
      <c r="A513" t="inlineStr">
        <is>
          <t>A 35218-2023</t>
        </is>
      </c>
      <c r="B513" s="1" t="n">
        <v>45145.64796296296</v>
      </c>
      <c r="C513" s="1" t="n">
        <v>45936</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8409-2025</t>
        </is>
      </c>
      <c r="B514" s="1" t="n">
        <v>45709.38978009259</v>
      </c>
      <c r="C514" s="1" t="n">
        <v>45936</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c r="U514">
        <f>HYPERLINK("https://klasma.github.io/Logging_0513/knärot/A 8409-2025 karta knärot.png", "A 8409-2025")</f>
        <v/>
      </c>
      <c r="V514">
        <f>HYPERLINK("https://klasma.github.io/Logging_0513/klagomål/A 8409-2025 FSC-klagomål.docx", "A 8409-2025")</f>
        <v/>
      </c>
      <c r="W514">
        <f>HYPERLINK("https://klasma.github.io/Logging_0513/klagomålsmail/A 8409-2025 FSC-klagomål mail.docx", "A 8409-2025")</f>
        <v/>
      </c>
      <c r="X514">
        <f>HYPERLINK("https://klasma.github.io/Logging_0513/tillsyn/A 8409-2025 tillsynsbegäran.docx", "A 8409-2025")</f>
        <v/>
      </c>
      <c r="Y514">
        <f>HYPERLINK("https://klasma.github.io/Logging_0513/tillsynsmail/A 8409-2025 tillsynsbegäran mail.docx", "A 8409-2025")</f>
        <v/>
      </c>
    </row>
    <row r="515" ht="15" customHeight="1">
      <c r="A515" t="inlineStr">
        <is>
          <t>A 19645-2025</t>
        </is>
      </c>
      <c r="B515" s="1" t="n">
        <v>45770.65983796296</v>
      </c>
      <c r="C515" s="1" t="n">
        <v>45936</v>
      </c>
      <c r="D515" t="inlineStr">
        <is>
          <t>ÖSTERGÖTLANDS LÄN</t>
        </is>
      </c>
      <c r="E515" t="inlineStr">
        <is>
          <t>KINDA</t>
        </is>
      </c>
      <c r="F515" t="inlineStr">
        <is>
          <t>Allmännings- och besparingsskogar</t>
        </is>
      </c>
      <c r="G515" t="n">
        <v>2.4</v>
      </c>
      <c r="H515" t="n">
        <v>0</v>
      </c>
      <c r="I515" t="n">
        <v>0</v>
      </c>
      <c r="J515" t="n">
        <v>0</v>
      </c>
      <c r="K515" t="n">
        <v>0</v>
      </c>
      <c r="L515" t="n">
        <v>0</v>
      </c>
      <c r="M515" t="n">
        <v>0</v>
      </c>
      <c r="N515" t="n">
        <v>0</v>
      </c>
      <c r="O515" t="n">
        <v>0</v>
      </c>
      <c r="P515" t="n">
        <v>0</v>
      </c>
      <c r="Q515" t="n">
        <v>0</v>
      </c>
      <c r="R515" s="2" t="inlineStr"/>
    </row>
    <row r="516" ht="15" customHeight="1">
      <c r="A516" t="inlineStr">
        <is>
          <t>A 2952-2024</t>
        </is>
      </c>
      <c r="B516" s="1" t="n">
        <v>45315</v>
      </c>
      <c r="C516" s="1" t="n">
        <v>45936</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24454-2023</t>
        </is>
      </c>
      <c r="B517" s="1" t="n">
        <v>45082.55885416667</v>
      </c>
      <c r="C517" s="1" t="n">
        <v>45936</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4433-2024</t>
        </is>
      </c>
      <c r="B518" s="1" t="n">
        <v>45327.4684375</v>
      </c>
      <c r="C518" s="1" t="n">
        <v>45936</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20325-2025</t>
        </is>
      </c>
      <c r="B519" s="1" t="n">
        <v>45775</v>
      </c>
      <c r="C519" s="1" t="n">
        <v>45936</v>
      </c>
      <c r="D519" t="inlineStr">
        <is>
          <t>ÖSTERGÖTLANDS LÄN</t>
        </is>
      </c>
      <c r="E519" t="inlineStr">
        <is>
          <t>KINDA</t>
        </is>
      </c>
      <c r="G519" t="n">
        <v>3.6</v>
      </c>
      <c r="H519" t="n">
        <v>0</v>
      </c>
      <c r="I519" t="n">
        <v>0</v>
      </c>
      <c r="J519" t="n">
        <v>0</v>
      </c>
      <c r="K519" t="n">
        <v>0</v>
      </c>
      <c r="L519" t="n">
        <v>0</v>
      </c>
      <c r="M519" t="n">
        <v>0</v>
      </c>
      <c r="N519" t="n">
        <v>0</v>
      </c>
      <c r="O519" t="n">
        <v>0</v>
      </c>
      <c r="P519" t="n">
        <v>0</v>
      </c>
      <c r="Q519" t="n">
        <v>0</v>
      </c>
      <c r="R519" s="2" t="inlineStr"/>
    </row>
    <row r="520" ht="15" customHeight="1">
      <c r="A520" t="inlineStr">
        <is>
          <t>A 26567-2025</t>
        </is>
      </c>
      <c r="B520" s="1" t="n">
        <v>45807.66878472222</v>
      </c>
      <c r="C520" s="1" t="n">
        <v>45936</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36824-2022</t>
        </is>
      </c>
      <c r="B521" s="1" t="n">
        <v>44805.55975694444</v>
      </c>
      <c r="C521" s="1" t="n">
        <v>45936</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6301-2025</t>
        </is>
      </c>
      <c r="B522" s="1" t="n">
        <v>45698.67719907407</v>
      </c>
      <c r="C522" s="1" t="n">
        <v>45936</v>
      </c>
      <c r="D522" t="inlineStr">
        <is>
          <t>ÖSTERGÖTLANDS LÄN</t>
        </is>
      </c>
      <c r="E522" t="inlineStr">
        <is>
          <t>KINDA</t>
        </is>
      </c>
      <c r="G522" t="n">
        <v>4.9</v>
      </c>
      <c r="H522" t="n">
        <v>0</v>
      </c>
      <c r="I522" t="n">
        <v>0</v>
      </c>
      <c r="J522" t="n">
        <v>0</v>
      </c>
      <c r="K522" t="n">
        <v>0</v>
      </c>
      <c r="L522" t="n">
        <v>0</v>
      </c>
      <c r="M522" t="n">
        <v>0</v>
      </c>
      <c r="N522" t="n">
        <v>0</v>
      </c>
      <c r="O522" t="n">
        <v>0</v>
      </c>
      <c r="P522" t="n">
        <v>0</v>
      </c>
      <c r="Q522" t="n">
        <v>0</v>
      </c>
      <c r="R522" s="2" t="inlineStr"/>
    </row>
    <row r="523" ht="15" customHeight="1">
      <c r="A523" t="inlineStr">
        <is>
          <t>A 27105-2025</t>
        </is>
      </c>
      <c r="B523" s="1" t="n">
        <v>45811</v>
      </c>
      <c r="C523" s="1" t="n">
        <v>45936</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27600-2025</t>
        </is>
      </c>
      <c r="B524" s="1" t="n">
        <v>45813.52677083333</v>
      </c>
      <c r="C524" s="1" t="n">
        <v>45936</v>
      </c>
      <c r="D524" t="inlineStr">
        <is>
          <t>ÖSTERGÖTLANDS LÄN</t>
        </is>
      </c>
      <c r="E524" t="inlineStr">
        <is>
          <t>KINDA</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27587-2025</t>
        </is>
      </c>
      <c r="B525" s="1" t="n">
        <v>45813.50763888889</v>
      </c>
      <c r="C525" s="1" t="n">
        <v>45936</v>
      </c>
      <c r="D525" t="inlineStr">
        <is>
          <t>ÖSTERGÖTLANDS LÄN</t>
        </is>
      </c>
      <c r="E525" t="inlineStr">
        <is>
          <t>KINDA</t>
        </is>
      </c>
      <c r="F525" t="inlineStr">
        <is>
          <t>Övriga Aktiebolag</t>
        </is>
      </c>
      <c r="G525" t="n">
        <v>13.6</v>
      </c>
      <c r="H525" t="n">
        <v>0</v>
      </c>
      <c r="I525" t="n">
        <v>0</v>
      </c>
      <c r="J525" t="n">
        <v>0</v>
      </c>
      <c r="K525" t="n">
        <v>0</v>
      </c>
      <c r="L525" t="n">
        <v>0</v>
      </c>
      <c r="M525" t="n">
        <v>0</v>
      </c>
      <c r="N525" t="n">
        <v>0</v>
      </c>
      <c r="O525" t="n">
        <v>0</v>
      </c>
      <c r="P525" t="n">
        <v>0</v>
      </c>
      <c r="Q525" t="n">
        <v>0</v>
      </c>
      <c r="R525" s="2" t="inlineStr"/>
    </row>
    <row r="526" ht="15" customHeight="1">
      <c r="A526" t="inlineStr">
        <is>
          <t>A 27608-2025</t>
        </is>
      </c>
      <c r="B526" s="1" t="n">
        <v>45813.53402777778</v>
      </c>
      <c r="C526" s="1" t="n">
        <v>45936</v>
      </c>
      <c r="D526" t="inlineStr">
        <is>
          <t>ÖSTERGÖTLANDS LÄN</t>
        </is>
      </c>
      <c r="E526" t="inlineStr">
        <is>
          <t>KINDA</t>
        </is>
      </c>
      <c r="F526" t="inlineStr">
        <is>
          <t>Övriga Aktiebolag</t>
        </is>
      </c>
      <c r="G526" t="n">
        <v>2.4</v>
      </c>
      <c r="H526" t="n">
        <v>0</v>
      </c>
      <c r="I526" t="n">
        <v>0</v>
      </c>
      <c r="J526" t="n">
        <v>0</v>
      </c>
      <c r="K526" t="n">
        <v>0</v>
      </c>
      <c r="L526" t="n">
        <v>0</v>
      </c>
      <c r="M526" t="n">
        <v>0</v>
      </c>
      <c r="N526" t="n">
        <v>0</v>
      </c>
      <c r="O526" t="n">
        <v>0</v>
      </c>
      <c r="P526" t="n">
        <v>0</v>
      </c>
      <c r="Q526" t="n">
        <v>0</v>
      </c>
      <c r="R526" s="2" t="inlineStr"/>
    </row>
    <row r="527" ht="15" customHeight="1">
      <c r="A527" t="inlineStr">
        <is>
          <t>A 51294-2022</t>
        </is>
      </c>
      <c r="B527" s="1" t="n">
        <v>44868</v>
      </c>
      <c r="C527" s="1" t="n">
        <v>45936</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27969-2025</t>
        </is>
      </c>
      <c r="B528" s="1" t="n">
        <v>45817.55887731481</v>
      </c>
      <c r="C528" s="1" t="n">
        <v>45936</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1881-2025</t>
        </is>
      </c>
      <c r="B529" s="1" t="n">
        <v>45671.62480324074</v>
      </c>
      <c r="C529" s="1" t="n">
        <v>45936</v>
      </c>
      <c r="D529" t="inlineStr">
        <is>
          <t>ÖSTERGÖTLANDS LÄN</t>
        </is>
      </c>
      <c r="E529" t="inlineStr">
        <is>
          <t>KINDA</t>
        </is>
      </c>
      <c r="G529" t="n">
        <v>2.4</v>
      </c>
      <c r="H529" t="n">
        <v>0</v>
      </c>
      <c r="I529" t="n">
        <v>0</v>
      </c>
      <c r="J529" t="n">
        <v>0</v>
      </c>
      <c r="K529" t="n">
        <v>0</v>
      </c>
      <c r="L529" t="n">
        <v>0</v>
      </c>
      <c r="M529" t="n">
        <v>0</v>
      </c>
      <c r="N529" t="n">
        <v>0</v>
      </c>
      <c r="O529" t="n">
        <v>0</v>
      </c>
      <c r="P529" t="n">
        <v>0</v>
      </c>
      <c r="Q529" t="n">
        <v>0</v>
      </c>
      <c r="R529" s="2" t="inlineStr"/>
    </row>
    <row r="530" ht="15" customHeight="1">
      <c r="A530" t="inlineStr">
        <is>
          <t>A 27966-2025</t>
        </is>
      </c>
      <c r="B530" s="1" t="n">
        <v>45817.55668981482</v>
      </c>
      <c r="C530" s="1" t="n">
        <v>45936</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28256-2025</t>
        </is>
      </c>
      <c r="B531" s="1" t="n">
        <v>45818</v>
      </c>
      <c r="C531" s="1" t="n">
        <v>45936</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28258-2025</t>
        </is>
      </c>
      <c r="B532" s="1" t="n">
        <v>45818</v>
      </c>
      <c r="C532" s="1" t="n">
        <v>45936</v>
      </c>
      <c r="D532" t="inlineStr">
        <is>
          <t>ÖSTERGÖTLANDS LÄN</t>
        </is>
      </c>
      <c r="E532" t="inlineStr">
        <is>
          <t>KINDA</t>
        </is>
      </c>
      <c r="G532" t="n">
        <v>3.4</v>
      </c>
      <c r="H532" t="n">
        <v>0</v>
      </c>
      <c r="I532" t="n">
        <v>0</v>
      </c>
      <c r="J532" t="n">
        <v>0</v>
      </c>
      <c r="K532" t="n">
        <v>0</v>
      </c>
      <c r="L532" t="n">
        <v>0</v>
      </c>
      <c r="M532" t="n">
        <v>0</v>
      </c>
      <c r="N532" t="n">
        <v>0</v>
      </c>
      <c r="O532" t="n">
        <v>0</v>
      </c>
      <c r="P532" t="n">
        <v>0</v>
      </c>
      <c r="Q532" t="n">
        <v>0</v>
      </c>
      <c r="R532" s="2" t="inlineStr"/>
    </row>
    <row r="533" ht="15" customHeight="1">
      <c r="A533" t="inlineStr">
        <is>
          <t>A 28552-2025</t>
        </is>
      </c>
      <c r="B533" s="1" t="n">
        <v>45819.53686342593</v>
      </c>
      <c r="C533" s="1" t="n">
        <v>45936</v>
      </c>
      <c r="D533" t="inlineStr">
        <is>
          <t>ÖSTERGÖTLANDS LÄN</t>
        </is>
      </c>
      <c r="E533" t="inlineStr">
        <is>
          <t>KINDA</t>
        </is>
      </c>
      <c r="F533" t="inlineStr">
        <is>
          <t>Övriga Aktiebolag</t>
        </is>
      </c>
      <c r="G533" t="n">
        <v>1.4</v>
      </c>
      <c r="H533" t="n">
        <v>0</v>
      </c>
      <c r="I533" t="n">
        <v>0</v>
      </c>
      <c r="J533" t="n">
        <v>0</v>
      </c>
      <c r="K533" t="n">
        <v>0</v>
      </c>
      <c r="L533" t="n">
        <v>0</v>
      </c>
      <c r="M533" t="n">
        <v>0</v>
      </c>
      <c r="N533" t="n">
        <v>0</v>
      </c>
      <c r="O533" t="n">
        <v>0</v>
      </c>
      <c r="P533" t="n">
        <v>0</v>
      </c>
      <c r="Q533" t="n">
        <v>0</v>
      </c>
      <c r="R533" s="2" t="inlineStr"/>
    </row>
    <row r="534" ht="15" customHeight="1">
      <c r="A534" t="inlineStr">
        <is>
          <t>A 28568-2025</t>
        </is>
      </c>
      <c r="B534" s="1" t="n">
        <v>45819.55849537037</v>
      </c>
      <c r="C534" s="1" t="n">
        <v>45936</v>
      </c>
      <c r="D534" t="inlineStr">
        <is>
          <t>ÖSTERGÖTLANDS LÄN</t>
        </is>
      </c>
      <c r="E534" t="inlineStr">
        <is>
          <t>KINDA</t>
        </is>
      </c>
      <c r="F534" t="inlineStr">
        <is>
          <t>Övriga Aktiebolag</t>
        </is>
      </c>
      <c r="G534" t="n">
        <v>4.4</v>
      </c>
      <c r="H534" t="n">
        <v>0</v>
      </c>
      <c r="I534" t="n">
        <v>0</v>
      </c>
      <c r="J534" t="n">
        <v>0</v>
      </c>
      <c r="K534" t="n">
        <v>0</v>
      </c>
      <c r="L534" t="n">
        <v>0</v>
      </c>
      <c r="M534" t="n">
        <v>0</v>
      </c>
      <c r="N534" t="n">
        <v>0</v>
      </c>
      <c r="O534" t="n">
        <v>0</v>
      </c>
      <c r="P534" t="n">
        <v>0</v>
      </c>
      <c r="Q534" t="n">
        <v>0</v>
      </c>
      <c r="R534" s="2" t="inlineStr"/>
    </row>
    <row r="535" ht="15" customHeight="1">
      <c r="A535" t="inlineStr">
        <is>
          <t>A 28611-2025</t>
        </is>
      </c>
      <c r="B535" s="1" t="n">
        <v>45819.60376157407</v>
      </c>
      <c r="C535" s="1" t="n">
        <v>45936</v>
      </c>
      <c r="D535" t="inlineStr">
        <is>
          <t>ÖSTERGÖTLANDS LÄN</t>
        </is>
      </c>
      <c r="E535" t="inlineStr">
        <is>
          <t>KINDA</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47187-2023</t>
        </is>
      </c>
      <c r="B536" s="1" t="n">
        <v>45202.26611111111</v>
      </c>
      <c r="C536" s="1" t="n">
        <v>45936</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13769-2023</t>
        </is>
      </c>
      <c r="B537" s="1" t="n">
        <v>45007.45686342593</v>
      </c>
      <c r="C537" s="1" t="n">
        <v>45936</v>
      </c>
      <c r="D537" t="inlineStr">
        <is>
          <t>ÖSTERGÖTLANDS LÄN</t>
        </is>
      </c>
      <c r="E537" t="inlineStr">
        <is>
          <t>KINDA</t>
        </is>
      </c>
      <c r="G537" t="n">
        <v>3.8</v>
      </c>
      <c r="H537" t="n">
        <v>0</v>
      </c>
      <c r="I537" t="n">
        <v>0</v>
      </c>
      <c r="J537" t="n">
        <v>0</v>
      </c>
      <c r="K537" t="n">
        <v>0</v>
      </c>
      <c r="L537" t="n">
        <v>0</v>
      </c>
      <c r="M537" t="n">
        <v>0</v>
      </c>
      <c r="N537" t="n">
        <v>0</v>
      </c>
      <c r="O537" t="n">
        <v>0</v>
      </c>
      <c r="P537" t="n">
        <v>0</v>
      </c>
      <c r="Q537" t="n">
        <v>0</v>
      </c>
      <c r="R537" s="2" t="inlineStr"/>
    </row>
    <row r="538" ht="15" customHeight="1">
      <c r="A538" t="inlineStr">
        <is>
          <t>A 28479-2025</t>
        </is>
      </c>
      <c r="B538" s="1" t="n">
        <v>45819.4475</v>
      </c>
      <c r="C538" s="1" t="n">
        <v>45936</v>
      </c>
      <c r="D538" t="inlineStr">
        <is>
          <t>ÖSTERGÖTLANDS LÄN</t>
        </is>
      </c>
      <c r="E538" t="inlineStr">
        <is>
          <t>KINDA</t>
        </is>
      </c>
      <c r="F538" t="inlineStr">
        <is>
          <t>Övriga Aktiebolag</t>
        </is>
      </c>
      <c r="G538" t="n">
        <v>15.2</v>
      </c>
      <c r="H538" t="n">
        <v>0</v>
      </c>
      <c r="I538" t="n">
        <v>0</v>
      </c>
      <c r="J538" t="n">
        <v>0</v>
      </c>
      <c r="K538" t="n">
        <v>0</v>
      </c>
      <c r="L538" t="n">
        <v>0</v>
      </c>
      <c r="M538" t="n">
        <v>0</v>
      </c>
      <c r="N538" t="n">
        <v>0</v>
      </c>
      <c r="O538" t="n">
        <v>0</v>
      </c>
      <c r="P538" t="n">
        <v>0</v>
      </c>
      <c r="Q538" t="n">
        <v>0</v>
      </c>
      <c r="R538" s="2" t="inlineStr"/>
    </row>
    <row r="539" ht="15" customHeight="1">
      <c r="A539" t="inlineStr">
        <is>
          <t>A 51836-2021</t>
        </is>
      </c>
      <c r="B539" s="1" t="n">
        <v>44462</v>
      </c>
      <c r="C539" s="1" t="n">
        <v>45936</v>
      </c>
      <c r="D539" t="inlineStr">
        <is>
          <t>ÖSTERGÖTLANDS LÄN</t>
        </is>
      </c>
      <c r="E539" t="inlineStr">
        <is>
          <t>KINDA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6404-2025</t>
        </is>
      </c>
      <c r="B540" s="1" t="n">
        <v>45699.45336805555</v>
      </c>
      <c r="C540" s="1" t="n">
        <v>45936</v>
      </c>
      <c r="D540" t="inlineStr">
        <is>
          <t>ÖSTERGÖTLANDS LÄN</t>
        </is>
      </c>
      <c r="E540" t="inlineStr">
        <is>
          <t>KINDA</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28519-2025</t>
        </is>
      </c>
      <c r="B541" s="1" t="n">
        <v>45819.4893287037</v>
      </c>
      <c r="C541" s="1" t="n">
        <v>45936</v>
      </c>
      <c r="D541" t="inlineStr">
        <is>
          <t>ÖSTERGÖTLANDS LÄN</t>
        </is>
      </c>
      <c r="E541" t="inlineStr">
        <is>
          <t>KINDA</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6406-2025</t>
        </is>
      </c>
      <c r="B542" s="1" t="n">
        <v>45699.45508101852</v>
      </c>
      <c r="C542" s="1" t="n">
        <v>45936</v>
      </c>
      <c r="D542" t="inlineStr">
        <is>
          <t>ÖSTERGÖTLANDS LÄN</t>
        </is>
      </c>
      <c r="E542" t="inlineStr">
        <is>
          <t>KINDA</t>
        </is>
      </c>
      <c r="F542" t="inlineStr">
        <is>
          <t>Sveaskog</t>
        </is>
      </c>
      <c r="G542" t="n">
        <v>4.4</v>
      </c>
      <c r="H542" t="n">
        <v>0</v>
      </c>
      <c r="I542" t="n">
        <v>0</v>
      </c>
      <c r="J542" t="n">
        <v>0</v>
      </c>
      <c r="K542" t="n">
        <v>0</v>
      </c>
      <c r="L542" t="n">
        <v>0</v>
      </c>
      <c r="M542" t="n">
        <v>0</v>
      </c>
      <c r="N542" t="n">
        <v>0</v>
      </c>
      <c r="O542" t="n">
        <v>0</v>
      </c>
      <c r="P542" t="n">
        <v>0</v>
      </c>
      <c r="Q542" t="n">
        <v>0</v>
      </c>
      <c r="R542" s="2" t="inlineStr"/>
    </row>
    <row r="543" ht="15" customHeight="1">
      <c r="A543" t="inlineStr">
        <is>
          <t>A 41657-2024</t>
        </is>
      </c>
      <c r="B543" s="1" t="n">
        <v>45560.64243055556</v>
      </c>
      <c r="C543" s="1" t="n">
        <v>45936</v>
      </c>
      <c r="D543" t="inlineStr">
        <is>
          <t>ÖSTERGÖTLANDS LÄN</t>
        </is>
      </c>
      <c r="E543" t="inlineStr">
        <is>
          <t>KINDA</t>
        </is>
      </c>
      <c r="G543" t="n">
        <v>0.4</v>
      </c>
      <c r="H543" t="n">
        <v>0</v>
      </c>
      <c r="I543" t="n">
        <v>0</v>
      </c>
      <c r="J543" t="n">
        <v>0</v>
      </c>
      <c r="K543" t="n">
        <v>0</v>
      </c>
      <c r="L543" t="n">
        <v>0</v>
      </c>
      <c r="M543" t="n">
        <v>0</v>
      </c>
      <c r="N543" t="n">
        <v>0</v>
      </c>
      <c r="O543" t="n">
        <v>0</v>
      </c>
      <c r="P543" t="n">
        <v>0</v>
      </c>
      <c r="Q543" t="n">
        <v>0</v>
      </c>
      <c r="R543" s="2" t="inlineStr"/>
    </row>
    <row r="544" ht="15" customHeight="1">
      <c r="A544" t="inlineStr">
        <is>
          <t>A 29086-2025</t>
        </is>
      </c>
      <c r="B544" s="1" t="n">
        <v>45821</v>
      </c>
      <c r="C544" s="1" t="n">
        <v>45936</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29061-2025</t>
        </is>
      </c>
      <c r="B545" s="1" t="n">
        <v>45821</v>
      </c>
      <c r="C545" s="1" t="n">
        <v>45936</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29092-2025</t>
        </is>
      </c>
      <c r="B546" s="1" t="n">
        <v>45821</v>
      </c>
      <c r="C546" s="1" t="n">
        <v>45936</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1161-2021</t>
        </is>
      </c>
      <c r="B547" s="1" t="n">
        <v>44207</v>
      </c>
      <c r="C547" s="1" t="n">
        <v>45936</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45936</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29471-2025</t>
        </is>
      </c>
      <c r="B549" s="1" t="n">
        <v>45824</v>
      </c>
      <c r="C549" s="1" t="n">
        <v>45936</v>
      </c>
      <c r="D549" t="inlineStr">
        <is>
          <t>ÖSTERGÖTLANDS LÄN</t>
        </is>
      </c>
      <c r="E549" t="inlineStr">
        <is>
          <t>KINDA</t>
        </is>
      </c>
      <c r="G549" t="n">
        <v>5.4</v>
      </c>
      <c r="H549" t="n">
        <v>0</v>
      </c>
      <c r="I549" t="n">
        <v>0</v>
      </c>
      <c r="J549" t="n">
        <v>0</v>
      </c>
      <c r="K549" t="n">
        <v>0</v>
      </c>
      <c r="L549" t="n">
        <v>0</v>
      </c>
      <c r="M549" t="n">
        <v>0</v>
      </c>
      <c r="N549" t="n">
        <v>0</v>
      </c>
      <c r="O549" t="n">
        <v>0</v>
      </c>
      <c r="P549" t="n">
        <v>0</v>
      </c>
      <c r="Q549" t="n">
        <v>0</v>
      </c>
      <c r="R549" s="2" t="inlineStr"/>
    </row>
    <row r="550" ht="15" customHeight="1">
      <c r="A550" t="inlineStr">
        <is>
          <t>A 29078-2025</t>
        </is>
      </c>
      <c r="B550" s="1" t="n">
        <v>45821</v>
      </c>
      <c r="C550" s="1" t="n">
        <v>45936</v>
      </c>
      <c r="D550" t="inlineStr">
        <is>
          <t>ÖSTERGÖTLANDS LÄN</t>
        </is>
      </c>
      <c r="E550" t="inlineStr">
        <is>
          <t>KINDA</t>
        </is>
      </c>
      <c r="G550" t="n">
        <v>2</v>
      </c>
      <c r="H550" t="n">
        <v>0</v>
      </c>
      <c r="I550" t="n">
        <v>0</v>
      </c>
      <c r="J550" t="n">
        <v>0</v>
      </c>
      <c r="K550" t="n">
        <v>0</v>
      </c>
      <c r="L550" t="n">
        <v>0</v>
      </c>
      <c r="M550" t="n">
        <v>0</v>
      </c>
      <c r="N550" t="n">
        <v>0</v>
      </c>
      <c r="O550" t="n">
        <v>0</v>
      </c>
      <c r="P550" t="n">
        <v>0</v>
      </c>
      <c r="Q550" t="n">
        <v>0</v>
      </c>
      <c r="R550" s="2" t="inlineStr"/>
    </row>
    <row r="551" ht="15" customHeight="1">
      <c r="A551" t="inlineStr">
        <is>
          <t>A 29211-2025</t>
        </is>
      </c>
      <c r="B551" s="1" t="n">
        <v>45823.95393518519</v>
      </c>
      <c r="C551" s="1" t="n">
        <v>45936</v>
      </c>
      <c r="D551" t="inlineStr">
        <is>
          <t>ÖSTERGÖTLANDS LÄN</t>
        </is>
      </c>
      <c r="E551" t="inlineStr">
        <is>
          <t>KINDA</t>
        </is>
      </c>
      <c r="G551" t="n">
        <v>2.4</v>
      </c>
      <c r="H551" t="n">
        <v>0</v>
      </c>
      <c r="I551" t="n">
        <v>0</v>
      </c>
      <c r="J551" t="n">
        <v>0</v>
      </c>
      <c r="K551" t="n">
        <v>0</v>
      </c>
      <c r="L551" t="n">
        <v>0</v>
      </c>
      <c r="M551" t="n">
        <v>0</v>
      </c>
      <c r="N551" t="n">
        <v>0</v>
      </c>
      <c r="O551" t="n">
        <v>0</v>
      </c>
      <c r="P551" t="n">
        <v>0</v>
      </c>
      <c r="Q551" t="n">
        <v>0</v>
      </c>
      <c r="R551" s="2" t="inlineStr"/>
    </row>
    <row r="552" ht="15" customHeight="1">
      <c r="A552" t="inlineStr">
        <is>
          <t>A 29210-2025</t>
        </is>
      </c>
      <c r="B552" s="1" t="n">
        <v>45823.95060185185</v>
      </c>
      <c r="C552" s="1" t="n">
        <v>45936</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45936</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29079-2025</t>
        </is>
      </c>
      <c r="B554" s="1" t="n">
        <v>45821</v>
      </c>
      <c r="C554" s="1" t="n">
        <v>45936</v>
      </c>
      <c r="D554" t="inlineStr">
        <is>
          <t>ÖSTERGÖTLANDS LÄN</t>
        </is>
      </c>
      <c r="E554" t="inlineStr">
        <is>
          <t>KINDA</t>
        </is>
      </c>
      <c r="G554" t="n">
        <v>5.7</v>
      </c>
      <c r="H554" t="n">
        <v>0</v>
      </c>
      <c r="I554" t="n">
        <v>0</v>
      </c>
      <c r="J554" t="n">
        <v>0</v>
      </c>
      <c r="K554" t="n">
        <v>0</v>
      </c>
      <c r="L554" t="n">
        <v>0</v>
      </c>
      <c r="M554" t="n">
        <v>0</v>
      </c>
      <c r="N554" t="n">
        <v>0</v>
      </c>
      <c r="O554" t="n">
        <v>0</v>
      </c>
      <c r="P554" t="n">
        <v>0</v>
      </c>
      <c r="Q554" t="n">
        <v>0</v>
      </c>
      <c r="R554" s="2" t="inlineStr"/>
    </row>
    <row r="555" ht="15" customHeight="1">
      <c r="A555" t="inlineStr">
        <is>
          <t>A 25268-2023</t>
        </is>
      </c>
      <c r="B555" s="1" t="n">
        <v>45086.66693287037</v>
      </c>
      <c r="C555" s="1" t="n">
        <v>45936</v>
      </c>
      <c r="D555" t="inlineStr">
        <is>
          <t>ÖSTERGÖTLANDS LÄN</t>
        </is>
      </c>
      <c r="E555" t="inlineStr">
        <is>
          <t>KINDA</t>
        </is>
      </c>
      <c r="G555" t="n">
        <v>1.6</v>
      </c>
      <c r="H555" t="n">
        <v>0</v>
      </c>
      <c r="I555" t="n">
        <v>0</v>
      </c>
      <c r="J555" t="n">
        <v>0</v>
      </c>
      <c r="K555" t="n">
        <v>0</v>
      </c>
      <c r="L555" t="n">
        <v>0</v>
      </c>
      <c r="M555" t="n">
        <v>0</v>
      </c>
      <c r="N555" t="n">
        <v>0</v>
      </c>
      <c r="O555" t="n">
        <v>0</v>
      </c>
      <c r="P555" t="n">
        <v>0</v>
      </c>
      <c r="Q555" t="n">
        <v>0</v>
      </c>
      <c r="R555" s="2" t="inlineStr"/>
    </row>
    <row r="556" ht="15" customHeight="1">
      <c r="A556" t="inlineStr">
        <is>
          <t>A 22048-2021</t>
        </is>
      </c>
      <c r="B556" s="1" t="n">
        <v>44323</v>
      </c>
      <c r="C556" s="1" t="n">
        <v>45936</v>
      </c>
      <c r="D556" t="inlineStr">
        <is>
          <t>ÖSTERGÖTLANDS LÄN</t>
        </is>
      </c>
      <c r="E556" t="inlineStr">
        <is>
          <t>KINDA</t>
        </is>
      </c>
      <c r="G556" t="n">
        <v>1.1</v>
      </c>
      <c r="H556" t="n">
        <v>0</v>
      </c>
      <c r="I556" t="n">
        <v>0</v>
      </c>
      <c r="J556" t="n">
        <v>0</v>
      </c>
      <c r="K556" t="n">
        <v>0</v>
      </c>
      <c r="L556" t="n">
        <v>0</v>
      </c>
      <c r="M556" t="n">
        <v>0</v>
      </c>
      <c r="N556" t="n">
        <v>0</v>
      </c>
      <c r="O556" t="n">
        <v>0</v>
      </c>
      <c r="P556" t="n">
        <v>0</v>
      </c>
      <c r="Q556" t="n">
        <v>0</v>
      </c>
      <c r="R556" s="2" t="inlineStr"/>
    </row>
    <row r="557" ht="15" customHeight="1">
      <c r="A557" t="inlineStr">
        <is>
          <t>A 5649-2023</t>
        </is>
      </c>
      <c r="B557" s="1" t="n">
        <v>44960</v>
      </c>
      <c r="C557" s="1" t="n">
        <v>45936</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60597-2023</t>
        </is>
      </c>
      <c r="B558" s="1" t="n">
        <v>45260</v>
      </c>
      <c r="C558" s="1" t="n">
        <v>45936</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74202-2021</t>
        </is>
      </c>
      <c r="B559" s="1" t="n">
        <v>44558.51175925926</v>
      </c>
      <c r="C559" s="1" t="n">
        <v>45936</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52861-2023</t>
        </is>
      </c>
      <c r="B560" s="1" t="n">
        <v>45219</v>
      </c>
      <c r="C560" s="1" t="n">
        <v>45936</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30613-2025</t>
        </is>
      </c>
      <c r="B561" s="1" t="n">
        <v>45831.46635416667</v>
      </c>
      <c r="C561" s="1" t="n">
        <v>45936</v>
      </c>
      <c r="D561" t="inlineStr">
        <is>
          <t>ÖSTERGÖTLANDS LÄN</t>
        </is>
      </c>
      <c r="E561" t="inlineStr">
        <is>
          <t>KINDA</t>
        </is>
      </c>
      <c r="G561" t="n">
        <v>2.3</v>
      </c>
      <c r="H561" t="n">
        <v>0</v>
      </c>
      <c r="I561" t="n">
        <v>0</v>
      </c>
      <c r="J561" t="n">
        <v>0</v>
      </c>
      <c r="K561" t="n">
        <v>0</v>
      </c>
      <c r="L561" t="n">
        <v>0</v>
      </c>
      <c r="M561" t="n">
        <v>0</v>
      </c>
      <c r="N561" t="n">
        <v>0</v>
      </c>
      <c r="O561" t="n">
        <v>0</v>
      </c>
      <c r="P561" t="n">
        <v>0</v>
      </c>
      <c r="Q561" t="n">
        <v>0</v>
      </c>
      <c r="R561" s="2" t="inlineStr"/>
    </row>
    <row r="562" ht="15" customHeight="1">
      <c r="A562" t="inlineStr">
        <is>
          <t>A 30631-2025</t>
        </is>
      </c>
      <c r="B562" s="1" t="n">
        <v>45831.47709490741</v>
      </c>
      <c r="C562" s="1" t="n">
        <v>45936</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7645-2024</t>
        </is>
      </c>
      <c r="B563" s="1" t="n">
        <v>45348.65997685185</v>
      </c>
      <c r="C563" s="1" t="n">
        <v>45936</v>
      </c>
      <c r="D563" t="inlineStr">
        <is>
          <t>ÖSTERGÖTLANDS LÄN</t>
        </is>
      </c>
      <c r="E563" t="inlineStr">
        <is>
          <t>KINDA</t>
        </is>
      </c>
      <c r="G563" t="n">
        <v>6.3</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45936</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62647-2020</t>
        </is>
      </c>
      <c r="B565" s="1" t="n">
        <v>44161</v>
      </c>
      <c r="C565" s="1" t="n">
        <v>45936</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15110-2022</t>
        </is>
      </c>
      <c r="B566" s="1" t="n">
        <v>44657</v>
      </c>
      <c r="C566" s="1" t="n">
        <v>45936</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6104-2022</t>
        </is>
      </c>
      <c r="B567" s="1" t="n">
        <v>44599</v>
      </c>
      <c r="C567" s="1" t="n">
        <v>45936</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31054-2025</t>
        </is>
      </c>
      <c r="B568" s="1" t="n">
        <v>45832.56275462963</v>
      </c>
      <c r="C568" s="1" t="n">
        <v>45936</v>
      </c>
      <c r="D568" t="inlineStr">
        <is>
          <t>ÖSTERGÖTLANDS LÄN</t>
        </is>
      </c>
      <c r="E568" t="inlineStr">
        <is>
          <t>KINDA</t>
        </is>
      </c>
      <c r="G568" t="n">
        <v>2.3</v>
      </c>
      <c r="H568" t="n">
        <v>0</v>
      </c>
      <c r="I568" t="n">
        <v>0</v>
      </c>
      <c r="J568" t="n">
        <v>0</v>
      </c>
      <c r="K568" t="n">
        <v>0</v>
      </c>
      <c r="L568" t="n">
        <v>0</v>
      </c>
      <c r="M568" t="n">
        <v>0</v>
      </c>
      <c r="N568" t="n">
        <v>0</v>
      </c>
      <c r="O568" t="n">
        <v>0</v>
      </c>
      <c r="P568" t="n">
        <v>0</v>
      </c>
      <c r="Q568" t="n">
        <v>0</v>
      </c>
      <c r="R568" s="2" t="inlineStr"/>
    </row>
    <row r="569" ht="15" customHeight="1">
      <c r="A569" t="inlineStr">
        <is>
          <t>A 31048-2025</t>
        </is>
      </c>
      <c r="B569" s="1" t="n">
        <v>45832.55696759259</v>
      </c>
      <c r="C569" s="1" t="n">
        <v>45936</v>
      </c>
      <c r="D569" t="inlineStr">
        <is>
          <t>ÖSTERGÖTLANDS LÄN</t>
        </is>
      </c>
      <c r="E569" t="inlineStr">
        <is>
          <t>KINDA</t>
        </is>
      </c>
      <c r="G569" t="n">
        <v>1.4</v>
      </c>
      <c r="H569" t="n">
        <v>0</v>
      </c>
      <c r="I569" t="n">
        <v>0</v>
      </c>
      <c r="J569" t="n">
        <v>0</v>
      </c>
      <c r="K569" t="n">
        <v>0</v>
      </c>
      <c r="L569" t="n">
        <v>0</v>
      </c>
      <c r="M569" t="n">
        <v>0</v>
      </c>
      <c r="N569" t="n">
        <v>0</v>
      </c>
      <c r="O569" t="n">
        <v>0</v>
      </c>
      <c r="P569" t="n">
        <v>0</v>
      </c>
      <c r="Q569" t="n">
        <v>0</v>
      </c>
      <c r="R569" s="2" t="inlineStr"/>
    </row>
    <row r="570" ht="15" customHeight="1">
      <c r="A570" t="inlineStr">
        <is>
          <t>A 31811-2025</t>
        </is>
      </c>
      <c r="B570" s="1" t="n">
        <v>45834.56487268519</v>
      </c>
      <c r="C570" s="1" t="n">
        <v>45936</v>
      </c>
      <c r="D570" t="inlineStr">
        <is>
          <t>ÖSTERGÖTLANDS LÄN</t>
        </is>
      </c>
      <c r="E570" t="inlineStr">
        <is>
          <t>KINDA</t>
        </is>
      </c>
      <c r="G570" t="n">
        <v>4.4</v>
      </c>
      <c r="H570" t="n">
        <v>0</v>
      </c>
      <c r="I570" t="n">
        <v>0</v>
      </c>
      <c r="J570" t="n">
        <v>0</v>
      </c>
      <c r="K570" t="n">
        <v>0</v>
      </c>
      <c r="L570" t="n">
        <v>0</v>
      </c>
      <c r="M570" t="n">
        <v>0</v>
      </c>
      <c r="N570" t="n">
        <v>0</v>
      </c>
      <c r="O570" t="n">
        <v>0</v>
      </c>
      <c r="P570" t="n">
        <v>0</v>
      </c>
      <c r="Q570" t="n">
        <v>0</v>
      </c>
      <c r="R570" s="2" t="inlineStr"/>
    </row>
    <row r="571" ht="15" customHeight="1">
      <c r="A571" t="inlineStr">
        <is>
          <t>A 2638-2024</t>
        </is>
      </c>
      <c r="B571" s="1" t="n">
        <v>45314.33872685185</v>
      </c>
      <c r="C571" s="1" t="n">
        <v>45936</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45457-2024</t>
        </is>
      </c>
      <c r="B572" s="1" t="n">
        <v>45576.67208333333</v>
      </c>
      <c r="C572" s="1" t="n">
        <v>45936</v>
      </c>
      <c r="D572" t="inlineStr">
        <is>
          <t>ÖSTERGÖTLANDS LÄN</t>
        </is>
      </c>
      <c r="E572" t="inlineStr">
        <is>
          <t>KINDA</t>
        </is>
      </c>
      <c r="G572" t="n">
        <v>0.7</v>
      </c>
      <c r="H572" t="n">
        <v>0</v>
      </c>
      <c r="I572" t="n">
        <v>0</v>
      </c>
      <c r="J572" t="n">
        <v>0</v>
      </c>
      <c r="K572" t="n">
        <v>0</v>
      </c>
      <c r="L572" t="n">
        <v>0</v>
      </c>
      <c r="M572" t="n">
        <v>0</v>
      </c>
      <c r="N572" t="n">
        <v>0</v>
      </c>
      <c r="O572" t="n">
        <v>0</v>
      </c>
      <c r="P572" t="n">
        <v>0</v>
      </c>
      <c r="Q572" t="n">
        <v>0</v>
      </c>
      <c r="R572" s="2" t="inlineStr"/>
    </row>
    <row r="573" ht="15" customHeight="1">
      <c r="A573" t="inlineStr">
        <is>
          <t>A 29060-2025</t>
        </is>
      </c>
      <c r="B573" s="1" t="n">
        <v>45821.4841087963</v>
      </c>
      <c r="C573" s="1" t="n">
        <v>45936</v>
      </c>
      <c r="D573" t="inlineStr">
        <is>
          <t>ÖSTERGÖTLANDS LÄN</t>
        </is>
      </c>
      <c r="E573" t="inlineStr">
        <is>
          <t>KINDA</t>
        </is>
      </c>
      <c r="G573" t="n">
        <v>1.9</v>
      </c>
      <c r="H573" t="n">
        <v>0</v>
      </c>
      <c r="I573" t="n">
        <v>0</v>
      </c>
      <c r="J573" t="n">
        <v>0</v>
      </c>
      <c r="K573" t="n">
        <v>0</v>
      </c>
      <c r="L573" t="n">
        <v>0</v>
      </c>
      <c r="M573" t="n">
        <v>0</v>
      </c>
      <c r="N573" t="n">
        <v>0</v>
      </c>
      <c r="O573" t="n">
        <v>0</v>
      </c>
      <c r="P573" t="n">
        <v>0</v>
      </c>
      <c r="Q573" t="n">
        <v>0</v>
      </c>
      <c r="R573" s="2" t="inlineStr"/>
    </row>
    <row r="574" ht="15" customHeight="1">
      <c r="A574" t="inlineStr">
        <is>
          <t>A 31989-2025</t>
        </is>
      </c>
      <c r="B574" s="1" t="n">
        <v>45835.36383101852</v>
      </c>
      <c r="C574" s="1" t="n">
        <v>45936</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7749-2024</t>
        </is>
      </c>
      <c r="B575" s="1" t="n">
        <v>45349.48241898148</v>
      </c>
      <c r="C575" s="1" t="n">
        <v>45936</v>
      </c>
      <c r="D575" t="inlineStr">
        <is>
          <t>ÖSTERGÖTLANDS LÄN</t>
        </is>
      </c>
      <c r="E575" t="inlineStr">
        <is>
          <t>KINDA</t>
        </is>
      </c>
      <c r="F575" t="inlineStr">
        <is>
          <t>Övriga Aktiebolag</t>
        </is>
      </c>
      <c r="G575" t="n">
        <v>3.9</v>
      </c>
      <c r="H575" t="n">
        <v>0</v>
      </c>
      <c r="I575" t="n">
        <v>0</v>
      </c>
      <c r="J575" t="n">
        <v>0</v>
      </c>
      <c r="K575" t="n">
        <v>0</v>
      </c>
      <c r="L575" t="n">
        <v>0</v>
      </c>
      <c r="M575" t="n">
        <v>0</v>
      </c>
      <c r="N575" t="n">
        <v>0</v>
      </c>
      <c r="O575" t="n">
        <v>0</v>
      </c>
      <c r="P575" t="n">
        <v>0</v>
      </c>
      <c r="Q575" t="n">
        <v>0</v>
      </c>
      <c r="R575" s="2" t="inlineStr"/>
    </row>
    <row r="576" ht="15" customHeight="1">
      <c r="A576" t="inlineStr">
        <is>
          <t>A 3978-2025</t>
        </is>
      </c>
      <c r="B576" s="1" t="n">
        <v>45684.54318287037</v>
      </c>
      <c r="C576" s="1" t="n">
        <v>45936</v>
      </c>
      <c r="D576" t="inlineStr">
        <is>
          <t>ÖSTERGÖTLANDS LÄN</t>
        </is>
      </c>
      <c r="E576" t="inlineStr">
        <is>
          <t>KINDA</t>
        </is>
      </c>
      <c r="G576" t="n">
        <v>6</v>
      </c>
      <c r="H576" t="n">
        <v>0</v>
      </c>
      <c r="I576" t="n">
        <v>0</v>
      </c>
      <c r="J576" t="n">
        <v>0</v>
      </c>
      <c r="K576" t="n">
        <v>0</v>
      </c>
      <c r="L576" t="n">
        <v>0</v>
      </c>
      <c r="M576" t="n">
        <v>0</v>
      </c>
      <c r="N576" t="n">
        <v>0</v>
      </c>
      <c r="O576" t="n">
        <v>0</v>
      </c>
      <c r="P576" t="n">
        <v>0</v>
      </c>
      <c r="Q576" t="n">
        <v>0</v>
      </c>
      <c r="R576" s="2" t="inlineStr"/>
    </row>
    <row r="577" ht="15" customHeight="1">
      <c r="A577" t="inlineStr">
        <is>
          <t>A 31980-2025</t>
        </is>
      </c>
      <c r="B577" s="1" t="n">
        <v>45835.35780092593</v>
      </c>
      <c r="C577" s="1" t="n">
        <v>45936</v>
      </c>
      <c r="D577" t="inlineStr">
        <is>
          <t>ÖSTERGÖTLANDS LÄN</t>
        </is>
      </c>
      <c r="E577" t="inlineStr">
        <is>
          <t>KINDA</t>
        </is>
      </c>
      <c r="G577" t="n">
        <v>2.2</v>
      </c>
      <c r="H577" t="n">
        <v>0</v>
      </c>
      <c r="I577" t="n">
        <v>0</v>
      </c>
      <c r="J577" t="n">
        <v>0</v>
      </c>
      <c r="K577" t="n">
        <v>0</v>
      </c>
      <c r="L577" t="n">
        <v>0</v>
      </c>
      <c r="M577" t="n">
        <v>0</v>
      </c>
      <c r="N577" t="n">
        <v>0</v>
      </c>
      <c r="O577" t="n">
        <v>0</v>
      </c>
      <c r="P577" t="n">
        <v>0</v>
      </c>
      <c r="Q577" t="n">
        <v>0</v>
      </c>
      <c r="R577" s="2" t="inlineStr"/>
    </row>
    <row r="578" ht="15" customHeight="1">
      <c r="A578" t="inlineStr">
        <is>
          <t>A 32674-2025</t>
        </is>
      </c>
      <c r="B578" s="1" t="n">
        <v>45838.72785879629</v>
      </c>
      <c r="C578" s="1" t="n">
        <v>45936</v>
      </c>
      <c r="D578" t="inlineStr">
        <is>
          <t>ÖSTERGÖTLANDS LÄN</t>
        </is>
      </c>
      <c r="E578" t="inlineStr">
        <is>
          <t>KINDA</t>
        </is>
      </c>
      <c r="G578" t="n">
        <v>2.4</v>
      </c>
      <c r="H578" t="n">
        <v>0</v>
      </c>
      <c r="I578" t="n">
        <v>0</v>
      </c>
      <c r="J578" t="n">
        <v>0</v>
      </c>
      <c r="K578" t="n">
        <v>0</v>
      </c>
      <c r="L578" t="n">
        <v>0</v>
      </c>
      <c r="M578" t="n">
        <v>0</v>
      </c>
      <c r="N578" t="n">
        <v>0</v>
      </c>
      <c r="O578" t="n">
        <v>0</v>
      </c>
      <c r="P578" t="n">
        <v>0</v>
      </c>
      <c r="Q578" t="n">
        <v>0</v>
      </c>
      <c r="R578" s="2" t="inlineStr"/>
    </row>
    <row r="579" ht="15" customHeight="1">
      <c r="A579" t="inlineStr">
        <is>
          <t>A 3474-2023</t>
        </is>
      </c>
      <c r="B579" s="1" t="n">
        <v>44949</v>
      </c>
      <c r="C579" s="1" t="n">
        <v>45936</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56129-2024</t>
        </is>
      </c>
      <c r="B580" s="1" t="n">
        <v>45624</v>
      </c>
      <c r="C580" s="1" t="n">
        <v>45936</v>
      </c>
      <c r="D580" t="inlineStr">
        <is>
          <t>ÖSTERGÖTLANDS LÄN</t>
        </is>
      </c>
      <c r="E580" t="inlineStr">
        <is>
          <t>KINDA</t>
        </is>
      </c>
      <c r="G580" t="n">
        <v>0.9</v>
      </c>
      <c r="H580" t="n">
        <v>0</v>
      </c>
      <c r="I580" t="n">
        <v>0</v>
      </c>
      <c r="J580" t="n">
        <v>0</v>
      </c>
      <c r="K580" t="n">
        <v>0</v>
      </c>
      <c r="L580" t="n">
        <v>0</v>
      </c>
      <c r="M580" t="n">
        <v>0</v>
      </c>
      <c r="N580" t="n">
        <v>0</v>
      </c>
      <c r="O580" t="n">
        <v>0</v>
      </c>
      <c r="P580" t="n">
        <v>0</v>
      </c>
      <c r="Q580" t="n">
        <v>0</v>
      </c>
      <c r="R580" s="2" t="inlineStr"/>
    </row>
    <row r="581" ht="15" customHeight="1">
      <c r="A581" t="inlineStr">
        <is>
          <t>A 50406-2024</t>
        </is>
      </c>
      <c r="B581" s="1" t="n">
        <v>45601.35923611111</v>
      </c>
      <c r="C581" s="1" t="n">
        <v>45936</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23613-2022</t>
        </is>
      </c>
      <c r="B582" s="1" t="n">
        <v>44721.61611111111</v>
      </c>
      <c r="C582" s="1" t="n">
        <v>45936</v>
      </c>
      <c r="D582" t="inlineStr">
        <is>
          <t>ÖSTERGÖTLANDS LÄN</t>
        </is>
      </c>
      <c r="E582" t="inlineStr">
        <is>
          <t>KINDA</t>
        </is>
      </c>
      <c r="G582" t="n">
        <v>2.6</v>
      </c>
      <c r="H582" t="n">
        <v>0</v>
      </c>
      <c r="I582" t="n">
        <v>0</v>
      </c>
      <c r="J582" t="n">
        <v>0</v>
      </c>
      <c r="K582" t="n">
        <v>0</v>
      </c>
      <c r="L582" t="n">
        <v>0</v>
      </c>
      <c r="M582" t="n">
        <v>0</v>
      </c>
      <c r="N582" t="n">
        <v>0</v>
      </c>
      <c r="O582" t="n">
        <v>0</v>
      </c>
      <c r="P582" t="n">
        <v>0</v>
      </c>
      <c r="Q582" t="n">
        <v>0</v>
      </c>
      <c r="R582" s="2" t="inlineStr"/>
    </row>
    <row r="583" ht="15" customHeight="1">
      <c r="A583" t="inlineStr">
        <is>
          <t>A 32809-2025</t>
        </is>
      </c>
      <c r="B583" s="1" t="n">
        <v>45839.50966435186</v>
      </c>
      <c r="C583" s="1" t="n">
        <v>45936</v>
      </c>
      <c r="D583" t="inlineStr">
        <is>
          <t>ÖSTERGÖTLANDS LÄN</t>
        </is>
      </c>
      <c r="E583" t="inlineStr">
        <is>
          <t>KINDA</t>
        </is>
      </c>
      <c r="G583" t="n">
        <v>1</v>
      </c>
      <c r="H583" t="n">
        <v>0</v>
      </c>
      <c r="I583" t="n">
        <v>0</v>
      </c>
      <c r="J583" t="n">
        <v>0</v>
      </c>
      <c r="K583" t="n">
        <v>0</v>
      </c>
      <c r="L583" t="n">
        <v>0</v>
      </c>
      <c r="M583" t="n">
        <v>0</v>
      </c>
      <c r="N583" t="n">
        <v>0</v>
      </c>
      <c r="O583" t="n">
        <v>0</v>
      </c>
      <c r="P583" t="n">
        <v>0</v>
      </c>
      <c r="Q583" t="n">
        <v>0</v>
      </c>
      <c r="R583" s="2" t="inlineStr"/>
    </row>
    <row r="584" ht="15" customHeight="1">
      <c r="A584" t="inlineStr">
        <is>
          <t>A 32811-2025</t>
        </is>
      </c>
      <c r="B584" s="1" t="n">
        <v>45839.51413194444</v>
      </c>
      <c r="C584" s="1" t="n">
        <v>45936</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33289-2025</t>
        </is>
      </c>
      <c r="B585" s="1" t="n">
        <v>45840.85745370371</v>
      </c>
      <c r="C585" s="1" t="n">
        <v>45936</v>
      </c>
      <c r="D585" t="inlineStr">
        <is>
          <t>ÖSTERGÖTLANDS LÄN</t>
        </is>
      </c>
      <c r="E585" t="inlineStr">
        <is>
          <t>KINDA</t>
        </is>
      </c>
      <c r="G585" t="n">
        <v>3.2</v>
      </c>
      <c r="H585" t="n">
        <v>0</v>
      </c>
      <c r="I585" t="n">
        <v>0</v>
      </c>
      <c r="J585" t="n">
        <v>0</v>
      </c>
      <c r="K585" t="n">
        <v>0</v>
      </c>
      <c r="L585" t="n">
        <v>0</v>
      </c>
      <c r="M585" t="n">
        <v>0</v>
      </c>
      <c r="N585" t="n">
        <v>0</v>
      </c>
      <c r="O585" t="n">
        <v>0</v>
      </c>
      <c r="P585" t="n">
        <v>0</v>
      </c>
      <c r="Q585" t="n">
        <v>0</v>
      </c>
      <c r="R585" s="2" t="inlineStr"/>
    </row>
    <row r="586" ht="15" customHeight="1">
      <c r="A586" t="inlineStr">
        <is>
          <t>A 4288-2023</t>
        </is>
      </c>
      <c r="B586" s="1" t="n">
        <v>44953</v>
      </c>
      <c r="C586" s="1" t="n">
        <v>45936</v>
      </c>
      <c r="D586" t="inlineStr">
        <is>
          <t>ÖSTERGÖTLANDS LÄN</t>
        </is>
      </c>
      <c r="E586" t="inlineStr">
        <is>
          <t>KINDA</t>
        </is>
      </c>
      <c r="G586" t="n">
        <v>1.9</v>
      </c>
      <c r="H586" t="n">
        <v>0</v>
      </c>
      <c r="I586" t="n">
        <v>0</v>
      </c>
      <c r="J586" t="n">
        <v>0</v>
      </c>
      <c r="K586" t="n">
        <v>0</v>
      </c>
      <c r="L586" t="n">
        <v>0</v>
      </c>
      <c r="M586" t="n">
        <v>0</v>
      </c>
      <c r="N586" t="n">
        <v>0</v>
      </c>
      <c r="O586" t="n">
        <v>0</v>
      </c>
      <c r="P586" t="n">
        <v>0</v>
      </c>
      <c r="Q586" t="n">
        <v>0</v>
      </c>
      <c r="R586" s="2" t="inlineStr"/>
    </row>
    <row r="587" ht="15" customHeight="1">
      <c r="A587" t="inlineStr">
        <is>
          <t>A 33445-2025</t>
        </is>
      </c>
      <c r="B587" s="1" t="n">
        <v>45841.4630787037</v>
      </c>
      <c r="C587" s="1" t="n">
        <v>45936</v>
      </c>
      <c r="D587" t="inlineStr">
        <is>
          <t>ÖSTERGÖTLANDS LÄN</t>
        </is>
      </c>
      <c r="E587" t="inlineStr">
        <is>
          <t>KINDA</t>
        </is>
      </c>
      <c r="G587" t="n">
        <v>0.8</v>
      </c>
      <c r="H587" t="n">
        <v>0</v>
      </c>
      <c r="I587" t="n">
        <v>0</v>
      </c>
      <c r="J587" t="n">
        <v>0</v>
      </c>
      <c r="K587" t="n">
        <v>0</v>
      </c>
      <c r="L587" t="n">
        <v>0</v>
      </c>
      <c r="M587" t="n">
        <v>0</v>
      </c>
      <c r="N587" t="n">
        <v>0</v>
      </c>
      <c r="O587" t="n">
        <v>0</v>
      </c>
      <c r="P587" t="n">
        <v>0</v>
      </c>
      <c r="Q587" t="n">
        <v>0</v>
      </c>
      <c r="R587" s="2" t="inlineStr"/>
    </row>
    <row r="588" ht="15" customHeight="1">
      <c r="A588" t="inlineStr">
        <is>
          <t>A 45450-2024</t>
        </is>
      </c>
      <c r="B588" s="1" t="n">
        <v>45576.65969907407</v>
      </c>
      <c r="C588" s="1" t="n">
        <v>45936</v>
      </c>
      <c r="D588" t="inlineStr">
        <is>
          <t>ÖSTERGÖTLANDS LÄN</t>
        </is>
      </c>
      <c r="E588" t="inlineStr">
        <is>
          <t>KINDA</t>
        </is>
      </c>
      <c r="G588" t="n">
        <v>1.7</v>
      </c>
      <c r="H588" t="n">
        <v>0</v>
      </c>
      <c r="I588" t="n">
        <v>0</v>
      </c>
      <c r="J588" t="n">
        <v>0</v>
      </c>
      <c r="K588" t="n">
        <v>0</v>
      </c>
      <c r="L588" t="n">
        <v>0</v>
      </c>
      <c r="M588" t="n">
        <v>0</v>
      </c>
      <c r="N588" t="n">
        <v>0</v>
      </c>
      <c r="O588" t="n">
        <v>0</v>
      </c>
      <c r="P588" t="n">
        <v>0</v>
      </c>
      <c r="Q588" t="n">
        <v>0</v>
      </c>
      <c r="R588" s="2" t="inlineStr"/>
    </row>
    <row r="589" ht="15" customHeight="1">
      <c r="A589" t="inlineStr">
        <is>
          <t>A 7631-2024</t>
        </is>
      </c>
      <c r="B589" s="1" t="n">
        <v>45348.6147337963</v>
      </c>
      <c r="C589" s="1" t="n">
        <v>45936</v>
      </c>
      <c r="D589" t="inlineStr">
        <is>
          <t>ÖSTERGÖTLANDS LÄN</t>
        </is>
      </c>
      <c r="E589" t="inlineStr">
        <is>
          <t>KINDA</t>
        </is>
      </c>
      <c r="G589" t="n">
        <v>3.2</v>
      </c>
      <c r="H589" t="n">
        <v>0</v>
      </c>
      <c r="I589" t="n">
        <v>0</v>
      </c>
      <c r="J589" t="n">
        <v>0</v>
      </c>
      <c r="K589" t="n">
        <v>0</v>
      </c>
      <c r="L589" t="n">
        <v>0</v>
      </c>
      <c r="M589" t="n">
        <v>0</v>
      </c>
      <c r="N589" t="n">
        <v>0</v>
      </c>
      <c r="O589" t="n">
        <v>0</v>
      </c>
      <c r="P589" t="n">
        <v>0</v>
      </c>
      <c r="Q589" t="n">
        <v>0</v>
      </c>
      <c r="R589" s="2" t="inlineStr"/>
    </row>
    <row r="590" ht="15" customHeight="1">
      <c r="A590" t="inlineStr">
        <is>
          <t>A 33493-2025</t>
        </is>
      </c>
      <c r="B590" s="1" t="n">
        <v>45841.50858796296</v>
      </c>
      <c r="C590" s="1" t="n">
        <v>45936</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8092-2024</t>
        </is>
      </c>
      <c r="B591" s="1" t="n">
        <v>45351.4491550926</v>
      </c>
      <c r="C591" s="1" t="n">
        <v>45936</v>
      </c>
      <c r="D591" t="inlineStr">
        <is>
          <t>ÖSTERGÖTLANDS LÄN</t>
        </is>
      </c>
      <c r="E591" t="inlineStr">
        <is>
          <t>KINDA</t>
        </is>
      </c>
      <c r="G591" t="n">
        <v>0</v>
      </c>
      <c r="H591" t="n">
        <v>0</v>
      </c>
      <c r="I591" t="n">
        <v>0</v>
      </c>
      <c r="J591" t="n">
        <v>0</v>
      </c>
      <c r="K591" t="n">
        <v>0</v>
      </c>
      <c r="L591" t="n">
        <v>0</v>
      </c>
      <c r="M591" t="n">
        <v>0</v>
      </c>
      <c r="N591" t="n">
        <v>0</v>
      </c>
      <c r="O591" t="n">
        <v>0</v>
      </c>
      <c r="P591" t="n">
        <v>0</v>
      </c>
      <c r="Q591" t="n">
        <v>0</v>
      </c>
      <c r="R591" s="2" t="inlineStr"/>
    </row>
    <row r="592" ht="15" customHeight="1">
      <c r="A592" t="inlineStr">
        <is>
          <t>A 1885-2022</t>
        </is>
      </c>
      <c r="B592" s="1" t="n">
        <v>44575</v>
      </c>
      <c r="C592" s="1" t="n">
        <v>45936</v>
      </c>
      <c r="D592" t="inlineStr">
        <is>
          <t>ÖSTERGÖTLANDS LÄN</t>
        </is>
      </c>
      <c r="E592" t="inlineStr">
        <is>
          <t>KINDA</t>
        </is>
      </c>
      <c r="G592" t="n">
        <v>1.7</v>
      </c>
      <c r="H592" t="n">
        <v>0</v>
      </c>
      <c r="I592" t="n">
        <v>0</v>
      </c>
      <c r="J592" t="n">
        <v>0</v>
      </c>
      <c r="K592" t="n">
        <v>0</v>
      </c>
      <c r="L592" t="n">
        <v>0</v>
      </c>
      <c r="M592" t="n">
        <v>0</v>
      </c>
      <c r="N592" t="n">
        <v>0</v>
      </c>
      <c r="O592" t="n">
        <v>0</v>
      </c>
      <c r="P592" t="n">
        <v>0</v>
      </c>
      <c r="Q592" t="n">
        <v>0</v>
      </c>
      <c r="R592" s="2" t="inlineStr"/>
    </row>
    <row r="593" ht="15" customHeight="1">
      <c r="A593" t="inlineStr">
        <is>
          <t>A 44329-2023</t>
        </is>
      </c>
      <c r="B593" s="1" t="n">
        <v>45188.66209490741</v>
      </c>
      <c r="C593" s="1" t="n">
        <v>45936</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1896-2024</t>
        </is>
      </c>
      <c r="B594" s="1" t="n">
        <v>45308.33431712963</v>
      </c>
      <c r="C594" s="1" t="n">
        <v>45936</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33482-2025</t>
        </is>
      </c>
      <c r="B595" s="1" t="n">
        <v>45841.49861111111</v>
      </c>
      <c r="C595" s="1" t="n">
        <v>45936</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34262-2025</t>
        </is>
      </c>
      <c r="B596" s="1" t="n">
        <v>45845</v>
      </c>
      <c r="C596" s="1" t="n">
        <v>45936</v>
      </c>
      <c r="D596" t="inlineStr">
        <is>
          <t>ÖSTERGÖTLANDS LÄN</t>
        </is>
      </c>
      <c r="E596" t="inlineStr">
        <is>
          <t>KINDA</t>
        </is>
      </c>
      <c r="G596" t="n">
        <v>1.3</v>
      </c>
      <c r="H596" t="n">
        <v>0</v>
      </c>
      <c r="I596" t="n">
        <v>0</v>
      </c>
      <c r="J596" t="n">
        <v>0</v>
      </c>
      <c r="K596" t="n">
        <v>0</v>
      </c>
      <c r="L596" t="n">
        <v>0</v>
      </c>
      <c r="M596" t="n">
        <v>0</v>
      </c>
      <c r="N596" t="n">
        <v>0</v>
      </c>
      <c r="O596" t="n">
        <v>0</v>
      </c>
      <c r="P596" t="n">
        <v>0</v>
      </c>
      <c r="Q596" t="n">
        <v>0</v>
      </c>
      <c r="R596" s="2" t="inlineStr"/>
    </row>
    <row r="597" ht="15" customHeight="1">
      <c r="A597" t="inlineStr">
        <is>
          <t>A 56041-2024</t>
        </is>
      </c>
      <c r="B597" s="1" t="n">
        <v>45624.33611111111</v>
      </c>
      <c r="C597" s="1" t="n">
        <v>45936</v>
      </c>
      <c r="D597" t="inlineStr">
        <is>
          <t>ÖSTERGÖTLANDS LÄN</t>
        </is>
      </c>
      <c r="E597" t="inlineStr">
        <is>
          <t>KINDA</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34123-2025</t>
        </is>
      </c>
      <c r="B598" s="1" t="n">
        <v>45845.52050925926</v>
      </c>
      <c r="C598" s="1" t="n">
        <v>45936</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32285-2023</t>
        </is>
      </c>
      <c r="B599" s="1" t="n">
        <v>45120</v>
      </c>
      <c r="C599" s="1" t="n">
        <v>45936</v>
      </c>
      <c r="D599" t="inlineStr">
        <is>
          <t>ÖSTERGÖTLANDS LÄN</t>
        </is>
      </c>
      <c r="E599" t="inlineStr">
        <is>
          <t>KINDA</t>
        </is>
      </c>
      <c r="G599" t="n">
        <v>0.2</v>
      </c>
      <c r="H599" t="n">
        <v>0</v>
      </c>
      <c r="I599" t="n">
        <v>0</v>
      </c>
      <c r="J599" t="n">
        <v>0</v>
      </c>
      <c r="K599" t="n">
        <v>0</v>
      </c>
      <c r="L599" t="n">
        <v>0</v>
      </c>
      <c r="M599" t="n">
        <v>0</v>
      </c>
      <c r="N599" t="n">
        <v>0</v>
      </c>
      <c r="O599" t="n">
        <v>0</v>
      </c>
      <c r="P599" t="n">
        <v>0</v>
      </c>
      <c r="Q599" t="n">
        <v>0</v>
      </c>
      <c r="R599" s="2" t="inlineStr"/>
    </row>
    <row r="600" ht="15" customHeight="1">
      <c r="A600" t="inlineStr">
        <is>
          <t>A 22813-2024</t>
        </is>
      </c>
      <c r="B600" s="1" t="n">
        <v>45448.52539351852</v>
      </c>
      <c r="C600" s="1" t="n">
        <v>45936</v>
      </c>
      <c r="D600" t="inlineStr">
        <is>
          <t>ÖSTERGÖTLANDS LÄN</t>
        </is>
      </c>
      <c r="E600" t="inlineStr">
        <is>
          <t>KINDA</t>
        </is>
      </c>
      <c r="F600" t="inlineStr">
        <is>
          <t>Allmännings- och besparingsskogar</t>
        </is>
      </c>
      <c r="G600" t="n">
        <v>6.8</v>
      </c>
      <c r="H600" t="n">
        <v>0</v>
      </c>
      <c r="I600" t="n">
        <v>0</v>
      </c>
      <c r="J600" t="n">
        <v>0</v>
      </c>
      <c r="K600" t="n">
        <v>0</v>
      </c>
      <c r="L600" t="n">
        <v>0</v>
      </c>
      <c r="M600" t="n">
        <v>0</v>
      </c>
      <c r="N600" t="n">
        <v>0</v>
      </c>
      <c r="O600" t="n">
        <v>0</v>
      </c>
      <c r="P600" t="n">
        <v>0</v>
      </c>
      <c r="Q600" t="n">
        <v>0</v>
      </c>
      <c r="R600" s="2" t="inlineStr"/>
    </row>
    <row r="601" ht="15" customHeight="1">
      <c r="A601" t="inlineStr">
        <is>
          <t>A 62491-2023</t>
        </is>
      </c>
      <c r="B601" s="1" t="n">
        <v>45267</v>
      </c>
      <c r="C601" s="1" t="n">
        <v>45936</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9573-2024</t>
        </is>
      </c>
      <c r="B602" s="1" t="n">
        <v>45360.40449074074</v>
      </c>
      <c r="C602" s="1" t="n">
        <v>45936</v>
      </c>
      <c r="D602" t="inlineStr">
        <is>
          <t>ÖSTERGÖTLANDS LÄN</t>
        </is>
      </c>
      <c r="E602" t="inlineStr">
        <is>
          <t>KINDA</t>
        </is>
      </c>
      <c r="G602" t="n">
        <v>0.3</v>
      </c>
      <c r="H602" t="n">
        <v>0</v>
      </c>
      <c r="I602" t="n">
        <v>0</v>
      </c>
      <c r="J602" t="n">
        <v>0</v>
      </c>
      <c r="K602" t="n">
        <v>0</v>
      </c>
      <c r="L602" t="n">
        <v>0</v>
      </c>
      <c r="M602" t="n">
        <v>0</v>
      </c>
      <c r="N602" t="n">
        <v>0</v>
      </c>
      <c r="O602" t="n">
        <v>0</v>
      </c>
      <c r="P602" t="n">
        <v>0</v>
      </c>
      <c r="Q602" t="n">
        <v>0</v>
      </c>
      <c r="R602" s="2" t="inlineStr"/>
    </row>
    <row r="603" ht="15" customHeight="1">
      <c r="A603" t="inlineStr">
        <is>
          <t>A 9578-2024</t>
        </is>
      </c>
      <c r="B603" s="1" t="n">
        <v>45360.41894675926</v>
      </c>
      <c r="C603" s="1" t="n">
        <v>45936</v>
      </c>
      <c r="D603" t="inlineStr">
        <is>
          <t>ÖSTERGÖTLANDS LÄN</t>
        </is>
      </c>
      <c r="E603" t="inlineStr">
        <is>
          <t>KINDA</t>
        </is>
      </c>
      <c r="G603" t="n">
        <v>0.9</v>
      </c>
      <c r="H603" t="n">
        <v>0</v>
      </c>
      <c r="I603" t="n">
        <v>0</v>
      </c>
      <c r="J603" t="n">
        <v>0</v>
      </c>
      <c r="K603" t="n">
        <v>0</v>
      </c>
      <c r="L603" t="n">
        <v>0</v>
      </c>
      <c r="M603" t="n">
        <v>0</v>
      </c>
      <c r="N603" t="n">
        <v>0</v>
      </c>
      <c r="O603" t="n">
        <v>0</v>
      </c>
      <c r="P603" t="n">
        <v>0</v>
      </c>
      <c r="Q603" t="n">
        <v>0</v>
      </c>
      <c r="R603" s="2" t="inlineStr"/>
    </row>
    <row r="604" ht="15" customHeight="1">
      <c r="A604" t="inlineStr">
        <is>
          <t>A 24711-2023</t>
        </is>
      </c>
      <c r="B604" s="1" t="n">
        <v>45078</v>
      </c>
      <c r="C604" s="1" t="n">
        <v>45936</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33744-2025</t>
        </is>
      </c>
      <c r="B605" s="1" t="n">
        <v>45842.35203703704</v>
      </c>
      <c r="C605" s="1" t="n">
        <v>45936</v>
      </c>
      <c r="D605" t="inlineStr">
        <is>
          <t>ÖSTERGÖTLANDS LÄN</t>
        </is>
      </c>
      <c r="E605" t="inlineStr">
        <is>
          <t>KINDA</t>
        </is>
      </c>
      <c r="G605" t="n">
        <v>3.5</v>
      </c>
      <c r="H605" t="n">
        <v>0</v>
      </c>
      <c r="I605" t="n">
        <v>0</v>
      </c>
      <c r="J605" t="n">
        <v>0</v>
      </c>
      <c r="K605" t="n">
        <v>0</v>
      </c>
      <c r="L605" t="n">
        <v>0</v>
      </c>
      <c r="M605" t="n">
        <v>0</v>
      </c>
      <c r="N605" t="n">
        <v>0</v>
      </c>
      <c r="O605" t="n">
        <v>0</v>
      </c>
      <c r="P605" t="n">
        <v>0</v>
      </c>
      <c r="Q605" t="n">
        <v>0</v>
      </c>
      <c r="R605" s="2" t="inlineStr"/>
    </row>
    <row r="606" ht="15" customHeight="1">
      <c r="A606" t="inlineStr">
        <is>
          <t>A 12856-2025</t>
        </is>
      </c>
      <c r="B606" s="1" t="n">
        <v>45733.66236111111</v>
      </c>
      <c r="C606" s="1" t="n">
        <v>45936</v>
      </c>
      <c r="D606" t="inlineStr">
        <is>
          <t>ÖSTERGÖTLANDS LÄN</t>
        </is>
      </c>
      <c r="E606" t="inlineStr">
        <is>
          <t>KINDA</t>
        </is>
      </c>
      <c r="G606" t="n">
        <v>2.5</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45936</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29782-2025</t>
        </is>
      </c>
      <c r="B608" s="1" t="n">
        <v>45825.6502662037</v>
      </c>
      <c r="C608" s="1" t="n">
        <v>45936</v>
      </c>
      <c r="D608" t="inlineStr">
        <is>
          <t>ÖSTERGÖTLANDS LÄN</t>
        </is>
      </c>
      <c r="E608" t="inlineStr">
        <is>
          <t>KINDA</t>
        </is>
      </c>
      <c r="G608" t="n">
        <v>2.6</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45936</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62558-2020</t>
        </is>
      </c>
      <c r="B610" s="1" t="n">
        <v>44160</v>
      </c>
      <c r="C610" s="1" t="n">
        <v>45936</v>
      </c>
      <c r="D610" t="inlineStr">
        <is>
          <t>ÖSTERGÖTLANDS LÄN</t>
        </is>
      </c>
      <c r="E610" t="inlineStr">
        <is>
          <t>KINDA</t>
        </is>
      </c>
      <c r="G610" t="n">
        <v>5.5</v>
      </c>
      <c r="H610" t="n">
        <v>0</v>
      </c>
      <c r="I610" t="n">
        <v>0</v>
      </c>
      <c r="J610" t="n">
        <v>0</v>
      </c>
      <c r="K610" t="n">
        <v>0</v>
      </c>
      <c r="L610" t="n">
        <v>0</v>
      </c>
      <c r="M610" t="n">
        <v>0</v>
      </c>
      <c r="N610" t="n">
        <v>0</v>
      </c>
      <c r="O610" t="n">
        <v>0</v>
      </c>
      <c r="P610" t="n">
        <v>0</v>
      </c>
      <c r="Q610" t="n">
        <v>0</v>
      </c>
      <c r="R610" s="2" t="inlineStr"/>
    </row>
    <row r="611" ht="15" customHeight="1">
      <c r="A611" t="inlineStr">
        <is>
          <t>A 4368-2025</t>
        </is>
      </c>
      <c r="B611" s="1" t="n">
        <v>45686.34563657407</v>
      </c>
      <c r="C611" s="1" t="n">
        <v>45936</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18198-2025</t>
        </is>
      </c>
      <c r="B612" s="1" t="n">
        <v>45761.68063657408</v>
      </c>
      <c r="C612" s="1" t="n">
        <v>45936</v>
      </c>
      <c r="D612" t="inlineStr">
        <is>
          <t>ÖSTERGÖTLANDS LÄN</t>
        </is>
      </c>
      <c r="E612" t="inlineStr">
        <is>
          <t>KINDA</t>
        </is>
      </c>
      <c r="G612" t="n">
        <v>2.1</v>
      </c>
      <c r="H612" t="n">
        <v>0</v>
      </c>
      <c r="I612" t="n">
        <v>0</v>
      </c>
      <c r="J612" t="n">
        <v>0</v>
      </c>
      <c r="K612" t="n">
        <v>0</v>
      </c>
      <c r="L612" t="n">
        <v>0</v>
      </c>
      <c r="M612" t="n">
        <v>0</v>
      </c>
      <c r="N612" t="n">
        <v>0</v>
      </c>
      <c r="O612" t="n">
        <v>0</v>
      </c>
      <c r="P612" t="n">
        <v>0</v>
      </c>
      <c r="Q612" t="n">
        <v>0</v>
      </c>
      <c r="R612" s="2" t="inlineStr"/>
    </row>
    <row r="613" ht="15" customHeight="1">
      <c r="A613" t="inlineStr">
        <is>
          <t>A 15303-2024</t>
        </is>
      </c>
      <c r="B613" s="1" t="n">
        <v>45400</v>
      </c>
      <c r="C613" s="1" t="n">
        <v>45936</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11479-2025</t>
        </is>
      </c>
      <c r="B614" s="1" t="n">
        <v>45726.6749537037</v>
      </c>
      <c r="C614" s="1" t="n">
        <v>45936</v>
      </c>
      <c r="D614" t="inlineStr">
        <is>
          <t>ÖSTERGÖTLANDS LÄN</t>
        </is>
      </c>
      <c r="E614" t="inlineStr">
        <is>
          <t>KINDA</t>
        </is>
      </c>
      <c r="G614" t="n">
        <v>4</v>
      </c>
      <c r="H614" t="n">
        <v>0</v>
      </c>
      <c r="I614" t="n">
        <v>0</v>
      </c>
      <c r="J614" t="n">
        <v>0</v>
      </c>
      <c r="K614" t="n">
        <v>0</v>
      </c>
      <c r="L614" t="n">
        <v>0</v>
      </c>
      <c r="M614" t="n">
        <v>0</v>
      </c>
      <c r="N614" t="n">
        <v>0</v>
      </c>
      <c r="O614" t="n">
        <v>0</v>
      </c>
      <c r="P614" t="n">
        <v>0</v>
      </c>
      <c r="Q614" t="n">
        <v>0</v>
      </c>
      <c r="R614" s="2" t="inlineStr"/>
    </row>
    <row r="615" ht="15" customHeight="1">
      <c r="A615" t="inlineStr">
        <is>
          <t>A 36942-2023</t>
        </is>
      </c>
      <c r="B615" s="1" t="n">
        <v>45154.72465277778</v>
      </c>
      <c r="C615" s="1" t="n">
        <v>45936</v>
      </c>
      <c r="D615" t="inlineStr">
        <is>
          <t>ÖSTERGÖTLANDS LÄN</t>
        </is>
      </c>
      <c r="E615" t="inlineStr">
        <is>
          <t>KINDA</t>
        </is>
      </c>
      <c r="F615" t="inlineStr">
        <is>
          <t>Allmännings- och besparingsskogar</t>
        </is>
      </c>
      <c r="G615" t="n">
        <v>14.8</v>
      </c>
      <c r="H615" t="n">
        <v>0</v>
      </c>
      <c r="I615" t="n">
        <v>0</v>
      </c>
      <c r="J615" t="n">
        <v>0</v>
      </c>
      <c r="K615" t="n">
        <v>0</v>
      </c>
      <c r="L615" t="n">
        <v>0</v>
      </c>
      <c r="M615" t="n">
        <v>0</v>
      </c>
      <c r="N615" t="n">
        <v>0</v>
      </c>
      <c r="O615" t="n">
        <v>0</v>
      </c>
      <c r="P615" t="n">
        <v>0</v>
      </c>
      <c r="Q615" t="n">
        <v>0</v>
      </c>
      <c r="R615" s="2" t="inlineStr"/>
    </row>
    <row r="616" ht="15" customHeight="1">
      <c r="A616" t="inlineStr">
        <is>
          <t>A 47000-2021</t>
        </is>
      </c>
      <c r="B616" s="1" t="n">
        <v>44446</v>
      </c>
      <c r="C616" s="1" t="n">
        <v>45936</v>
      </c>
      <c r="D616" t="inlineStr">
        <is>
          <t>ÖSTERGÖTLANDS LÄN</t>
        </is>
      </c>
      <c r="E616" t="inlineStr">
        <is>
          <t>KINDA</t>
        </is>
      </c>
      <c r="G616" t="n">
        <v>1</v>
      </c>
      <c r="H616" t="n">
        <v>0</v>
      </c>
      <c r="I616" t="n">
        <v>0</v>
      </c>
      <c r="J616" t="n">
        <v>0</v>
      </c>
      <c r="K616" t="n">
        <v>0</v>
      </c>
      <c r="L616" t="n">
        <v>0</v>
      </c>
      <c r="M616" t="n">
        <v>0</v>
      </c>
      <c r="N616" t="n">
        <v>0</v>
      </c>
      <c r="O616" t="n">
        <v>0</v>
      </c>
      <c r="P616" t="n">
        <v>0</v>
      </c>
      <c r="Q616" t="n">
        <v>0</v>
      </c>
      <c r="R616" s="2" t="inlineStr"/>
    </row>
    <row r="617" ht="15" customHeight="1">
      <c r="A617" t="inlineStr">
        <is>
          <t>A 40847-2025</t>
        </is>
      </c>
      <c r="B617" s="1" t="n">
        <v>45897.54641203704</v>
      </c>
      <c r="C617" s="1" t="n">
        <v>45936</v>
      </c>
      <c r="D617" t="inlineStr">
        <is>
          <t>ÖSTERGÖTLANDS LÄN</t>
        </is>
      </c>
      <c r="E617" t="inlineStr">
        <is>
          <t>KINDA</t>
        </is>
      </c>
      <c r="G617" t="n">
        <v>3.1</v>
      </c>
      <c r="H617" t="n">
        <v>0</v>
      </c>
      <c r="I617" t="n">
        <v>0</v>
      </c>
      <c r="J617" t="n">
        <v>0</v>
      </c>
      <c r="K617" t="n">
        <v>0</v>
      </c>
      <c r="L617" t="n">
        <v>0</v>
      </c>
      <c r="M617" t="n">
        <v>0</v>
      </c>
      <c r="N617" t="n">
        <v>0</v>
      </c>
      <c r="O617" t="n">
        <v>0</v>
      </c>
      <c r="P617" t="n">
        <v>0</v>
      </c>
      <c r="Q617" t="n">
        <v>0</v>
      </c>
      <c r="R617" s="2" t="inlineStr"/>
    </row>
    <row r="618" ht="15" customHeight="1">
      <c r="A618" t="inlineStr">
        <is>
          <t>A 40850-2025</t>
        </is>
      </c>
      <c r="B618" s="1" t="n">
        <v>45897.55149305556</v>
      </c>
      <c r="C618" s="1" t="n">
        <v>45936</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19654-2025</t>
        </is>
      </c>
      <c r="B619" s="1" t="n">
        <v>45770.67305555556</v>
      </c>
      <c r="C619" s="1" t="n">
        <v>45936</v>
      </c>
      <c r="D619" t="inlineStr">
        <is>
          <t>ÖSTERGÖTLANDS LÄN</t>
        </is>
      </c>
      <c r="E619" t="inlineStr">
        <is>
          <t>KINDA</t>
        </is>
      </c>
      <c r="F619" t="inlineStr">
        <is>
          <t>Allmännings- och besparingsskogar</t>
        </is>
      </c>
      <c r="G619" t="n">
        <v>10.7</v>
      </c>
      <c r="H619" t="n">
        <v>0</v>
      </c>
      <c r="I619" t="n">
        <v>0</v>
      </c>
      <c r="J619" t="n">
        <v>0</v>
      </c>
      <c r="K619" t="n">
        <v>0</v>
      </c>
      <c r="L619" t="n">
        <v>0</v>
      </c>
      <c r="M619" t="n">
        <v>0</v>
      </c>
      <c r="N619" t="n">
        <v>0</v>
      </c>
      <c r="O619" t="n">
        <v>0</v>
      </c>
      <c r="P619" t="n">
        <v>0</v>
      </c>
      <c r="Q619" t="n">
        <v>0</v>
      </c>
      <c r="R619" s="2" t="inlineStr"/>
    </row>
    <row r="620" ht="15" customHeight="1">
      <c r="A620" t="inlineStr">
        <is>
          <t>A 35572-2024</t>
        </is>
      </c>
      <c r="B620" s="1" t="n">
        <v>45531.64358796296</v>
      </c>
      <c r="C620" s="1" t="n">
        <v>45936</v>
      </c>
      <c r="D620" t="inlineStr">
        <is>
          <t>ÖSTERGÖTLANDS LÄN</t>
        </is>
      </c>
      <c r="E620" t="inlineStr">
        <is>
          <t>KINDA</t>
        </is>
      </c>
      <c r="G620" t="n">
        <v>2.1</v>
      </c>
      <c r="H620" t="n">
        <v>0</v>
      </c>
      <c r="I620" t="n">
        <v>0</v>
      </c>
      <c r="J620" t="n">
        <v>0</v>
      </c>
      <c r="K620" t="n">
        <v>0</v>
      </c>
      <c r="L620" t="n">
        <v>0</v>
      </c>
      <c r="M620" t="n">
        <v>0</v>
      </c>
      <c r="N620" t="n">
        <v>0</v>
      </c>
      <c r="O620" t="n">
        <v>0</v>
      </c>
      <c r="P620" t="n">
        <v>0</v>
      </c>
      <c r="Q620" t="n">
        <v>0</v>
      </c>
      <c r="R620" s="2" t="inlineStr"/>
    </row>
    <row r="621" ht="15" customHeight="1">
      <c r="A621" t="inlineStr">
        <is>
          <t>A 7216-2023</t>
        </is>
      </c>
      <c r="B621" s="1" t="n">
        <v>44970.57682870371</v>
      </c>
      <c r="C621" s="1" t="n">
        <v>45936</v>
      </c>
      <c r="D621" t="inlineStr">
        <is>
          <t>ÖSTERGÖTLANDS LÄN</t>
        </is>
      </c>
      <c r="E621" t="inlineStr">
        <is>
          <t>KINDA</t>
        </is>
      </c>
      <c r="G621" t="n">
        <v>1.6</v>
      </c>
      <c r="H621" t="n">
        <v>0</v>
      </c>
      <c r="I621" t="n">
        <v>0</v>
      </c>
      <c r="J621" t="n">
        <v>0</v>
      </c>
      <c r="K621" t="n">
        <v>0</v>
      </c>
      <c r="L621" t="n">
        <v>0</v>
      </c>
      <c r="M621" t="n">
        <v>0</v>
      </c>
      <c r="N621" t="n">
        <v>0</v>
      </c>
      <c r="O621" t="n">
        <v>0</v>
      </c>
      <c r="P621" t="n">
        <v>0</v>
      </c>
      <c r="Q621" t="n">
        <v>0</v>
      </c>
      <c r="R621" s="2" t="inlineStr"/>
    </row>
    <row r="622" ht="15" customHeight="1">
      <c r="A622" t="inlineStr">
        <is>
          <t>A 71098-2021</t>
        </is>
      </c>
      <c r="B622" s="1" t="n">
        <v>44539.34103009259</v>
      </c>
      <c r="C622" s="1" t="n">
        <v>45936</v>
      </c>
      <c r="D622" t="inlineStr">
        <is>
          <t>ÖSTERGÖTLANDS LÄN</t>
        </is>
      </c>
      <c r="E622" t="inlineStr">
        <is>
          <t>KINDA</t>
        </is>
      </c>
      <c r="G622" t="n">
        <v>1.1</v>
      </c>
      <c r="H622" t="n">
        <v>0</v>
      </c>
      <c r="I622" t="n">
        <v>0</v>
      </c>
      <c r="J622" t="n">
        <v>0</v>
      </c>
      <c r="K622" t="n">
        <v>0</v>
      </c>
      <c r="L622" t="n">
        <v>0</v>
      </c>
      <c r="M622" t="n">
        <v>0</v>
      </c>
      <c r="N622" t="n">
        <v>0</v>
      </c>
      <c r="O622" t="n">
        <v>0</v>
      </c>
      <c r="P622" t="n">
        <v>0</v>
      </c>
      <c r="Q622" t="n">
        <v>0</v>
      </c>
      <c r="R622" s="2" t="inlineStr"/>
    </row>
    <row r="623" ht="15" customHeight="1">
      <c r="A623" t="inlineStr">
        <is>
          <t>A 66100-2021</t>
        </is>
      </c>
      <c r="B623" s="1" t="n">
        <v>44517</v>
      </c>
      <c r="C623" s="1" t="n">
        <v>45936</v>
      </c>
      <c r="D623" t="inlineStr">
        <is>
          <t>ÖSTERGÖTLANDS LÄN</t>
        </is>
      </c>
      <c r="E623" t="inlineStr">
        <is>
          <t>KINDA</t>
        </is>
      </c>
      <c r="G623" t="n">
        <v>2.5</v>
      </c>
      <c r="H623" t="n">
        <v>0</v>
      </c>
      <c r="I623" t="n">
        <v>0</v>
      </c>
      <c r="J623" t="n">
        <v>0</v>
      </c>
      <c r="K623" t="n">
        <v>0</v>
      </c>
      <c r="L623" t="n">
        <v>0</v>
      </c>
      <c r="M623" t="n">
        <v>0</v>
      </c>
      <c r="N623" t="n">
        <v>0</v>
      </c>
      <c r="O623" t="n">
        <v>0</v>
      </c>
      <c r="P623" t="n">
        <v>0</v>
      </c>
      <c r="Q623" t="n">
        <v>0</v>
      </c>
      <c r="R623" s="2" t="inlineStr"/>
    </row>
    <row r="624" ht="15" customHeight="1">
      <c r="A624" t="inlineStr">
        <is>
          <t>A 62286-2022</t>
        </is>
      </c>
      <c r="B624" s="1" t="n">
        <v>44923.40631944445</v>
      </c>
      <c r="C624" s="1" t="n">
        <v>45936</v>
      </c>
      <c r="D624" t="inlineStr">
        <is>
          <t>ÖSTERGÖTLANDS LÄN</t>
        </is>
      </c>
      <c r="E624" t="inlineStr">
        <is>
          <t>KINDA</t>
        </is>
      </c>
      <c r="F624" t="inlineStr">
        <is>
          <t>Allmännings- och besparingsskogar</t>
        </is>
      </c>
      <c r="G624" t="n">
        <v>4.7</v>
      </c>
      <c r="H624" t="n">
        <v>0</v>
      </c>
      <c r="I624" t="n">
        <v>0</v>
      </c>
      <c r="J624" t="n">
        <v>0</v>
      </c>
      <c r="K624" t="n">
        <v>0</v>
      </c>
      <c r="L624" t="n">
        <v>0</v>
      </c>
      <c r="M624" t="n">
        <v>0</v>
      </c>
      <c r="N624" t="n">
        <v>0</v>
      </c>
      <c r="O624" t="n">
        <v>0</v>
      </c>
      <c r="P624" t="n">
        <v>0</v>
      </c>
      <c r="Q624" t="n">
        <v>0</v>
      </c>
      <c r="R624" s="2" t="inlineStr"/>
    </row>
    <row r="625" ht="15" customHeight="1">
      <c r="A625" t="inlineStr">
        <is>
          <t>A 40853-2025</t>
        </is>
      </c>
      <c r="B625" s="1" t="n">
        <v>45897.55340277778</v>
      </c>
      <c r="C625" s="1" t="n">
        <v>45936</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40849-2025</t>
        </is>
      </c>
      <c r="B626" s="1" t="n">
        <v>45897.54880787037</v>
      </c>
      <c r="C626" s="1" t="n">
        <v>45936</v>
      </c>
      <c r="D626" t="inlineStr">
        <is>
          <t>ÖSTERGÖTLANDS LÄN</t>
        </is>
      </c>
      <c r="E626" t="inlineStr">
        <is>
          <t>KINDA</t>
        </is>
      </c>
      <c r="G626" t="n">
        <v>2.7</v>
      </c>
      <c r="H626" t="n">
        <v>0</v>
      </c>
      <c r="I626" t="n">
        <v>0</v>
      </c>
      <c r="J626" t="n">
        <v>0</v>
      </c>
      <c r="K626" t="n">
        <v>0</v>
      </c>
      <c r="L626" t="n">
        <v>0</v>
      </c>
      <c r="M626" t="n">
        <v>0</v>
      </c>
      <c r="N626" t="n">
        <v>0</v>
      </c>
      <c r="O626" t="n">
        <v>0</v>
      </c>
      <c r="P626" t="n">
        <v>0</v>
      </c>
      <c r="Q626" t="n">
        <v>0</v>
      </c>
      <c r="R626" s="2" t="inlineStr"/>
    </row>
    <row r="627" ht="15" customHeight="1">
      <c r="A627" t="inlineStr">
        <is>
          <t>A 45693-2023</t>
        </is>
      </c>
      <c r="B627" s="1" t="n">
        <v>45195</v>
      </c>
      <c r="C627" s="1" t="n">
        <v>45936</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40845-2025</t>
        </is>
      </c>
      <c r="B628" s="1" t="n">
        <v>45897.54273148148</v>
      </c>
      <c r="C628" s="1" t="n">
        <v>45936</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12130-2021</t>
        </is>
      </c>
      <c r="B629" s="1" t="n">
        <v>44266</v>
      </c>
      <c r="C629" s="1" t="n">
        <v>45936</v>
      </c>
      <c r="D629" t="inlineStr">
        <is>
          <t>ÖSTERGÖTLANDS LÄN</t>
        </is>
      </c>
      <c r="E629" t="inlineStr">
        <is>
          <t>KINDA</t>
        </is>
      </c>
      <c r="G629" t="n">
        <v>1</v>
      </c>
      <c r="H629" t="n">
        <v>0</v>
      </c>
      <c r="I629" t="n">
        <v>0</v>
      </c>
      <c r="J629" t="n">
        <v>0</v>
      </c>
      <c r="K629" t="n">
        <v>0</v>
      </c>
      <c r="L629" t="n">
        <v>0</v>
      </c>
      <c r="M629" t="n">
        <v>0</v>
      </c>
      <c r="N629" t="n">
        <v>0</v>
      </c>
      <c r="O629" t="n">
        <v>0</v>
      </c>
      <c r="P629" t="n">
        <v>0</v>
      </c>
      <c r="Q629" t="n">
        <v>0</v>
      </c>
      <c r="R629" s="2" t="inlineStr"/>
    </row>
    <row r="630" ht="15" customHeight="1">
      <c r="A630" t="inlineStr">
        <is>
          <t>A 17172-2022</t>
        </is>
      </c>
      <c r="B630" s="1" t="n">
        <v>44677</v>
      </c>
      <c r="C630" s="1" t="n">
        <v>45936</v>
      </c>
      <c r="D630" t="inlineStr">
        <is>
          <t>ÖSTERGÖTLANDS LÄN</t>
        </is>
      </c>
      <c r="E630" t="inlineStr">
        <is>
          <t>KINDA</t>
        </is>
      </c>
      <c r="G630" t="n">
        <v>2.9</v>
      </c>
      <c r="H630" t="n">
        <v>0</v>
      </c>
      <c r="I630" t="n">
        <v>0</v>
      </c>
      <c r="J630" t="n">
        <v>0</v>
      </c>
      <c r="K630" t="n">
        <v>0</v>
      </c>
      <c r="L630" t="n">
        <v>0</v>
      </c>
      <c r="M630" t="n">
        <v>0</v>
      </c>
      <c r="N630" t="n">
        <v>0</v>
      </c>
      <c r="O630" t="n">
        <v>0</v>
      </c>
      <c r="P630" t="n">
        <v>0</v>
      </c>
      <c r="Q630" t="n">
        <v>0</v>
      </c>
      <c r="R630" s="2" t="inlineStr"/>
    </row>
    <row r="631" ht="15" customHeight="1">
      <c r="A631" t="inlineStr">
        <is>
          <t>A 35662-2022</t>
        </is>
      </c>
      <c r="B631" s="1" t="n">
        <v>44799.58758101852</v>
      </c>
      <c r="C631" s="1" t="n">
        <v>45936</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9577-2024</t>
        </is>
      </c>
      <c r="B632" s="1" t="n">
        <v>45360.4172337963</v>
      </c>
      <c r="C632" s="1" t="n">
        <v>45936</v>
      </c>
      <c r="D632" t="inlineStr">
        <is>
          <t>ÖSTERGÖTLANDS LÄN</t>
        </is>
      </c>
      <c r="E632" t="inlineStr">
        <is>
          <t>KINDA</t>
        </is>
      </c>
      <c r="G632" t="n">
        <v>1.3</v>
      </c>
      <c r="H632" t="n">
        <v>0</v>
      </c>
      <c r="I632" t="n">
        <v>0</v>
      </c>
      <c r="J632" t="n">
        <v>0</v>
      </c>
      <c r="K632" t="n">
        <v>0</v>
      </c>
      <c r="L632" t="n">
        <v>0</v>
      </c>
      <c r="M632" t="n">
        <v>0</v>
      </c>
      <c r="N632" t="n">
        <v>0</v>
      </c>
      <c r="O632" t="n">
        <v>0</v>
      </c>
      <c r="P632" t="n">
        <v>0</v>
      </c>
      <c r="Q632" t="n">
        <v>0</v>
      </c>
      <c r="R632" s="2" t="inlineStr"/>
    </row>
    <row r="633" ht="15" customHeight="1">
      <c r="A633" t="inlineStr">
        <is>
          <t>A 29794-2024</t>
        </is>
      </c>
      <c r="B633" s="1" t="n">
        <v>45485.4796875</v>
      </c>
      <c r="C633" s="1" t="n">
        <v>45936</v>
      </c>
      <c r="D633" t="inlineStr">
        <is>
          <t>ÖSTERGÖTLANDS LÄN</t>
        </is>
      </c>
      <c r="E633" t="inlineStr">
        <is>
          <t>KINDA</t>
        </is>
      </c>
      <c r="G633" t="n">
        <v>2.1</v>
      </c>
      <c r="H633" t="n">
        <v>0</v>
      </c>
      <c r="I633" t="n">
        <v>0</v>
      </c>
      <c r="J633" t="n">
        <v>0</v>
      </c>
      <c r="K633" t="n">
        <v>0</v>
      </c>
      <c r="L633" t="n">
        <v>0</v>
      </c>
      <c r="M633" t="n">
        <v>0</v>
      </c>
      <c r="N633" t="n">
        <v>0</v>
      </c>
      <c r="O633" t="n">
        <v>0</v>
      </c>
      <c r="P633" t="n">
        <v>0</v>
      </c>
      <c r="Q633" t="n">
        <v>0</v>
      </c>
      <c r="R633" s="2" t="inlineStr"/>
    </row>
    <row r="634" ht="15" customHeight="1">
      <c r="A634" t="inlineStr">
        <is>
          <t>A 46639-2023</t>
        </is>
      </c>
      <c r="B634" s="1" t="n">
        <v>45198.43638888889</v>
      </c>
      <c r="C634" s="1" t="n">
        <v>45936</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41396-2025</t>
        </is>
      </c>
      <c r="B635" s="1" t="n">
        <v>45901.32078703704</v>
      </c>
      <c r="C635" s="1" t="n">
        <v>45936</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40987-2025</t>
        </is>
      </c>
      <c r="B636" s="1" t="n">
        <v>45898.30667824074</v>
      </c>
      <c r="C636" s="1" t="n">
        <v>45936</v>
      </c>
      <c r="D636" t="inlineStr">
        <is>
          <t>ÖSTERGÖTLANDS LÄN</t>
        </is>
      </c>
      <c r="E636" t="inlineStr">
        <is>
          <t>KINDA</t>
        </is>
      </c>
      <c r="G636" t="n">
        <v>1.6</v>
      </c>
      <c r="H636" t="n">
        <v>0</v>
      </c>
      <c r="I636" t="n">
        <v>0</v>
      </c>
      <c r="J636" t="n">
        <v>0</v>
      </c>
      <c r="K636" t="n">
        <v>0</v>
      </c>
      <c r="L636" t="n">
        <v>0</v>
      </c>
      <c r="M636" t="n">
        <v>0</v>
      </c>
      <c r="N636" t="n">
        <v>0</v>
      </c>
      <c r="O636" t="n">
        <v>0</v>
      </c>
      <c r="P636" t="n">
        <v>0</v>
      </c>
      <c r="Q636" t="n">
        <v>0</v>
      </c>
      <c r="R636" s="2" t="inlineStr"/>
    </row>
    <row r="637" ht="15" customHeight="1">
      <c r="A637" t="inlineStr">
        <is>
          <t>A 6098-2023</t>
        </is>
      </c>
      <c r="B637" s="1" t="n">
        <v>44964</v>
      </c>
      <c r="C637" s="1" t="n">
        <v>45936</v>
      </c>
      <c r="D637" t="inlineStr">
        <is>
          <t>ÖSTERGÖTLANDS LÄN</t>
        </is>
      </c>
      <c r="E637" t="inlineStr">
        <is>
          <t>KINDA</t>
        </is>
      </c>
      <c r="G637" t="n">
        <v>1.6</v>
      </c>
      <c r="H637" t="n">
        <v>0</v>
      </c>
      <c r="I637" t="n">
        <v>0</v>
      </c>
      <c r="J637" t="n">
        <v>0</v>
      </c>
      <c r="K637" t="n">
        <v>0</v>
      </c>
      <c r="L637" t="n">
        <v>0</v>
      </c>
      <c r="M637" t="n">
        <v>0</v>
      </c>
      <c r="N637" t="n">
        <v>0</v>
      </c>
      <c r="O637" t="n">
        <v>0</v>
      </c>
      <c r="P637" t="n">
        <v>0</v>
      </c>
      <c r="Q637" t="n">
        <v>0</v>
      </c>
      <c r="R637" s="2" t="inlineStr"/>
    </row>
    <row r="638" ht="15" customHeight="1">
      <c r="A638" t="inlineStr">
        <is>
          <t>A 14493-2025</t>
        </is>
      </c>
      <c r="B638" s="1" t="n">
        <v>45741.61278935185</v>
      </c>
      <c r="C638" s="1" t="n">
        <v>45936</v>
      </c>
      <c r="D638" t="inlineStr">
        <is>
          <t>ÖSTERGÖTLANDS LÄN</t>
        </is>
      </c>
      <c r="E638" t="inlineStr">
        <is>
          <t>KINDA</t>
        </is>
      </c>
      <c r="G638" t="n">
        <v>5.1</v>
      </c>
      <c r="H638" t="n">
        <v>0</v>
      </c>
      <c r="I638" t="n">
        <v>0</v>
      </c>
      <c r="J638" t="n">
        <v>0</v>
      </c>
      <c r="K638" t="n">
        <v>0</v>
      </c>
      <c r="L638" t="n">
        <v>0</v>
      </c>
      <c r="M638" t="n">
        <v>0</v>
      </c>
      <c r="N638" t="n">
        <v>0</v>
      </c>
      <c r="O638" t="n">
        <v>0</v>
      </c>
      <c r="P638" t="n">
        <v>0</v>
      </c>
      <c r="Q638" t="n">
        <v>0</v>
      </c>
      <c r="R638" s="2" t="inlineStr"/>
    </row>
    <row r="639" ht="15" customHeight="1">
      <c r="A639" t="inlineStr">
        <is>
          <t>A 44543-2021</t>
        </is>
      </c>
      <c r="B639" s="1" t="n">
        <v>44435</v>
      </c>
      <c r="C639" s="1" t="n">
        <v>45936</v>
      </c>
      <c r="D639" t="inlineStr">
        <is>
          <t>ÖSTERGÖTLANDS LÄN</t>
        </is>
      </c>
      <c r="E639" t="inlineStr">
        <is>
          <t>KINDA</t>
        </is>
      </c>
      <c r="G639" t="n">
        <v>10.2</v>
      </c>
      <c r="H639" t="n">
        <v>0</v>
      </c>
      <c r="I639" t="n">
        <v>0</v>
      </c>
      <c r="J639" t="n">
        <v>0</v>
      </c>
      <c r="K639" t="n">
        <v>0</v>
      </c>
      <c r="L639" t="n">
        <v>0</v>
      </c>
      <c r="M639" t="n">
        <v>0</v>
      </c>
      <c r="N639" t="n">
        <v>0</v>
      </c>
      <c r="O639" t="n">
        <v>0</v>
      </c>
      <c r="P639" t="n">
        <v>0</v>
      </c>
      <c r="Q639" t="n">
        <v>0</v>
      </c>
      <c r="R639" s="2" t="inlineStr"/>
    </row>
    <row r="640" ht="15" customHeight="1">
      <c r="A640" t="inlineStr">
        <is>
          <t>A 42511-2025</t>
        </is>
      </c>
      <c r="B640" s="1" t="n">
        <v>45904</v>
      </c>
      <c r="C640" s="1" t="n">
        <v>45936</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42512-2025</t>
        </is>
      </c>
      <c r="B641" s="1" t="n">
        <v>45904</v>
      </c>
      <c r="C641" s="1" t="n">
        <v>45936</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8410-2025</t>
        </is>
      </c>
      <c r="B642" s="1" t="n">
        <v>45709.39152777778</v>
      </c>
      <c r="C642" s="1" t="n">
        <v>45936</v>
      </c>
      <c r="D642" t="inlineStr">
        <is>
          <t>ÖSTERGÖTLANDS LÄN</t>
        </is>
      </c>
      <c r="E642" t="inlineStr">
        <is>
          <t>KINDA</t>
        </is>
      </c>
      <c r="G642" t="n">
        <v>2.3</v>
      </c>
      <c r="H642" t="n">
        <v>0</v>
      </c>
      <c r="I642" t="n">
        <v>0</v>
      </c>
      <c r="J642" t="n">
        <v>0</v>
      </c>
      <c r="K642" t="n">
        <v>0</v>
      </c>
      <c r="L642" t="n">
        <v>0</v>
      </c>
      <c r="M642" t="n">
        <v>0</v>
      </c>
      <c r="N642" t="n">
        <v>0</v>
      </c>
      <c r="O642" t="n">
        <v>0</v>
      </c>
      <c r="P642" t="n">
        <v>0</v>
      </c>
      <c r="Q642" t="n">
        <v>0</v>
      </c>
      <c r="R642" s="2" t="inlineStr"/>
    </row>
    <row r="643" ht="15" customHeight="1">
      <c r="A643" t="inlineStr">
        <is>
          <t>A 2430-2025</t>
        </is>
      </c>
      <c r="B643" s="1" t="n">
        <v>45674.40616898148</v>
      </c>
      <c r="C643" s="1" t="n">
        <v>45936</v>
      </c>
      <c r="D643" t="inlineStr">
        <is>
          <t>ÖSTERGÖTLANDS LÄN</t>
        </is>
      </c>
      <c r="E643" t="inlineStr">
        <is>
          <t>KINDA</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42509-2025</t>
        </is>
      </c>
      <c r="B644" s="1" t="n">
        <v>45904</v>
      </c>
      <c r="C644" s="1" t="n">
        <v>45936</v>
      </c>
      <c r="D644" t="inlineStr">
        <is>
          <t>ÖSTERGÖTLANDS LÄN</t>
        </is>
      </c>
      <c r="E644" t="inlineStr">
        <is>
          <t>KINDA</t>
        </is>
      </c>
      <c r="G644" t="n">
        <v>3.5</v>
      </c>
      <c r="H644" t="n">
        <v>0</v>
      </c>
      <c r="I644" t="n">
        <v>0</v>
      </c>
      <c r="J644" t="n">
        <v>0</v>
      </c>
      <c r="K644" t="n">
        <v>0</v>
      </c>
      <c r="L644" t="n">
        <v>0</v>
      </c>
      <c r="M644" t="n">
        <v>0</v>
      </c>
      <c r="N644" t="n">
        <v>0</v>
      </c>
      <c r="O644" t="n">
        <v>0</v>
      </c>
      <c r="P644" t="n">
        <v>0</v>
      </c>
      <c r="Q644" t="n">
        <v>0</v>
      </c>
      <c r="R644" s="2" t="inlineStr"/>
    </row>
    <row r="645" ht="15" customHeight="1">
      <c r="A645" t="inlineStr">
        <is>
          <t>A 35975-2025</t>
        </is>
      </c>
      <c r="B645" s="1" t="n">
        <v>45863.43395833333</v>
      </c>
      <c r="C645" s="1" t="n">
        <v>45936</v>
      </c>
      <c r="D645" t="inlineStr">
        <is>
          <t>ÖSTERGÖTLANDS LÄN</t>
        </is>
      </c>
      <c r="E645" t="inlineStr">
        <is>
          <t>KINDA</t>
        </is>
      </c>
      <c r="G645" t="n">
        <v>4.9</v>
      </c>
      <c r="H645" t="n">
        <v>0</v>
      </c>
      <c r="I645" t="n">
        <v>0</v>
      </c>
      <c r="J645" t="n">
        <v>0</v>
      </c>
      <c r="K645" t="n">
        <v>0</v>
      </c>
      <c r="L645" t="n">
        <v>0</v>
      </c>
      <c r="M645" t="n">
        <v>0</v>
      </c>
      <c r="N645" t="n">
        <v>0</v>
      </c>
      <c r="O645" t="n">
        <v>0</v>
      </c>
      <c r="P645" t="n">
        <v>0</v>
      </c>
      <c r="Q645" t="n">
        <v>0</v>
      </c>
      <c r="R645" s="2" t="inlineStr"/>
    </row>
    <row r="646" ht="15" customHeight="1">
      <c r="A646" t="inlineStr">
        <is>
          <t>A 36000-2025</t>
        </is>
      </c>
      <c r="B646" s="1" t="n">
        <v>45863.51805555556</v>
      </c>
      <c r="C646" s="1" t="n">
        <v>45936</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42375-2025</t>
        </is>
      </c>
      <c r="B647" s="1" t="n">
        <v>45905.33846064815</v>
      </c>
      <c r="C647" s="1" t="n">
        <v>45936</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35982-2025</t>
        </is>
      </c>
      <c r="B648" s="1" t="n">
        <v>45863.44907407407</v>
      </c>
      <c r="C648" s="1" t="n">
        <v>45936</v>
      </c>
      <c r="D648" t="inlineStr">
        <is>
          <t>ÖSTERGÖTLANDS LÄN</t>
        </is>
      </c>
      <c r="E648" t="inlineStr">
        <is>
          <t>KINDA</t>
        </is>
      </c>
      <c r="G648" t="n">
        <v>2.8</v>
      </c>
      <c r="H648" t="n">
        <v>0</v>
      </c>
      <c r="I648" t="n">
        <v>0</v>
      </c>
      <c r="J648" t="n">
        <v>0</v>
      </c>
      <c r="K648" t="n">
        <v>0</v>
      </c>
      <c r="L648" t="n">
        <v>0</v>
      </c>
      <c r="M648" t="n">
        <v>0</v>
      </c>
      <c r="N648" t="n">
        <v>0</v>
      </c>
      <c r="O648" t="n">
        <v>0</v>
      </c>
      <c r="P648" t="n">
        <v>0</v>
      </c>
      <c r="Q648" t="n">
        <v>0</v>
      </c>
      <c r="R648" s="2" t="inlineStr"/>
    </row>
    <row r="649" ht="15" customHeight="1">
      <c r="A649" t="inlineStr">
        <is>
          <t>A 35986-2025</t>
        </is>
      </c>
      <c r="B649" s="1" t="n">
        <v>45863</v>
      </c>
      <c r="C649" s="1" t="n">
        <v>45936</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42981-2025</t>
        </is>
      </c>
      <c r="B650" s="1" t="n">
        <v>45909.43236111111</v>
      </c>
      <c r="C650" s="1" t="n">
        <v>45936</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27966-2023</t>
        </is>
      </c>
      <c r="B651" s="1" t="n">
        <v>45098.70277777778</v>
      </c>
      <c r="C651" s="1" t="n">
        <v>45936</v>
      </c>
      <c r="D651" t="inlineStr">
        <is>
          <t>ÖSTERGÖTLANDS LÄN</t>
        </is>
      </c>
      <c r="E651" t="inlineStr">
        <is>
          <t>KINDA</t>
        </is>
      </c>
      <c r="G651" t="n">
        <v>2.9</v>
      </c>
      <c r="H651" t="n">
        <v>0</v>
      </c>
      <c r="I651" t="n">
        <v>0</v>
      </c>
      <c r="J651" t="n">
        <v>0</v>
      </c>
      <c r="K651" t="n">
        <v>0</v>
      </c>
      <c r="L651" t="n">
        <v>0</v>
      </c>
      <c r="M651" t="n">
        <v>0</v>
      </c>
      <c r="N651" t="n">
        <v>0</v>
      </c>
      <c r="O651" t="n">
        <v>0</v>
      </c>
      <c r="P651" t="n">
        <v>0</v>
      </c>
      <c r="Q651" t="n">
        <v>0</v>
      </c>
      <c r="R651" s="2" t="inlineStr"/>
    </row>
    <row r="652" ht="15" customHeight="1">
      <c r="A652" t="inlineStr">
        <is>
          <t>A 55950-2023</t>
        </is>
      </c>
      <c r="B652" s="1" t="n">
        <v>45240.34232638889</v>
      </c>
      <c r="C652" s="1" t="n">
        <v>45936</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12461-2024</t>
        </is>
      </c>
      <c r="B653" s="1" t="n">
        <v>45379</v>
      </c>
      <c r="C653" s="1" t="n">
        <v>45936</v>
      </c>
      <c r="D653" t="inlineStr">
        <is>
          <t>ÖSTERGÖTLANDS LÄN</t>
        </is>
      </c>
      <c r="E653" t="inlineStr">
        <is>
          <t>KINDA</t>
        </is>
      </c>
      <c r="G653" t="n">
        <v>1.9</v>
      </c>
      <c r="H653" t="n">
        <v>0</v>
      </c>
      <c r="I653" t="n">
        <v>0</v>
      </c>
      <c r="J653" t="n">
        <v>0</v>
      </c>
      <c r="K653" t="n">
        <v>0</v>
      </c>
      <c r="L653" t="n">
        <v>0</v>
      </c>
      <c r="M653" t="n">
        <v>0</v>
      </c>
      <c r="N653" t="n">
        <v>0</v>
      </c>
      <c r="O653" t="n">
        <v>0</v>
      </c>
      <c r="P653" t="n">
        <v>0</v>
      </c>
      <c r="Q653" t="n">
        <v>0</v>
      </c>
      <c r="R653" s="2" t="inlineStr"/>
    </row>
    <row r="654" ht="15" customHeight="1">
      <c r="A654" t="inlineStr">
        <is>
          <t>A 22002-2025</t>
        </is>
      </c>
      <c r="B654" s="1" t="n">
        <v>45784.70443287037</v>
      </c>
      <c r="C654" s="1" t="n">
        <v>45936</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42977-2025</t>
        </is>
      </c>
      <c r="B655" s="1" t="n">
        <v>45909.42916666667</v>
      </c>
      <c r="C655" s="1" t="n">
        <v>45936</v>
      </c>
      <c r="D655" t="inlineStr">
        <is>
          <t>ÖSTERGÖTLANDS LÄN</t>
        </is>
      </c>
      <c r="E655" t="inlineStr">
        <is>
          <t>KINDA</t>
        </is>
      </c>
      <c r="G655" t="n">
        <v>4.3</v>
      </c>
      <c r="H655" t="n">
        <v>0</v>
      </c>
      <c r="I655" t="n">
        <v>0</v>
      </c>
      <c r="J655" t="n">
        <v>0</v>
      </c>
      <c r="K655" t="n">
        <v>0</v>
      </c>
      <c r="L655" t="n">
        <v>0</v>
      </c>
      <c r="M655" t="n">
        <v>0</v>
      </c>
      <c r="N655" t="n">
        <v>0</v>
      </c>
      <c r="O655" t="n">
        <v>0</v>
      </c>
      <c r="P655" t="n">
        <v>0</v>
      </c>
      <c r="Q655" t="n">
        <v>0</v>
      </c>
      <c r="R655" s="2" t="inlineStr"/>
    </row>
    <row r="656" ht="15" customHeight="1">
      <c r="A656" t="inlineStr">
        <is>
          <t>A 42993-2025</t>
        </is>
      </c>
      <c r="B656" s="1" t="n">
        <v>45909.45248842592</v>
      </c>
      <c r="C656" s="1" t="n">
        <v>45936</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43007-2025</t>
        </is>
      </c>
      <c r="B657" s="1" t="n">
        <v>45909.48123842593</v>
      </c>
      <c r="C657" s="1" t="n">
        <v>45936</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22443-2025</t>
        </is>
      </c>
      <c r="B658" s="1" t="n">
        <v>45786</v>
      </c>
      <c r="C658" s="1" t="n">
        <v>45936</v>
      </c>
      <c r="D658" t="inlineStr">
        <is>
          <t>ÖSTERGÖTLANDS LÄN</t>
        </is>
      </c>
      <c r="E658" t="inlineStr">
        <is>
          <t>KINDA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36172-2025</t>
        </is>
      </c>
      <c r="B659" s="1" t="n">
        <v>45866</v>
      </c>
      <c r="C659" s="1" t="n">
        <v>45936</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43005-2025</t>
        </is>
      </c>
      <c r="B660" s="1" t="n">
        <v>45909.47525462963</v>
      </c>
      <c r="C660" s="1" t="n">
        <v>45936</v>
      </c>
      <c r="D660" t="inlineStr">
        <is>
          <t>ÖSTERGÖTLANDS LÄN</t>
        </is>
      </c>
      <c r="E660" t="inlineStr">
        <is>
          <t>KINDA</t>
        </is>
      </c>
      <c r="G660" t="n">
        <v>1.1</v>
      </c>
      <c r="H660" t="n">
        <v>0</v>
      </c>
      <c r="I660" t="n">
        <v>0</v>
      </c>
      <c r="J660" t="n">
        <v>0</v>
      </c>
      <c r="K660" t="n">
        <v>0</v>
      </c>
      <c r="L660" t="n">
        <v>0</v>
      </c>
      <c r="M660" t="n">
        <v>0</v>
      </c>
      <c r="N660" t="n">
        <v>0</v>
      </c>
      <c r="O660" t="n">
        <v>0</v>
      </c>
      <c r="P660" t="n">
        <v>0</v>
      </c>
      <c r="Q660" t="n">
        <v>0</v>
      </c>
      <c r="R660" s="2" t="inlineStr"/>
    </row>
    <row r="661" ht="15" customHeight="1">
      <c r="A661" t="inlineStr">
        <is>
          <t>A 52991-2023</t>
        </is>
      </c>
      <c r="B661" s="1" t="n">
        <v>45226.62546296296</v>
      </c>
      <c r="C661" s="1" t="n">
        <v>45936</v>
      </c>
      <c r="D661" t="inlineStr">
        <is>
          <t>ÖSTERGÖTLANDS LÄN</t>
        </is>
      </c>
      <c r="E661" t="inlineStr">
        <is>
          <t>KINDA</t>
        </is>
      </c>
      <c r="G661" t="n">
        <v>3.8</v>
      </c>
      <c r="H661" t="n">
        <v>0</v>
      </c>
      <c r="I661" t="n">
        <v>0</v>
      </c>
      <c r="J661" t="n">
        <v>0</v>
      </c>
      <c r="K661" t="n">
        <v>0</v>
      </c>
      <c r="L661" t="n">
        <v>0</v>
      </c>
      <c r="M661" t="n">
        <v>0</v>
      </c>
      <c r="N661" t="n">
        <v>0</v>
      </c>
      <c r="O661" t="n">
        <v>0</v>
      </c>
      <c r="P661" t="n">
        <v>0</v>
      </c>
      <c r="Q661" t="n">
        <v>0</v>
      </c>
      <c r="R661" s="2" t="inlineStr"/>
    </row>
    <row r="662" ht="15" customHeight="1">
      <c r="A662" t="inlineStr">
        <is>
          <t>A 6404-2023</t>
        </is>
      </c>
      <c r="B662" s="1" t="n">
        <v>44965.67148148148</v>
      </c>
      <c r="C662" s="1" t="n">
        <v>45936</v>
      </c>
      <c r="D662" t="inlineStr">
        <is>
          <t>ÖSTERGÖTLANDS LÄN</t>
        </is>
      </c>
      <c r="E662" t="inlineStr">
        <is>
          <t>KINDA</t>
        </is>
      </c>
      <c r="G662" t="n">
        <v>2.2</v>
      </c>
      <c r="H662" t="n">
        <v>0</v>
      </c>
      <c r="I662" t="n">
        <v>0</v>
      </c>
      <c r="J662" t="n">
        <v>0</v>
      </c>
      <c r="K662" t="n">
        <v>0</v>
      </c>
      <c r="L662" t="n">
        <v>0</v>
      </c>
      <c r="M662" t="n">
        <v>0</v>
      </c>
      <c r="N662" t="n">
        <v>0</v>
      </c>
      <c r="O662" t="n">
        <v>0</v>
      </c>
      <c r="P662" t="n">
        <v>0</v>
      </c>
      <c r="Q662" t="n">
        <v>0</v>
      </c>
      <c r="R662" s="2" t="inlineStr"/>
    </row>
    <row r="663" ht="15" customHeight="1">
      <c r="A663" t="inlineStr">
        <is>
          <t>A 46918-2022</t>
        </is>
      </c>
      <c r="B663" s="1" t="n">
        <v>44851.67681712963</v>
      </c>
      <c r="C663" s="1" t="n">
        <v>45936</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6647-2021</t>
        </is>
      </c>
      <c r="B664" s="1" t="n">
        <v>44236</v>
      </c>
      <c r="C664" s="1" t="n">
        <v>45936</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36173-2025</t>
        </is>
      </c>
      <c r="B665" s="1" t="n">
        <v>45866</v>
      </c>
      <c r="C665" s="1" t="n">
        <v>45936</v>
      </c>
      <c r="D665" t="inlineStr">
        <is>
          <t>ÖSTERGÖTLANDS LÄN</t>
        </is>
      </c>
      <c r="E665" t="inlineStr">
        <is>
          <t>KINDA</t>
        </is>
      </c>
      <c r="G665" t="n">
        <v>4.4</v>
      </c>
      <c r="H665" t="n">
        <v>0</v>
      </c>
      <c r="I665" t="n">
        <v>0</v>
      </c>
      <c r="J665" t="n">
        <v>0</v>
      </c>
      <c r="K665" t="n">
        <v>0</v>
      </c>
      <c r="L665" t="n">
        <v>0</v>
      </c>
      <c r="M665" t="n">
        <v>0</v>
      </c>
      <c r="N665" t="n">
        <v>0</v>
      </c>
      <c r="O665" t="n">
        <v>0</v>
      </c>
      <c r="P665" t="n">
        <v>0</v>
      </c>
      <c r="Q665" t="n">
        <v>0</v>
      </c>
      <c r="R665" s="2" t="inlineStr"/>
    </row>
    <row r="666" ht="15" customHeight="1">
      <c r="A666" t="inlineStr">
        <is>
          <t>A 6403-2025</t>
        </is>
      </c>
      <c r="B666" s="1" t="n">
        <v>45699.45127314814</v>
      </c>
      <c r="C666" s="1" t="n">
        <v>45936</v>
      </c>
      <c r="D666" t="inlineStr">
        <is>
          <t>ÖSTERGÖTLANDS LÄN</t>
        </is>
      </c>
      <c r="E666" t="inlineStr">
        <is>
          <t>KINDA</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6410-2025</t>
        </is>
      </c>
      <c r="B667" s="1" t="n">
        <v>45699.4584837963</v>
      </c>
      <c r="C667" s="1" t="n">
        <v>45936</v>
      </c>
      <c r="D667" t="inlineStr">
        <is>
          <t>ÖSTERGÖTLANDS LÄN</t>
        </is>
      </c>
      <c r="E667" t="inlineStr">
        <is>
          <t>KINDA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8889-2025</t>
        </is>
      </c>
      <c r="B668" s="1" t="n">
        <v>45713.39555555556</v>
      </c>
      <c r="C668" s="1" t="n">
        <v>45936</v>
      </c>
      <c r="D668" t="inlineStr">
        <is>
          <t>ÖSTERGÖTLANDS LÄN</t>
        </is>
      </c>
      <c r="E668" t="inlineStr">
        <is>
          <t>KINDA</t>
        </is>
      </c>
      <c r="G668" t="n">
        <v>1.4</v>
      </c>
      <c r="H668" t="n">
        <v>0</v>
      </c>
      <c r="I668" t="n">
        <v>0</v>
      </c>
      <c r="J668" t="n">
        <v>0</v>
      </c>
      <c r="K668" t="n">
        <v>0</v>
      </c>
      <c r="L668" t="n">
        <v>0</v>
      </c>
      <c r="M668" t="n">
        <v>0</v>
      </c>
      <c r="N668" t="n">
        <v>0</v>
      </c>
      <c r="O668" t="n">
        <v>0</v>
      </c>
      <c r="P668" t="n">
        <v>0</v>
      </c>
      <c r="Q668" t="n">
        <v>0</v>
      </c>
      <c r="R668" s="2" t="inlineStr"/>
    </row>
    <row r="669" ht="15" customHeight="1">
      <c r="A669" t="inlineStr">
        <is>
          <t>A 29445-2024</t>
        </is>
      </c>
      <c r="B669" s="1" t="n">
        <v>45483.86824074074</v>
      </c>
      <c r="C669" s="1" t="n">
        <v>45936</v>
      </c>
      <c r="D669" t="inlineStr">
        <is>
          <t>ÖSTERGÖTLANDS LÄN</t>
        </is>
      </c>
      <c r="E669" t="inlineStr">
        <is>
          <t>KINDA</t>
        </is>
      </c>
      <c r="G669" t="n">
        <v>1.7</v>
      </c>
      <c r="H669" t="n">
        <v>0</v>
      </c>
      <c r="I669" t="n">
        <v>0</v>
      </c>
      <c r="J669" t="n">
        <v>0</v>
      </c>
      <c r="K669" t="n">
        <v>0</v>
      </c>
      <c r="L669" t="n">
        <v>0</v>
      </c>
      <c r="M669" t="n">
        <v>0</v>
      </c>
      <c r="N669" t="n">
        <v>0</v>
      </c>
      <c r="O669" t="n">
        <v>0</v>
      </c>
      <c r="P669" t="n">
        <v>0</v>
      </c>
      <c r="Q669" t="n">
        <v>0</v>
      </c>
      <c r="R669" s="2" t="inlineStr"/>
    </row>
    <row r="670" ht="15" customHeight="1">
      <c r="A670" t="inlineStr">
        <is>
          <t>A 49337-2024</t>
        </is>
      </c>
      <c r="B670" s="1" t="n">
        <v>45595.59052083334</v>
      </c>
      <c r="C670" s="1" t="n">
        <v>45936</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13352-2022</t>
        </is>
      </c>
      <c r="B671" s="1" t="n">
        <v>44645</v>
      </c>
      <c r="C671" s="1" t="n">
        <v>45936</v>
      </c>
      <c r="D671" t="inlineStr">
        <is>
          <t>ÖSTERGÖTLANDS LÄN</t>
        </is>
      </c>
      <c r="E671" t="inlineStr">
        <is>
          <t>KINDA</t>
        </is>
      </c>
      <c r="G671" t="n">
        <v>0.3</v>
      </c>
      <c r="H671" t="n">
        <v>0</v>
      </c>
      <c r="I671" t="n">
        <v>0</v>
      </c>
      <c r="J671" t="n">
        <v>0</v>
      </c>
      <c r="K671" t="n">
        <v>0</v>
      </c>
      <c r="L671" t="n">
        <v>0</v>
      </c>
      <c r="M671" t="n">
        <v>0</v>
      </c>
      <c r="N671" t="n">
        <v>0</v>
      </c>
      <c r="O671" t="n">
        <v>0</v>
      </c>
      <c r="P671" t="n">
        <v>0</v>
      </c>
      <c r="Q671" t="n">
        <v>0</v>
      </c>
      <c r="R671" s="2" t="inlineStr"/>
    </row>
    <row r="672">
      <c r="A672" t="inlineStr">
        <is>
          <t>A 4236-2024</t>
        </is>
      </c>
      <c r="B672" s="1" t="n">
        <v>45324.44579861111</v>
      </c>
      <c r="C672" s="1" t="n">
        <v>45936</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2025-10-06T12:37:37Z</dcterms:created>
  <dcterms:modified xmlns:dcterms="http://purl.org/dc/terms/" xmlns:xsi="http://www.w3.org/2001/XMLSchema-instance" xsi:type="dcterms:W3CDTF">2025-10-06T12:37:38Z</dcterms:modified>
</cp:coreProperties>
</file>